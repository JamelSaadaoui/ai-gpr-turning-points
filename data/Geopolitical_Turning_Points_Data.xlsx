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25c256166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data" sheetId="1" r:id="R850a3bc288d24149"/>
    <x:sheet xmlns:r="http://schemas.openxmlformats.org/officeDocument/2006/relationships" name="Transformations" sheetId="2" r:id="R931a7a0332c246f6"/>
    <x:sheet xmlns:r="http://schemas.openxmlformats.org/officeDocument/2006/relationships" name="Dictionary" sheetId="3" r:id="Rc5743537e0eb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.000000"/>
  </x:numFmts>
  <x:fonts count="3">
    <x:font>
      <x:sz val="11"/>
      <x:name val="Carlito"/>
    </x:font>
    <x:font>
      <x:sz val="10"/>
      <x:color rgb="FF20293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92ecc82404f77" /><Relationship Type="http://schemas.openxmlformats.org/officeDocument/2006/relationships/theme" Target="/xl/theme/theme1.xml" Id="R638719835dec4ef3" /><Relationship Type="http://schemas.openxmlformats.org/officeDocument/2006/relationships/sharedStrings" Target="/xl/sharedStrings.xml" Id="R66f8547296da472d" /><Relationship Type="http://schemas.openxmlformats.org/officeDocument/2006/relationships/worksheet" Target="/xl/worksheets/sheet1.xml" Id="R850a3bc288d24149" /><Relationship Type="http://schemas.openxmlformats.org/officeDocument/2006/relationships/worksheet" Target="/xl/worksheets/sheet2.xml" Id="R931a7a0332c246f6" /><Relationship Type="http://schemas.openxmlformats.org/officeDocument/2006/relationships/worksheet" Target="/xl/worksheets/sheet3.xml" Id="Rc5743537e0eb4214" /></Relationships>
</file>

<file path=xl/tables/table1.xml><?xml version="1.0" encoding="utf-8"?>
<x:table xmlns:x="http://schemas.openxmlformats.org/spreadsheetml/2006/main" id="1" name="MonthlyData" displayName="MonthlyData" ref="A1:N441" headerRowCount="1" totalsRowCount="0" totalsRowShown="0">
  <x:tableColumns count="14">
    <x:tableColumn id="1" name="date"/>
    <x:tableColumn id="2" name="lwti"/>
    <x:tableColumn id="3" name="lbrent"/>
    <x:tableColumn id="4" name="lwip"/>
    <x:tableColumn id="5" name="lgop"/>
    <x:tableColumn id="6" name="gpr_ai"/>
    <x:tableColumn id="7" name="military_conflict"/>
    <x:tableColumn id="8" name="diplomatic_tension"/>
    <x:tableColumn id="9" name="terrorism"/>
    <x:tableColumn id="10" name="civil_war"/>
    <x:tableColumn id="11" name="nuclear_threat"/>
    <x:tableColumn id="12" name="coup"/>
    <x:tableColumn id="13" name="sanctions"/>
    <x:tableColumn id="14" name="oth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formations" displayName="Transformations" ref="A1:T441" headerRowCount="1" totalsRowCount="0" totalsRowShown="0">
  <x:tableColumns count="20">
    <x:tableColumn id="1" name="date"/>
    <x:tableColumn id="2" name="log1p_gpr_ai"/>
    <x:tableColumn id="3" name="log1p_military_conflict"/>
    <x:tableColumn id="4" name="log1p_diplomatic_tension"/>
    <x:tableColumn id="5" name="log1p_terrorism"/>
    <x:tableColumn id="6" name="log1p_civil_war"/>
    <x:tableColumn id="7" name="log1p_nuclear_threat"/>
    <x:tableColumn id="8" name="log1p_coup"/>
    <x:tableColumn id="9" name="log1p_sanctions"/>
    <x:tableColumn id="10" name="log1p_other"/>
    <x:tableColumn id="11" name="d2_gpr_ai"/>
    <x:tableColumn id="12" name="d2_military_conflict"/>
    <x:tableColumn id="13" name="d2_diplomatic_tension"/>
    <x:tableColumn id="14" name="d2_terrorism"/>
    <x:tableColumn id="15" name="d2_civil_war"/>
    <x:tableColumn id="16" name="d2_nuclear_threat"/>
    <x:tableColumn id="17" name="d2_coup"/>
    <x:tableColumn id="18" name="d2_sanctions"/>
    <x:tableColumn id="19" name="d2_other"/>
    <x:tableColumn id="20" name="d_lgo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c8e0e1410847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80d1d5757945db" /></Relationships>
</file>

<file path=xl/worksheets/sheet1.xml><?xml version="1.0" encoding="utf-8"?>
<x:worksheet xmlns:ns1="http://schemas.openxmlformats.org/officeDocument/2006/relationships" xmlns:x="http://schemas.openxmlformats.org/spreadsheetml/2006/main">
  <x:sheetPr>
    <x:tabColor rgb="FF243A5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</x:cols>
  <x:sheetData>
    <x:row r="1" ht="40" customHeight="1">
      <x:c r="A1" s="12" t="str">
        <x:v>date</x:v>
      </x:c>
      <x:c r="B1" s="12" t="str">
        <x:v>lwti</x:v>
      </x:c>
      <x:c r="C1" s="12" t="str">
        <x:v>lbrent</x:v>
      </x:c>
      <x:c r="D1" s="12" t="str">
        <x:v>lwip</x:v>
      </x:c>
      <x:c r="E1" s="12" t="str">
        <x:v>lgop</x:v>
      </x:c>
      <x:c r="F1" s="12" t="str">
        <x:v>gpr_ai</x:v>
      </x:c>
      <x:c r="G1" s="12" t="str">
        <x:v>military_conflict</x:v>
      </x:c>
      <x:c r="H1" s="12" t="str">
        <x:v>diplomatic_tension</x:v>
      </x:c>
      <x:c r="I1" s="12" t="str">
        <x:v>terrorism</x:v>
      </x:c>
      <x:c r="J1" s="12" t="str">
        <x:v>civil_war</x:v>
      </x:c>
      <x:c r="K1" s="12" t="str">
        <x:v>nuclear_threat</x:v>
      </x:c>
      <x:c r="L1" s="12" t="str">
        <x:v>coup</x:v>
      </x:c>
      <x:c r="M1" s="12" t="str">
        <x:v>sanctions</x:v>
      </x:c>
      <x:c r="N1" s="12" t="str">
        <x:v>other</x:v>
      </x:c>
    </x:row>
    <x:row r="2" ht="19" customHeight="1">
      <x:c r="A2" s="7" t="n">
        <x:v>32874</x:v>
      </x:c>
      <x:c r="B2" s="8" t="n">
        <x:v>2.88644247976</x:v>
      </x:c>
      <x:c r="C2" s="8" t="n">
        <x:v>2.81341071676</x:v>
      </x:c>
      <x:c r="D2" s="8" t="n">
        <x:v>3.8232622951</x:v>
      </x:c>
      <x:c r="E2" s="8" t="n">
        <x:v>11.0145059002</x:v>
      </x:c>
      <x:c r="F2" s="8" t="n">
        <x:v>105.44</x:v>
      </x:c>
      <x:c r="G2" s="8" t="n">
        <x:v>20.3665</x:v>
      </x:c>
      <x:c r="H2" s="8" t="n">
        <x:v>39.7607</x:v>
      </x:c>
      <x:c r="I2" s="8" t="n">
        <x:v>9.7483</x:v>
      </x:c>
      <x:c r="J2" s="8" t="n">
        <x:v>21.7993</x:v>
      </x:c>
      <x:c r="K2" s="8" t="n">
        <x:v>0.6652</x:v>
      </x:c>
      <x:c r="L2" s="8" t="n">
        <x:v>2.5842</x:v>
      </x:c>
      <x:c r="M2" s="8" t="n">
        <x:v>0.5117</x:v>
      </x:c>
      <x:c r="N2" s="8" t="n">
        <x:v>10.0041</x:v>
      </x:c>
    </x:row>
    <x:row r="3" ht="19" customHeight="1">
      <x:c r="A3" s="7" t="n">
        <x:v>32905</x:v>
      </x:c>
      <x:c r="B3" s="8" t="n">
        <x:v>2.84916991694</x:v>
      </x:c>
      <x:c r="C3" s="8" t="n">
        <x:v>2.73932678278</x:v>
      </x:c>
      <x:c r="D3" s="8" t="n">
        <x:v>3.82732099126</x:v>
      </x:c>
      <x:c r="E3" s="8" t="n">
        <x:v>11.018727499</x:v>
      </x:c>
      <x:c r="F3" s="8" t="n">
        <x:v>96.62</x:v>
      </x:c>
      <x:c r="G3" s="8" t="n">
        <x:v>7.808</x:v>
      </x:c>
      <x:c r="H3" s="8" t="n">
        <x:v>47.7013</x:v>
      </x:c>
      <x:c r="I3" s="8" t="n">
        <x:v>5.793</x:v>
      </x:c>
      <x:c r="J3" s="8" t="n">
        <x:v>20.7373</x:v>
      </x:c>
      <x:c r="K3" s="8" t="n">
        <x:v>1.8191</x:v>
      </x:c>
      <x:c r="L3" s="8" t="n">
        <x:v>1.2314</x:v>
      </x:c>
      <x:c r="M3" s="8" t="n">
        <x:v>1.8191</x:v>
      </x:c>
      <x:c r="N3" s="8" t="n">
        <x:v>9.711</x:v>
      </x:c>
    </x:row>
    <x:row r="4" ht="19" customHeight="1">
      <x:c r="A4" s="7" t="n">
        <x:v>32933</x:v>
      </x:c>
      <x:c r="B4" s="8" t="n">
        <x:v>2.76350795877</x:v>
      </x:c>
      <x:c r="C4" s="8" t="n">
        <x:v>2.6602704128</x:v>
      </x:c>
      <x:c r="D4" s="8" t="n">
        <x:v>3.83153493812</x:v>
      </x:c>
      <x:c r="E4" s="8" t="n">
        <x:v>11.0321763088</x:v>
      </x:c>
      <x:c r="F4" s="8" t="n">
        <x:v>93.28</x:v>
      </x:c>
      <x:c r="G4" s="8" t="n">
        <x:v>6.0244</x:v>
      </x:c>
      <x:c r="H4" s="8" t="n">
        <x:v>48.7924</x:v>
      </x:c>
      <x:c r="I4" s="8" t="n">
        <x:v>6.0975</x:v>
      </x:c>
      <x:c r="J4" s="8" t="n">
        <x:v>15.8292</x:v>
      </x:c>
      <x:c r="K4" s="8" t="n">
        <x:v>3.1219</x:v>
      </x:c>
      <x:c r="L4" s="8" t="n">
        <x:v>3.9512</x:v>
      </x:c>
      <x:c r="M4" s="8" t="n">
        <x:v>0.6098</x:v>
      </x:c>
      <x:c r="N4" s="8" t="n">
        <x:v>8.8536</x:v>
      </x:c>
    </x:row>
    <x:row r="5" ht="19" customHeight="1">
      <x:c r="A5" s="7" t="n">
        <x:v>32964</x:v>
      </x:c>
      <x:c r="B5" s="8" t="n">
        <x:v>2.66011304772</x:v>
      </x:c>
      <x:c r="C5" s="8" t="n">
        <x:v>2.55613819967</x:v>
      </x:c>
      <x:c r="D5" s="8" t="n">
        <x:v>3.82123893394</x:v>
      </x:c>
      <x:c r="E5" s="8" t="n">
        <x:v>11.0262231861</x:v>
      </x:c>
      <x:c r="F5" s="8" t="n">
        <x:v>97.01</x:v>
      </x:c>
      <x:c r="G5" s="8" t="n">
        <x:v>8.7451</x:v>
      </x:c>
      <x:c r="H5" s="8" t="n">
        <x:v>45.1435</x:v>
      </x:c>
      <x:c r="I5" s="8" t="n">
        <x:v>9.6905</x:v>
      </x:c>
      <x:c r="J5" s="8" t="n">
        <x:v>12.6318</x:v>
      </x:c>
      <x:c r="K5" s="8" t="n">
        <x:v>5.2786</x:v>
      </x:c>
      <x:c r="L5" s="8" t="n">
        <x:v>1.2606</x:v>
      </x:c>
      <x:c r="M5" s="8" t="n">
        <x:v>5.8826</x:v>
      </x:c>
      <x:c r="N5" s="8" t="n">
        <x:v>8.3774</x:v>
      </x:c>
    </x:row>
    <x:row r="6" ht="19" customHeight="1">
      <x:c r="A6" s="7" t="n">
        <x:v>32994</x:v>
      </x:c>
      <x:c r="B6" s="8" t="n">
        <x:v>2.64600448222</x:v>
      </x:c>
      <x:c r="C6" s="8" t="n">
        <x:v>2.53881078548</x:v>
      </x:c>
      <x:c r="D6" s="8" t="n">
        <x:v>3.83239658612</x:v>
      </x:c>
      <x:c r="E6" s="8" t="n">
        <x:v>11.0162492643</x:v>
      </x:c>
      <x:c r="F6" s="8" t="n">
        <x:v>98.76</x:v>
      </x:c>
      <x:c r="G6" s="8" t="n">
        <x:v>8.0769</x:v>
      </x:c>
      <x:c r="H6" s="8" t="n">
        <x:v>49.9461</x:v>
      </x:c>
      <x:c r="I6" s="8" t="n">
        <x:v>10.3667</x:v>
      </x:c>
      <x:c r="J6" s="8" t="n">
        <x:v>13.7887</x:v>
      </x:c>
      <x:c r="K6" s="8" t="n">
        <x:v>3.2459</x:v>
      </x:c>
      <x:c r="L6" s="8" t="n">
        <x:v>1.2329</x:v>
      </x:c>
      <x:c r="M6" s="8" t="n">
        <x:v>2.0129</x:v>
      </x:c>
      <x:c r="N6" s="8" t="n">
        <x:v>10.0899</x:v>
      </x:c>
    </x:row>
    <x:row r="7" ht="19" customHeight="1">
      <x:c r="A7" s="7" t="n">
        <x:v>33025</x:v>
      </x:c>
      <x:c r="B7" s="8" t="n">
        <x:v>2.55381398173</x:v>
      </x:c>
      <x:c r="C7" s="8" t="n">
        <x:v>2.45310000613</x:v>
      </x:c>
      <x:c r="D7" s="8" t="n">
        <x:v>3.83594459699</x:v>
      </x:c>
      <x:c r="E7" s="8" t="n">
        <x:v>11.0030826914</x:v>
      </x:c>
      <x:c r="F7" s="8" t="n">
        <x:v>89.86</x:v>
      </x:c>
      <x:c r="G7" s="8" t="n">
        <x:v>2.9179</x:v>
      </x:c>
      <x:c r="H7" s="8" t="n">
        <x:v>41.6506</x:v>
      </x:c>
      <x:c r="I7" s="8" t="n">
        <x:v>11.8522</x:v>
      </x:c>
      <x:c r="J7" s="8" t="n">
        <x:v>17.0166</x:v>
      </x:c>
      <x:c r="K7" s="8" t="n">
        <x:v>2.8404</x:v>
      </x:c>
      <x:c r="L7" s="8" t="n">
        <x:v>0.9296</x:v>
      </x:c>
      <x:c r="M7" s="8" t="n">
        <x:v>2.1174</x:v>
      </x:c>
      <x:c r="N7" s="8" t="n">
        <x:v>10.5353</x:v>
      </x:c>
    </x:row>
    <x:row r="8" ht="19" customHeight="1">
      <x:c r="A8" s="7" t="n">
        <x:v>33055</x:v>
      </x:c>
      <x:c r="B8" s="8" t="n">
        <x:v>2.64886132971</x:v>
      </x:c>
      <x:c r="C8" s="8" t="n">
        <x:v>2.57696063413</x:v>
      </x:c>
      <x:c r="D8" s="8" t="n">
        <x:v>3.83579517798</x:v>
      </x:c>
      <x:c r="E8" s="8" t="n">
        <x:v>11.0049125485</x:v>
      </x:c>
      <x:c r="F8" s="8" t="n">
        <x:v>86.86</x:v>
      </x:c>
      <x:c r="G8" s="8" t="n">
        <x:v>7.3162</x:v>
      </x:c>
      <x:c r="H8" s="8" t="n">
        <x:v>38.8898</x:v>
      </x:c>
      <x:c r="I8" s="8" t="n">
        <x:v>7.1086</x:v>
      </x:c>
      <x:c r="J8" s="8" t="n">
        <x:v>18.2904</x:v>
      </x:c>
      <x:c r="K8" s="8" t="n">
        <x:v>1.9977</x:v>
      </x:c>
      <x:c r="L8" s="8" t="n">
        <x:v>2.5684</x:v>
      </x:c>
      <x:c r="M8" s="8" t="n">
        <x:v>1.2453</x:v>
      </x:c>
      <x:c r="N8" s="8" t="n">
        <x:v>9.4436</x:v>
      </x:c>
    </x:row>
    <x:row r="9" ht="19" customHeight="1">
      <x:c r="A9" s="7" t="n">
        <x:v>33086</x:v>
      </x:c>
      <x:c r="B9" s="8" t="n">
        <x:v>3.03265610258</x:v>
      </x:c>
      <x:c r="C9" s="8" t="n">
        <x:v>3.02751659054</x:v>
      </x:c>
      <x:c r="D9" s="8" t="n">
        <x:v>3.84125136897</x:v>
      </x:c>
      <x:c r="E9" s="8" t="n">
        <x:v>10.9427920603</x:v>
      </x:c>
      <x:c r="F9" s="8" t="n">
        <x:v>204.1</x:v>
      </x:c>
      <x:c r="G9" s="8" t="n">
        <x:v>120.6208</x:v>
      </x:c>
      <x:c r="H9" s="8" t="n">
        <x:v>31.2772</x:v>
      </x:c>
      <x:c r="I9" s="8" t="n">
        <x:v>5.479</x:v>
      </x:c>
      <x:c r="J9" s="8" t="n">
        <x:v>21.5306</x:v>
      </x:c>
      <x:c r="K9" s="8" t="n">
        <x:v>1.0187</x:v>
      </x:c>
      <x:c r="L9" s="8" t="n">
        <x:v>3.2213</x:v>
      </x:c>
      <x:c r="M9" s="8" t="n">
        <x:v>11.4536</x:v>
      </x:c>
      <x:c r="N9" s="8" t="n">
        <x:v>9.4988</x:v>
      </x:c>
    </x:row>
    <x:row r="10" ht="19" customHeight="1">
      <x:c r="A10" s="7" t="n">
        <x:v>33117</x:v>
      </x:c>
      <x:c r="B10" s="8" t="n">
        <x:v>3.23043144231</x:v>
      </x:c>
      <x:c r="C10" s="8" t="n">
        <x:v>3.27107436977</x:v>
      </x:c>
      <x:c r="D10" s="8" t="n">
        <x:v>3.84325647343</x:v>
      </x:c>
      <x:c r="E10" s="8" t="n">
        <x:v>10.9864276718</x:v>
      </x:c>
      <x:c r="F10" s="8" t="n">
        <x:v>150.69</x:v>
      </x:c>
      <x:c r="G10" s="8" t="n">
        <x:v>74.4212</x:v>
      </x:c>
      <x:c r="H10" s="8" t="n">
        <x:v>34.9147</x:v>
      </x:c>
      <x:c r="I10" s="8" t="n">
        <x:v>4.5375</x:v>
      </x:c>
      <x:c r="J10" s="8" t="n">
        <x:v>15.4874</x:v>
      </x:c>
      <x:c r="K10" s="8" t="n">
        <x:v>1.5759</x:v>
      </x:c>
      <x:c r="L10" s="8" t="n">
        <x:v>1.2227</x:v>
      </x:c>
      <x:c r="M10" s="8" t="n">
        <x:v>7.8524</x:v>
      </x:c>
      <x:c r="N10" s="8" t="n">
        <x:v>10.6782</x:v>
      </x:c>
    </x:row>
    <x:row r="11" ht="19" customHeight="1">
      <x:c r="A11" s="7" t="n">
        <x:v>33147</x:v>
      </x:c>
      <x:c r="B11" s="8" t="n">
        <x:v>3.29644748525</x:v>
      </x:c>
      <x:c r="C11" s="8" t="n">
        <x:v>3.29589239225</x:v>
      </x:c>
      <x:c r="D11" s="8" t="n">
        <x:v>3.84258426354</x:v>
      </x:c>
      <x:c r="E11" s="8" t="n">
        <x:v>10.9926722071</x:v>
      </x:c>
      <x:c r="F11" s="8" t="n">
        <x:v>111.25</x:v>
      </x:c>
      <x:c r="G11" s="8" t="n">
        <x:v>43.5576</x:v>
      </x:c>
      <x:c r="H11" s="8" t="n">
        <x:v>34.6356</x:v>
      </x:c>
      <x:c r="I11" s="8" t="n">
        <x:v>7.726</x:v>
      </x:c>
      <x:c r="J11" s="8" t="n">
        <x:v>10.5725</x:v>
      </x:c>
      <x:c r="K11" s="8" t="n">
        <x:v>2.679</x:v>
      </x:c>
      <x:c r="L11" s="8" t="n">
        <x:v>1.4113</x:v>
      </x:c>
      <x:c r="M11" s="8" t="n">
        <x:v>2.4637</x:v>
      </x:c>
      <x:c r="N11" s="8" t="n">
        <x:v>8.2044</x:v>
      </x:c>
    </x:row>
    <x:row r="12" ht="19" customHeight="1">
      <x:c r="A12" s="7" t="n">
        <x:v>33178</x:v>
      </x:c>
      <x:c r="B12" s="8" t="n">
        <x:v>3.18556729362</x:v>
      </x:c>
      <x:c r="C12" s="8" t="n">
        <x:v>3.20819822887</x:v>
      </x:c>
      <x:c r="D12" s="8" t="n">
        <x:v>3.83776473608</x:v>
      </x:c>
      <x:c r="E12" s="8" t="n">
        <x:v>11.0066063383</x:v>
      </x:c>
      <x:c r="F12" s="8" t="n">
        <x:v>124.26</x:v>
      </x:c>
      <x:c r="G12" s="8" t="n">
        <x:v>60.2973</x:v>
      </x:c>
      <x:c r="H12" s="8" t="n">
        <x:v>29.8214</x:v>
      </x:c>
      <x:c r="I12" s="8" t="n">
        <x:v>7.6452</x:v>
      </x:c>
      <x:c r="J12" s="8" t="n">
        <x:v>12.8816</x:v>
      </x:c>
      <x:c r="K12" s="8" t="n">
        <x:v>2.5658</x:v>
      </x:c>
      <x:c r="L12" s="8" t="n">
        <x:v>0.6546</x:v>
      </x:c>
      <x:c r="M12" s="8" t="n">
        <x:v>1.728</x:v>
      </x:c>
      <x:c r="N12" s="8" t="n">
        <x:v>8.6663</x:v>
      </x:c>
    </x:row>
    <x:row r="13" ht="19" customHeight="1">
      <x:c r="A13" s="7" t="n">
        <x:v>33208</x:v>
      </x:c>
      <x:c r="B13" s="8" t="n">
        <x:v>3.01199279443</x:v>
      </x:c>
      <x:c r="C13" s="8" t="n">
        <x:v>3.04764013316</x:v>
      </x:c>
      <x:c r="D13" s="8" t="n">
        <x:v>3.83569297263</x:v>
      </x:c>
      <x:c r="E13" s="8" t="n">
        <x:v>11.0107622143</x:v>
      </x:c>
      <x:c r="F13" s="8" t="n">
        <x:v>137.67</x:v>
      </x:c>
      <x:c r="G13" s="8" t="n">
        <x:v>54.7453</x:v>
      </x:c>
      <x:c r="H13" s="8" t="n">
        <x:v>44.1243</x:v>
      </x:c>
      <x:c r="I13" s="8" t="n">
        <x:v>5.0282</x:v>
      </x:c>
      <x:c r="J13" s="8" t="n">
        <x:v>11.5084</x:v>
      </x:c>
      <x:c r="K13" s="8" t="n">
        <x:v>3.1191</x:v>
      </x:c>
      <x:c r="L13" s="8" t="n">
        <x:v>4.9206</x:v>
      </x:c>
      <x:c r="M13" s="8" t="n">
        <x:v>3.0922</x:v>
      </x:c>
      <x:c r="N13" s="8" t="n">
        <x:v>11.1319</x:v>
      </x:c>
    </x:row>
    <x:row r="14" ht="19" customHeight="1">
      <x:c r="A14" s="7" t="n">
        <x:v>33239</x:v>
      </x:c>
      <x:c r="B14" s="8" t="n">
        <x:v>2.93015386522</x:v>
      </x:c>
      <x:c r="C14" s="8" t="n">
        <x:v>2.86209481952</x:v>
      </x:c>
      <x:c r="D14" s="8" t="n">
        <x:v>3.83771759786</x:v>
      </x:c>
      <x:c r="E14" s="8" t="n">
        <x:v>11.0076842195</x:v>
      </x:c>
      <x:c r="F14" s="8" t="n">
        <x:v>259.57</x:v>
      </x:c>
      <x:c r="G14" s="8" t="n">
        <x:v>204.2443</x:v>
      </x:c>
      <x:c r="H14" s="8" t="n">
        <x:v>25.0813</x:v>
      </x:c>
      <x:c r="I14" s="8" t="n">
        <x:v>8.6051</x:v>
      </x:c>
      <x:c r="J14" s="8" t="n">
        <x:v>9.9465</x:v>
      </x:c>
      <x:c r="K14" s="8" t="n">
        <x:v>0.9364</x:v>
      </x:c>
      <x:c r="L14" s="8" t="n">
        <x:v>2.05</x:v>
      </x:c>
      <x:c r="M14" s="8" t="n">
        <x:v>1.5185</x:v>
      </x:c>
      <x:c r="N14" s="8" t="n">
        <x:v>7.1878</x:v>
      </x:c>
    </x:row>
    <x:row r="15" ht="19" customHeight="1">
      <x:c r="A15" s="7" t="n">
        <x:v>33270</x:v>
      </x:c>
      <x:c r="B15" s="8" t="n">
        <x:v>2.72082678768</x:v>
      </x:c>
      <x:c r="C15" s="8" t="n">
        <x:v>2.67384163412</x:v>
      </x:c>
      <x:c r="D15" s="8" t="n">
        <x:v>3.83600798201</x:v>
      </x:c>
      <x:c r="E15" s="8" t="n">
        <x:v>11.002433119</x:v>
      </x:c>
      <x:c r="F15" s="8" t="n">
        <x:v>207.53</x:v>
      </x:c>
      <x:c r="G15" s="8" t="n">
        <x:v>154.1908</x:v>
      </x:c>
      <x:c r="H15" s="8" t="n">
        <x:v>25.3922</x:v>
      </x:c>
      <x:c r="I15" s="8" t="n">
        <x:v>7.7689</x:v>
      </x:c>
      <x:c r="J15" s="8" t="n">
        <x:v>7.4299</x:v>
      </x:c>
      <x:c r="K15" s="8" t="n">
        <x:v>0.9646</x:v>
      </x:c>
      <x:c r="L15" s="8" t="n">
        <x:v>2.3463</x:v>
      </x:c>
      <x:c r="M15" s="8" t="n">
        <x:v>1.486</x:v>
      </x:c>
      <x:c r="N15" s="8" t="n">
        <x:v>7.9513</x:v>
      </x:c>
    </x:row>
    <x:row r="16" ht="19" customHeight="1">
      <x:c r="A16" s="7" t="n">
        <x:v>33298</x:v>
      </x:c>
      <x:c r="B16" s="8" t="n">
        <x:v>2.69209771924</x:v>
      </x:c>
      <x:c r="C16" s="8" t="n">
        <x:v>2.65001865353</x:v>
      </x:c>
      <x:c r="D16" s="8" t="n">
        <x:v>3.82985963318</x:v>
      </x:c>
      <x:c r="E16" s="8" t="n">
        <x:v>11.0062910458</x:v>
      </x:c>
      <x:c r="F16" s="8" t="n">
        <x:v>116.74</x:v>
      </x:c>
      <x:c r="G16" s="8" t="n">
        <x:v>54.5812</x:v>
      </x:c>
      <x:c r="H16" s="8" t="n">
        <x:v>26.6554</x:v>
      </x:c>
      <x:c r="I16" s="8" t="n">
        <x:v>4.8586</x:v>
      </x:c>
      <x:c r="J16" s="8" t="n">
        <x:v>18.8995</x:v>
      </x:c>
      <x:c r="K16" s="8" t="n">
        <x:v>0.3789</x:v>
      </x:c>
      <x:c r="L16" s="8" t="n">
        <x:v>1.5378</x:v>
      </x:c>
      <x:c r="M16" s="8" t="n">
        <x:v>1.627</x:v>
      </x:c>
      <x:c r="N16" s="8" t="n">
        <x:v>8.2017</x:v>
      </x:c>
    </x:row>
    <x:row r="17" ht="19" customHeight="1">
      <x:c r="A17" s="7" t="n">
        <x:v>33329</x:v>
      </x:c>
      <x:c r="B17" s="8" t="n">
        <x:v>2.73554919629</x:v>
      </x:c>
      <x:c r="C17" s="8" t="n">
        <x:v>2.65302301048</x:v>
      </x:c>
      <x:c r="D17" s="8" t="n">
        <x:v>3.82989058576</x:v>
      </x:c>
      <x:c r="E17" s="8" t="n">
        <x:v>10.9845127578</x:v>
      </x:c>
      <x:c r="F17" s="8" t="n">
        <x:v>94.08</x:v>
      </x:c>
      <x:c r="G17" s="8" t="n">
        <x:v>29.3639</x:v>
      </x:c>
      <x:c r="H17" s="8" t="n">
        <x:v>28.4621</x:v>
      </x:c>
      <x:c r="I17" s="8" t="n">
        <x:v>4.1387</x:v>
      </x:c>
      <x:c r="J17" s="8" t="n">
        <x:v>14.4276</x:v>
      </x:c>
      <x:c r="K17" s="8" t="n">
        <x:v>1.7572</x:v>
      </x:c>
      <x:c r="L17" s="8" t="n">
        <x:v>0.8092</x:v>
      </x:c>
      <x:c r="M17" s="8" t="n">
        <x:v>2.6358</x:v>
      </x:c>
      <x:c r="N17" s="8" t="n">
        <x:v>12.4854</x:v>
      </x:c>
    </x:row>
    <x:row r="18" ht="19" customHeight="1">
      <x:c r="A18" s="7" t="n">
        <x:v>33359</x:v>
      </x:c>
      <x:c r="B18" s="8" t="n">
        <x:v>2.7508760862</x:v>
      </x:c>
      <x:c r="C18" s="8" t="n">
        <x:v>2.6498501205</x:v>
      </x:c>
      <x:c r="D18" s="8" t="n">
        <x:v>3.83556913852</x:v>
      </x:c>
      <x:c r="E18" s="8" t="n">
        <x:v>10.9811655738</x:v>
      </x:c>
      <x:c r="F18" s="8" t="n">
        <x:v>88.52</x:v>
      </x:c>
      <x:c r="G18" s="8" t="n">
        <x:v>19.0609</x:v>
      </x:c>
      <x:c r="H18" s="8" t="n">
        <x:v>31.4575</x:v>
      </x:c>
      <x:c r="I18" s="8" t="n">
        <x:v>5.572</x:v>
      </x:c>
      <x:c r="J18" s="8" t="n">
        <x:v>17.3172</x:v>
      </x:c>
      <x:c r="K18" s="8" t="n">
        <x:v>2.345</x:v>
      </x:c>
      <x:c r="L18" s="8" t="n">
        <x:v>1.0823</x:v>
      </x:c>
      <x:c r="M18" s="8" t="n">
        <x:v>2.0243</x:v>
      </x:c>
      <x:c r="N18" s="8" t="n">
        <x:v>9.6607</x:v>
      </x:c>
    </x:row>
    <x:row r="19" ht="19" customHeight="1">
      <x:c r="A19" s="7" t="n">
        <x:v>33390</x:v>
      </x:c>
      <x:c r="B19" s="8" t="n">
        <x:v>2.69770273258</x:v>
      </x:c>
      <x:c r="C19" s="8" t="n">
        <x:v>2.59228718266</x:v>
      </x:c>
      <x:c r="D19" s="8" t="n">
        <x:v>3.8365089113</x:v>
      </x:c>
      <x:c r="E19" s="8" t="n">
        <x:v>10.984919772</x:v>
      </x:c>
      <x:c r="F19" s="8" t="n">
        <x:v>78.55</x:v>
      </x:c>
      <x:c r="G19" s="8" t="n">
        <x:v>15.701</x:v>
      </x:c>
      <x:c r="H19" s="8" t="n">
        <x:v>29.0967</x:v>
      </x:c>
      <x:c r="I19" s="8" t="n">
        <x:v>6.3565</x:v>
      </x:c>
      <x:c r="J19" s="8" t="n">
        <x:v>12.0863</x:v>
      </x:c>
      <x:c r="K19" s="8" t="n">
        <x:v>4.6331</x:v>
      </x:c>
      <x:c r="L19" s="8" t="n">
        <x:v>0.4029</x:v>
      </x:c>
      <x:c r="M19" s="8" t="n">
        <x:v>2.6859</x:v>
      </x:c>
      <x:c r="N19" s="8" t="n">
        <x:v>7.5875</x:v>
      </x:c>
    </x:row>
    <x:row r="20" ht="19" customHeight="1">
      <x:c r="A20" s="7" t="n">
        <x:v>33420</x:v>
      </x:c>
      <x:c r="B20" s="8" t="n">
        <x:v>2.7544367143</x:v>
      </x:c>
      <x:c r="C20" s="8" t="n">
        <x:v>2.65631885834</x:v>
      </x:c>
      <x:c r="D20" s="8" t="n">
        <x:v>3.83969137197</x:v>
      </x:c>
      <x:c r="E20" s="8" t="n">
        <x:v>11.0009491794</x:v>
      </x:c>
      <x:c r="F20" s="8" t="n">
        <x:v>93.95</x:v>
      </x:c>
      <x:c r="G20" s="8" t="n">
        <x:v>20.804</x:v>
      </x:c>
      <x:c r="H20" s="8" t="n">
        <x:v>32.6136</x:v>
      </x:c>
      <x:c r="I20" s="8" t="n">
        <x:v>3.5017</x:v>
      </x:c>
      <x:c r="J20" s="8" t="n">
        <x:v>15.1052</x:v>
      </x:c>
      <x:c r="K20" s="8" t="n">
        <x:v>10.2761</x:v>
      </x:c>
      <x:c r="L20" s="8" t="n">
        <x:v>0.7324</x:v>
      </x:c>
      <x:c r="M20" s="8" t="n">
        <x:v>3.3415</x:v>
      </x:c>
      <x:c r="N20" s="8" t="n">
        <x:v>7.5755</x:v>
      </x:c>
    </x:row>
    <x:row r="21" ht="19" customHeight="1">
      <x:c r="A21" s="7" t="n">
        <x:v>33451</x:v>
      </x:c>
      <x:c r="B21" s="8" t="n">
        <x:v>2.76496456369</x:v>
      </x:c>
      <x:c r="C21" s="8" t="n">
        <x:v>2.67227887603</x:v>
      </x:c>
      <x:c r="D21" s="8" t="n">
        <x:v>3.83830533395</x:v>
      </x:c>
      <x:c r="E21" s="8" t="n">
        <x:v>10.9882882319</x:v>
      </x:c>
      <x:c r="F21" s="8" t="n">
        <x:v>110.44</x:v>
      </x:c>
      <x:c r="G21" s="8" t="n">
        <x:v>12.1993</x:v>
      </x:c>
      <x:c r="H21" s="8" t="n">
        <x:v>30.564</x:v>
      </x:c>
      <x:c r="I21" s="8" t="n">
        <x:v>5.585</x:v>
      </x:c>
      <x:c r="J21" s="8" t="n">
        <x:v>16.5359</x:v>
      </x:c>
      <x:c r="K21" s="8" t="n">
        <x:v>5.2345</x:v>
      </x:c>
      <x:c r="L21" s="8" t="n">
        <x:v>27.1583</x:v>
      </x:c>
      <x:c r="M21" s="8" t="n">
        <x:v>1.8179</x:v>
      </x:c>
      <x:c r="N21" s="8" t="n">
        <x:v>11.3452</x:v>
      </x:c>
    </x:row>
    <x:row r="22" ht="19" customHeight="1">
      <x:c r="A22" s="7" t="n">
        <x:v>33482</x:v>
      </x:c>
      <x:c r="B22" s="8" t="n">
        <x:v>2.77121917169</x:v>
      </x:c>
      <x:c r="C22" s="8" t="n">
        <x:v>2.7056141463</x:v>
      </x:c>
      <x:c r="D22" s="8" t="n">
        <x:v>3.83786117841</x:v>
      </x:c>
      <x:c r="E22" s="8" t="n">
        <x:v>11.0042142709</x:v>
      </x:c>
      <x:c r="F22" s="8" t="n">
        <x:v>103.19</x:v>
      </x:c>
      <x:c r="G22" s="8" t="n">
        <x:v>13.4625</x:v>
      </x:c>
      <x:c r="H22" s="8" t="n">
        <x:v>40.2758</x:v>
      </x:c>
      <x:c r="I22" s="8" t="n">
        <x:v>3.4828</x:v>
      </x:c>
      <x:c r="J22" s="8" t="n">
        <x:v>24.1342</x:v>
      </x:c>
      <x:c r="K22" s="8" t="n">
        <x:v>6.5861</x:v>
      </x:c>
      <x:c r="L22" s="8" t="n">
        <x:v>5.4252</x:v>
      </x:c>
      <x:c r="M22" s="8" t="n">
        <x:v>1.1833</x:v>
      </x:c>
      <x:c r="N22" s="8" t="n">
        <x:v>8.6401</x:v>
      </x:c>
    </x:row>
    <x:row r="23" ht="19" customHeight="1">
      <x:c r="A23" s="7" t="n">
        <x:v>33512</x:v>
      </x:c>
      <x:c r="B23" s="8" t="n">
        <x:v>2.82917501748</x:v>
      </x:c>
      <x:c r="C23" s="8" t="n">
        <x:v>2.7842731086</x:v>
      </x:c>
      <x:c r="D23" s="8" t="n">
        <x:v>3.84142461963</x:v>
      </x:c>
      <x:c r="E23" s="8" t="n">
        <x:v>11.0049956443</x:v>
      </x:c>
      <x:c r="F23" s="8" t="n">
        <x:v>88.74</x:v>
      </x:c>
      <x:c r="G23" s="8" t="n">
        <x:v>14.2538</x:v>
      </x:c>
      <x:c r="H23" s="8" t="n">
        <x:v>33.0245</x:v>
      </x:c>
      <x:c r="I23" s="8" t="n">
        <x:v>3.5794</x:v>
      </x:c>
      <x:c r="J23" s="8" t="n">
        <x:v>12.3362</x:v>
      </x:c>
      <x:c r="K23" s="8" t="n">
        <x:v>8.9486</x:v>
      </x:c>
      <x:c r="L23" s="8" t="n">
        <x:v>6.3705</x:v>
      </x:c>
      <x:c r="M23" s="8" t="n">
        <x:v>3.0042</x:v>
      </x:c>
      <x:c r="N23" s="8" t="n">
        <x:v>7.2228</x:v>
      </x:c>
    </x:row>
    <x:row r="24" ht="19" customHeight="1">
      <x:c r="A24" s="7" t="n">
        <x:v>33543</x:v>
      </x:c>
      <x:c r="B24" s="8" t="n">
        <x:v>2.79110277672</x:v>
      </x:c>
      <x:c r="C24" s="8" t="n">
        <x:v>2.72911368927</x:v>
      </x:c>
      <x:c r="D24" s="8" t="n">
        <x:v>3.84104221963</x:v>
      </x:c>
      <x:c r="E24" s="8" t="n">
        <x:v>11.0087609401</x:v>
      </x:c>
      <x:c r="F24" s="8" t="n">
        <x:v>93.67</x:v>
      </x:c>
      <x:c r="G24" s="8" t="n">
        <x:v>16.4675</x:v>
      </x:c>
      <x:c r="H24" s="8" t="n">
        <x:v>34.3374</x:v>
      </x:c>
      <x:c r="I24" s="8" t="n">
        <x:v>5.6324</x:v>
      </x:c>
      <x:c r="J24" s="8" t="n">
        <x:v>14.3185</x:v>
      </x:c>
      <x:c r="K24" s="8" t="n">
        <x:v>6.1979</x:v>
      </x:c>
      <x:c r="L24" s="8" t="n">
        <x:v>3.4383</x:v>
      </x:c>
      <x:c r="M24" s="8" t="n">
        <x:v>3.6192</x:v>
      </x:c>
      <x:c r="N24" s="8" t="n">
        <x:v>9.6588</x:v>
      </x:c>
    </x:row>
    <x:row r="25" ht="19" customHeight="1">
      <x:c r="A25" s="7" t="n">
        <x:v>33573</x:v>
      </x:c>
      <x:c r="B25" s="8" t="n">
        <x:v>2.64688274022</x:v>
      </x:c>
      <x:c r="C25" s="8" t="n">
        <x:v>2.5893622699</x:v>
      </x:c>
      <x:c r="D25" s="8" t="n">
        <x:v>3.83348530262</x:v>
      </x:c>
      <x:c r="E25" s="8" t="n">
        <x:v>11.0156410768</x:v>
      </x:c>
      <x:c r="F25" s="8" t="n">
        <x:v>98.14</x:v>
      </x:c>
      <x:c r="G25" s="8" t="n">
        <x:v>9.2781</x:v>
      </x:c>
      <x:c r="H25" s="8" t="n">
        <x:v>39.6812</x:v>
      </x:c>
      <x:c r="I25" s="8" t="n">
        <x:v>8.1045</x:v>
      </x:c>
      <x:c r="J25" s="8" t="n">
        <x:v>17.3826</x:v>
      </x:c>
      <x:c r="K25" s="8" t="n">
        <x:v>10.2303</x:v>
      </x:c>
      <x:c r="L25" s="8" t="n">
        <x:v>3.4987</x:v>
      </x:c>
      <x:c r="M25" s="8" t="n">
        <x:v>1.7272</x:v>
      </x:c>
      <x:c r="N25" s="8" t="n">
        <x:v>8.2374</x:v>
      </x:c>
    </x:row>
    <x:row r="26" ht="19" customHeight="1">
      <x:c r="A26" s="7" t="n">
        <x:v>33604</x:v>
      </x:c>
      <x:c r="B26" s="8" t="n">
        <x:v>2.60906976074</x:v>
      </x:c>
      <x:c r="C26" s="8" t="n">
        <x:v>2.57496632049</x:v>
      </x:c>
      <x:c r="D26" s="8" t="n">
        <x:v>3.84159150136</x:v>
      </x:c>
      <x:c r="E26" s="8" t="n">
        <x:v>10.997950846</x:v>
      </x:c>
      <x:c r="F26" s="8" t="n">
        <x:v>98.34</x:v>
      </x:c>
      <x:c r="G26" s="8" t="n">
        <x:v>11.6011</x:v>
      </x:c>
      <x:c r="H26" s="8" t="n">
        <x:v>37.395</x:v>
      </x:c>
      <x:c r="I26" s="8" t="n">
        <x:v>6.7991</x:v>
      </x:c>
      <x:c r="J26" s="8" t="n">
        <x:v>18.3553</x:v>
      </x:c>
      <x:c r="K26" s="8" t="n">
        <x:v>7.8986</x:v>
      </x:c>
      <x:c r="L26" s="8" t="n">
        <x:v>6.0137</x:v>
      </x:c>
      <x:c r="M26" s="8" t="n">
        <x:v>1.9298</x:v>
      </x:c>
      <x:c r="N26" s="8" t="n">
        <x:v>8.3474</x:v>
      </x:c>
    </x:row>
    <x:row r="27" ht="19" customHeight="1">
      <x:c r="A27" s="7" t="n">
        <x:v>33635</x:v>
      </x:c>
      <x:c r="B27" s="8" t="n">
        <x:v>2.61854325573</x:v>
      </x:c>
      <x:c r="C27" s="8" t="n">
        <x:v>2.56672378401</x:v>
      </x:c>
      <x:c r="D27" s="8" t="n">
        <x:v>3.8454952252</x:v>
      </x:c>
      <x:c r="E27" s="8" t="n">
        <x:v>10.9956725302</x:v>
      </x:c>
      <x:c r="F27" s="8" t="n">
        <x:v>87.25</x:v>
      </x:c>
      <x:c r="G27" s="8" t="n">
        <x:v>15.9737</x:v>
      </x:c>
      <x:c r="H27" s="8" t="n">
        <x:v>34.2061</x:v>
      </x:c>
      <x:c r="I27" s="8" t="n">
        <x:v>4.0284</x:v>
      </x:c>
      <x:c r="J27" s="8" t="n">
        <x:v>12.4111</x:v>
      </x:c>
      <x:c r="K27" s="8" t="n">
        <x:v>4.3311</x:v>
      </x:c>
      <x:c r="L27" s="8" t="n">
        <x:v>4.8666</x:v>
      </x:c>
      <x:c r="M27" s="8" t="n">
        <x:v>3.4928</x:v>
      </x:c>
      <x:c r="N27" s="8" t="n">
        <x:v>7.9403</x:v>
      </x:c>
    </x:row>
    <x:row r="28" ht="19" customHeight="1">
      <x:c r="A28" s="7" t="n">
        <x:v>33664</x:v>
      </x:c>
      <x:c r="B28" s="8" t="n">
        <x:v>2.61019665068</x:v>
      </x:c>
      <x:c r="C28" s="8" t="n">
        <x:v>2.53957908347</x:v>
      </x:c>
      <x:c r="D28" s="8" t="n">
        <x:v>3.84358956766</x:v>
      </x:c>
      <x:c r="E28" s="8" t="n">
        <x:v>10.9767022865</x:v>
      </x:c>
      <x:c r="F28" s="8" t="n">
        <x:v>83.72</x:v>
      </x:c>
      <x:c r="G28" s="8" t="n">
        <x:v>16.2651</x:v>
      </x:c>
      <x:c r="H28" s="8" t="n">
        <x:v>31.0849</x:v>
      </x:c>
      <x:c r="I28" s="8" t="n">
        <x:v>6.3205</x:v>
      </x:c>
      <x:c r="J28" s="8" t="n">
        <x:v>12.4469</x:v>
      </x:c>
      <x:c r="K28" s="8" t="n">
        <x:v>5.2204</x:v>
      </x:c>
      <x:c r="L28" s="8" t="n">
        <x:v>1.4669</x:v>
      </x:c>
      <x:c r="M28" s="8" t="n">
        <x:v>3.1063</x:v>
      </x:c>
      <x:c r="N28" s="8" t="n">
        <x:v>7.809</x:v>
      </x:c>
    </x:row>
    <x:row r="29" ht="19" customHeight="1">
      <x:c r="A29" s="7" t="n">
        <x:v>33695</x:v>
      </x:c>
      <x:c r="B29" s="8" t="n">
        <x:v>2.67498933884</x:v>
      </x:c>
      <x:c r="C29" s="8" t="n">
        <x:v>2.60804225129</x:v>
      </x:c>
      <x:c r="D29" s="8" t="n">
        <x:v>3.84417330014</x:v>
      </x:c>
      <x:c r="E29" s="8" t="n">
        <x:v>10.9739147984</x:v>
      </x:c>
      <x:c r="F29" s="8" t="n">
        <x:v>81.9</x:v>
      </x:c>
      <x:c r="G29" s="8" t="n">
        <x:v>16.3235</x:v>
      </x:c>
      <x:c r="H29" s="8" t="n">
        <x:v>20.1339</x:v>
      </x:c>
      <x:c r="I29" s="8" t="n">
        <x:v>4.3514</x:v>
      </x:c>
      <x:c r="J29" s="8" t="n">
        <x:v>18.8638</x:v>
      </x:c>
      <x:c r="K29" s="8" t="n">
        <x:v>3.5281</x:v>
      </x:c>
      <x:c r="L29" s="8" t="n">
        <x:v>5.4804</x:v>
      </x:c>
      <x:c r="M29" s="8" t="n">
        <x:v>5.3628</x:v>
      </x:c>
      <x:c r="N29" s="8" t="n">
        <x:v>7.856</x:v>
      </x:c>
    </x:row>
    <x:row r="30" ht="19" customHeight="1">
      <x:c r="A30" s="7" t="n">
        <x:v>33725</x:v>
      </x:c>
      <x:c r="B30" s="8" t="n">
        <x:v>2.70924252269</x:v>
      </x:c>
      <x:c r="C30" s="8" t="n">
        <x:v>2.65589001259</x:v>
      </x:c>
      <x:c r="D30" s="8" t="n">
        <x:v>3.83826440801</x:v>
      </x:c>
      <x:c r="E30" s="8" t="n">
        <x:v>10.9702582181</x:v>
      </x:c>
      <x:c r="F30" s="8" t="n">
        <x:v>88.84</x:v>
      </x:c>
      <x:c r="G30" s="8" t="n">
        <x:v>19.916</x:v>
      </x:c>
      <x:c r="H30" s="8" t="n">
        <x:v>17.9442</x:v>
      </x:c>
      <x:c r="I30" s="8" t="n">
        <x:v>3.8334</x:v>
      </x:c>
      <x:c r="J30" s="8" t="n">
        <x:v>24.5866</x:v>
      </x:c>
      <x:c r="K30" s="8" t="n">
        <x:v>4.4723</x:v>
      </x:c>
      <x:c r="L30" s="8" t="n">
        <x:v>3.6351</x:v>
      </x:c>
      <x:c r="M30" s="8" t="n">
        <x:v>5.5738</x:v>
      </x:c>
      <x:c r="N30" s="8" t="n">
        <x:v>8.8785</x:v>
      </x:c>
    </x:row>
    <x:row r="31" ht="19" customHeight="1">
      <x:c r="A31" s="7" t="n">
        <x:v>33756</x:v>
      </x:c>
      <x:c r="B31" s="8" t="n">
        <x:v>2.77142816326</x:v>
      </x:c>
      <x:c r="C31" s="8" t="n">
        <x:v>2.71492633964</x:v>
      </x:c>
      <x:c r="D31" s="8" t="n">
        <x:v>3.84031605603</x:v>
      </x:c>
      <x:c r="E31" s="8" t="n">
        <x:v>10.9685311824</x:v>
      </x:c>
      <x:c r="F31" s="8" t="n">
        <x:v>93.72</x:v>
      </x:c>
      <x:c r="G31" s="8" t="n">
        <x:v>22.8909</x:v>
      </x:c>
      <x:c r="H31" s="8" t="n">
        <x:v>35.011</x:v>
      </x:c>
      <x:c r="I31" s="8" t="n">
        <x:v>3.518</x:v>
      </x:c>
      <x:c r="J31" s="8" t="n">
        <x:v>16.5778</x:v>
      </x:c>
      <x:c r="K31" s="8" t="n">
        <x:v>2.53</x:v>
      </x:c>
      <x:c r="L31" s="8" t="n">
        <x:v>1.6746</x:v>
      </x:c>
      <x:c r="M31" s="8" t="n">
        <x:v>3.5421</x:v>
      </x:c>
      <x:c r="N31" s="8" t="n">
        <x:v>7.9757</x:v>
      </x:c>
    </x:row>
    <x:row r="32" ht="19" customHeight="1">
      <x:c r="A32" s="7" t="n">
        <x:v>33786</x:v>
      </x:c>
      <x:c r="B32" s="8" t="n">
        <x:v>2.74095481472</x:v>
      </x:c>
      <x:c r="C32" s="8" t="n">
        <x:v>2.66762354163</x:v>
      </x:c>
      <x:c r="D32" s="8" t="n">
        <x:v>3.84212388267</x:v>
      </x:c>
      <x:c r="E32" s="8" t="n">
        <x:v>10.9769888494</x:v>
      </x:c>
      <x:c r="F32" s="8" t="n">
        <x:v>95.97</x:v>
      </x:c>
      <x:c r="G32" s="8" t="n">
        <x:v>24.0677</x:v>
      </x:c>
      <x:c r="H32" s="8" t="n">
        <x:v>32.3195</x:v>
      </x:c>
      <x:c r="I32" s="8" t="n">
        <x:v>7.1558</x:v>
      </x:c>
      <x:c r="J32" s="8" t="n">
        <x:v>16.654</x:v>
      </x:c>
      <x:c r="K32" s="8" t="n">
        <x:v>1.8481</x:v>
      </x:c>
      <x:c r="L32" s="8" t="n">
        <x:v>3.3738</x:v>
      </x:c>
      <x:c r="M32" s="8" t="n">
        <x:v>2.7936</x:v>
      </x:c>
      <x:c r="N32" s="8" t="n">
        <x:v>7.7575</x:v>
      </x:c>
    </x:row>
    <x:row r="33" ht="19" customHeight="1">
      <x:c r="A33" s="7" t="n">
        <x:v>33817</x:v>
      </x:c>
      <x:c r="B33" s="8" t="n">
        <x:v>2.71841298814</x:v>
      </x:c>
      <x:c r="C33" s="8" t="n">
        <x:v>2.64047677627</x:v>
      </x:c>
      <x:c r="D33" s="8" t="n">
        <x:v>3.83631668209</x:v>
      </x:c>
      <x:c r="E33" s="8" t="n">
        <x:v>10.97720567</x:v>
      </x:c>
      <x:c r="F33" s="8" t="n">
        <x:v>102.93</x:v>
      </x:c>
      <x:c r="G33" s="8" t="n">
        <x:v>41.1352</x:v>
      </x:c>
      <x:c r="H33" s="8" t="n">
        <x:v>23.1922</x:v>
      </x:c>
      <x:c r="I33" s="8" t="n">
        <x:v>2.7778</x:v>
      </x:c>
      <x:c r="J33" s="8" t="n">
        <x:v>21.9565</x:v>
      </x:c>
      <x:c r="K33" s="8" t="n">
        <x:v>1.2868</x:v>
      </x:c>
      <x:c r="L33" s="8" t="n">
        <x:v>0.9804</x:v>
      </x:c>
      <x:c r="M33" s="8" t="n">
        <x:v>1.7974</x:v>
      </x:c>
      <x:c r="N33" s="8" t="n">
        <x:v>9.8038</x:v>
      </x:c>
    </x:row>
    <x:row r="34" ht="19" customHeight="1">
      <x:c r="A34" s="7" t="n">
        <x:v>33848</x:v>
      </x:c>
      <x:c r="B34" s="8" t="n">
        <x:v>2.74127430468</x:v>
      </x:c>
      <x:c r="C34" s="8" t="n">
        <x:v>2.66484328759</x:v>
      </x:c>
      <x:c r="D34" s="8" t="n">
        <x:v>3.84483166751</x:v>
      </x:c>
      <x:c r="E34" s="8" t="n">
        <x:v>10.9864296865</x:v>
      </x:c>
      <x:c r="F34" s="8" t="n">
        <x:v>87.87</x:v>
      </x:c>
      <x:c r="G34" s="8" t="n">
        <x:v>19.8884</x:v>
      </x:c>
      <x:c r="H34" s="8" t="n">
        <x:v>30.8385</x:v>
      </x:c>
      <x:c r="I34" s="8" t="n">
        <x:v>4.3137</x:v>
      </x:c>
      <x:c r="J34" s="8" t="n">
        <x:v>15.1393</x:v>
      </x:c>
      <x:c r="K34" s="8" t="n">
        <x:v>3.4426</x:v>
      </x:c>
      <x:c r="L34" s="8" t="n">
        <x:v>1.6591</x:v>
      </x:c>
      <x:c r="M34" s="8" t="n">
        <x:v>2.2398</x:v>
      </x:c>
      <x:c r="N34" s="8" t="n">
        <x:v>10.3486</x:v>
      </x:c>
    </x:row>
    <x:row r="35" ht="19" customHeight="1">
      <x:c r="A35" s="7" t="n">
        <x:v>33878</x:v>
      </x:c>
      <x:c r="B35" s="8" t="n">
        <x:v>2.72830936413</x:v>
      </x:c>
      <x:c r="C35" s="8" t="n">
        <x:v>2.66010653811</x:v>
      </x:c>
      <x:c r="D35" s="8" t="n">
        <x:v>3.84667673219</x:v>
      </x:c>
      <x:c r="E35" s="8" t="n">
        <x:v>10.9934248386</x:v>
      </x:c>
      <x:c r="F35" s="8" t="n">
        <x:v>79.55</x:v>
      </x:c>
      <x:c r="G35" s="8" t="n">
        <x:v>21.8762</x:v>
      </x:c>
      <x:c r="H35" s="8" t="n">
        <x:v>21.6832</x:v>
      </x:c>
      <x:c r="I35" s="8" t="n">
        <x:v>3.9582</x:v>
      </x:c>
      <x:c r="J35" s="8" t="n">
        <x:v>16.9333</x:v>
      </x:c>
      <x:c r="K35" s="8" t="n">
        <x:v>3.881</x:v>
      </x:c>
      <x:c r="L35" s="8" t="n">
        <x:v>0.9268</x:v>
      </x:c>
      <x:c r="M35" s="8" t="n">
        <x:v>2.0081</x:v>
      </x:c>
      <x:c r="N35" s="8" t="n">
        <x:v>8.2832</x:v>
      </x:c>
    </x:row>
    <x:row r="36" ht="19" customHeight="1">
      <x:c r="A36" s="7" t="n">
        <x:v>33909</x:v>
      </x:c>
      <x:c r="B36" s="8" t="n">
        <x:v>2.66122854151</x:v>
      </x:c>
      <x:c r="C36" s="8" t="n">
        <x:v>2.60407012767</x:v>
      </x:c>
      <x:c r="D36" s="8" t="n">
        <x:v>3.84286613213</x:v>
      </x:c>
      <x:c r="E36" s="8" t="n">
        <x:v>10.989658231</x:v>
      </x:c>
      <x:c r="F36" s="8" t="n">
        <x:v>99.22</x:v>
      </x:c>
      <x:c r="G36" s="8" t="n">
        <x:v>22.0674</x:v>
      </x:c>
      <x:c r="H36" s="8" t="n">
        <x:v>24.5401</x:v>
      </x:c>
      <x:c r="I36" s="8" t="n">
        <x:v>9.496</x:v>
      </x:c>
      <x:c r="J36" s="8" t="n">
        <x:v>17.4544</x:v>
      </x:c>
      <x:c r="K36" s="8" t="n">
        <x:v>4.5298</x:v>
      </x:c>
      <x:c r="L36" s="8" t="n">
        <x:v>3.4909</x:v>
      </x:c>
      <x:c r="M36" s="8" t="n">
        <x:v>8.2908</x:v>
      </x:c>
      <x:c r="N36" s="8" t="n">
        <x:v>9.3506</x:v>
      </x:c>
    </x:row>
    <x:row r="37" ht="19" customHeight="1">
      <x:c r="A37" s="7" t="n">
        <x:v>33939</x:v>
      </x:c>
      <x:c r="B37" s="8" t="n">
        <x:v>2.61302107807</x:v>
      </x:c>
      <x:c r="C37" s="8" t="n">
        <x:v>2.54535212558</x:v>
      </x:c>
      <x:c r="D37" s="8" t="n">
        <x:v>3.83723053565</x:v>
      </x:c>
      <x:c r="E37" s="8" t="n">
        <x:v>10.9916321624</x:v>
      </x:c>
      <x:c r="F37" s="8" t="n">
        <x:v>131.65</x:v>
      </x:c>
      <x:c r="G37" s="8" t="n">
        <x:v>53.8918</x:v>
      </x:c>
      <x:c r="H37" s="8" t="n">
        <x:v>29.17</x:v>
      </x:c>
      <x:c r="I37" s="8" t="n">
        <x:v>8.875</x:v>
      </x:c>
      <x:c r="J37" s="8" t="n">
        <x:v>19.2257</x:v>
      </x:c>
      <x:c r="K37" s="8" t="n">
        <x:v>2.2455</x:v>
      </x:c>
      <x:c r="L37" s="8" t="n">
        <x:v>1.3901</x:v>
      </x:c>
      <x:c r="M37" s="8" t="n">
        <x:v>1.9675</x:v>
      </x:c>
      <x:c r="N37" s="8" t="n">
        <x:v>14.8844</x:v>
      </x:c>
    </x:row>
    <x:row r="38" ht="19" customHeight="1">
      <x:c r="A38" s="7" t="n">
        <x:v>33970</x:v>
      </x:c>
      <x:c r="B38" s="8" t="n">
        <x:v>2.58974181739</x:v>
      </x:c>
      <x:c r="C38" s="8" t="n">
        <x:v>2.49962046445</x:v>
      </x:c>
      <x:c r="D38" s="8" t="n">
        <x:v>3.84618059363</x:v>
      </x:c>
      <x:c r="E38" s="8" t="n">
        <x:v>10.9867494072</x:v>
      </x:c>
      <x:c r="F38" s="8" t="n">
        <x:v>110.43</x:v>
      </x:c>
      <x:c r="G38" s="8" t="n">
        <x:v>45.5542</x:v>
      </x:c>
      <x:c r="H38" s="8" t="n">
        <x:v>29.463</x:v>
      </x:c>
      <x:c r="I38" s="8" t="n">
        <x:v>4.8662</x:v>
      </x:c>
      <x:c r="J38" s="8" t="n">
        <x:v>17.2771</x:v>
      </x:c>
      <x:c r="K38" s="8" t="n">
        <x:v>2.6171</x:v>
      </x:c>
      <x:c r="L38" s="8" t="n">
        <x:v>1.145</x:v>
      </x:c>
      <x:c r="M38" s="8" t="n">
        <x:v>1.4721</x:v>
      </x:c>
      <x:c r="N38" s="8" t="n">
        <x:v>8.0354</x:v>
      </x:c>
    </x:row>
    <x:row r="39" ht="19" customHeight="1">
      <x:c r="A39" s="7" t="n">
        <x:v>34001</x:v>
      </x:c>
      <x:c r="B39" s="8" t="n">
        <x:v>2.64184867825</x:v>
      </x:c>
      <x:c r="C39" s="8" t="n">
        <x:v>2.55777429364</x:v>
      </x:c>
      <x:c r="D39" s="8" t="n">
        <x:v>3.85341056685</x:v>
      </x:c>
      <x:c r="E39" s="8" t="n">
        <x:v>10.9963934574</x:v>
      </x:c>
      <x:c r="F39" s="8" t="n">
        <x:v>93.84</x:v>
      </x:c>
      <x:c r="G39" s="8" t="n">
        <x:v>25.3975</x:v>
      </x:c>
      <x:c r="H39" s="8" t="n">
        <x:v>28.9837</x:v>
      </x:c>
      <x:c r="I39" s="8" t="n">
        <x:v>8.0662</x:v>
      </x:c>
      <x:c r="J39" s="8" t="n">
        <x:v>15.6309</x:v>
      </x:c>
      <x:c r="K39" s="8" t="n">
        <x:v>4.1203</x:v>
      </x:c>
      <x:c r="L39" s="8" t="n">
        <x:v>0.6976</x:v>
      </x:c>
      <x:c r="M39" s="8" t="n">
        <x:v>2.2672</x:v>
      </x:c>
      <x:c r="N39" s="8" t="n">
        <x:v>8.6766</x:v>
      </x:c>
    </x:row>
    <x:row r="40" ht="19" customHeight="1">
      <x:c r="A40" s="7" t="n">
        <x:v>34029</x:v>
      </x:c>
      <x:c r="B40" s="8" t="n">
        <x:v>2.65183547386</x:v>
      </x:c>
      <x:c r="C40" s="8" t="n">
        <x:v>2.57355466458</x:v>
      </x:c>
      <x:c r="D40" s="8" t="n">
        <x:v>3.84977243746</x:v>
      </x:c>
      <x:c r="E40" s="8" t="n">
        <x:v>10.9766645562</x:v>
      </x:c>
      <x:c r="F40" s="8" t="n">
        <x:v>116.68</x:v>
      </x:c>
      <x:c r="G40" s="8" t="n">
        <x:v>29.1551</x:v>
      </x:c>
      <x:c r="H40" s="8" t="n">
        <x:v>24.7094</x:v>
      </x:c>
      <x:c r="I40" s="8" t="n">
        <x:v>28.1628</x:v>
      </x:c>
      <x:c r="J40" s="8" t="n">
        <x:v>14.6867</x:v>
      </x:c>
      <x:c r="K40" s="8" t="n">
        <x:v>7.006</x:v>
      </x:c>
      <x:c r="L40" s="8" t="n">
        <x:v>1.29</x:v>
      </x:c>
      <x:c r="M40" s="8" t="n">
        <x:v>2.6396</x:v>
      </x:c>
      <x:c r="N40" s="8" t="n">
        <x:v>9.0303</x:v>
      </x:c>
    </x:row>
    <x:row r="41" ht="19" customHeight="1">
      <x:c r="A41" s="7" t="n">
        <x:v>34060</x:v>
      </x:c>
      <x:c r="B41" s="8" t="n">
        <x:v>2.64490153425</x:v>
      </x:c>
      <x:c r="C41" s="8" t="n">
        <x:v>2.56366469825</x:v>
      </x:c>
      <x:c r="D41" s="8" t="n">
        <x:v>3.85178756013</x:v>
      </x:c>
      <x:c r="E41" s="8" t="n">
        <x:v>10.9728651071</x:v>
      </x:c>
      <x:c r="F41" s="8" t="n">
        <x:v>101.58</x:v>
      </x:c>
      <x:c r="G41" s="8" t="n">
        <x:v>32.0463</x:v>
      </x:c>
      <x:c r="H41" s="8" t="n">
        <x:v>22.2241</x:v>
      </x:c>
      <x:c r="I41" s="8" t="n">
        <x:v>12.8523</x:v>
      </x:c>
      <x:c r="J41" s="8" t="n">
        <x:v>15.2351</x:v>
      </x:c>
      <x:c r="K41" s="8" t="n">
        <x:v>5.0471</x:v>
      </x:c>
      <x:c r="L41" s="8" t="n">
        <x:v>0.9944</x:v>
      </x:c>
      <x:c r="M41" s="8" t="n">
        <x:v>3.6305</x:v>
      </x:c>
      <x:c r="N41" s="8" t="n">
        <x:v>9.5501</x:v>
      </x:c>
    </x:row>
    <x:row r="42" ht="19" customHeight="1">
      <x:c r="A42" s="7" t="n">
        <x:v>34090</x:v>
      </x:c>
      <x:c r="B42" s="8" t="n">
        <x:v>2.62719810447</x:v>
      </x:c>
      <x:c r="C42" s="8" t="n">
        <x:v>2.55228008772</x:v>
      </x:c>
      <x:c r="D42" s="8" t="n">
        <x:v>3.85496318001</x:v>
      </x:c>
      <x:c r="E42" s="8" t="n">
        <x:v>10.972188937</x:v>
      </x:c>
      <x:c r="F42" s="8" t="n">
        <x:v>103.53</x:v>
      </x:c>
      <x:c r="G42" s="8" t="n">
        <x:v>31.8883</x:v>
      </x:c>
      <x:c r="H42" s="8" t="n">
        <x:v>22.0258</x:v>
      </x:c>
      <x:c r="I42" s="8" t="n">
        <x:v>13.1084</x:v>
      </x:c>
      <x:c r="J42" s="8" t="n">
        <x:v>20.1531</x:v>
      </x:c>
      <x:c r="K42" s="8" t="n">
        <x:v>3.5848</x:v>
      </x:c>
      <x:c r="L42" s="8" t="n">
        <x:v>1.4803</x:v>
      </x:c>
      <x:c r="M42" s="8" t="n">
        <x:v>3.7809</x:v>
      </x:c>
      <x:c r="N42" s="8" t="n">
        <x:v>7.5084</x:v>
      </x:c>
    </x:row>
    <x:row r="43" ht="19" customHeight="1">
      <x:c r="A43" s="7" t="n">
        <x:v>34121</x:v>
      </x:c>
      <x:c r="B43" s="8" t="n">
        <x:v>2.58244035795</x:v>
      </x:c>
      <x:c r="C43" s="8" t="n">
        <x:v>2.50401150359</x:v>
      </x:c>
      <x:c r="D43" s="8" t="n">
        <x:v>3.8530674519</x:v>
      </x:c>
      <x:c r="E43" s="8" t="n">
        <x:v>10.966934146</x:v>
      </x:c>
      <x:c r="F43" s="8" t="n">
        <x:v>99.56</x:v>
      </x:c>
      <x:c r="G43" s="8" t="n">
        <x:v>27.8558</x:v>
      </x:c>
      <x:c r="H43" s="8" t="n">
        <x:v>23.3204</x:v>
      </x:c>
      <x:c r="I43" s="8" t="n">
        <x:v>11.8125</x:v>
      </x:c>
      <x:c r="J43" s="8" t="n">
        <x:v>15.9249</x:v>
      </x:c>
      <x:c r="K43" s="8" t="n">
        <x:v>3.8924</x:v>
      </x:c>
      <x:c r="L43" s="8" t="n">
        <x:v>4.8739</x:v>
      </x:c>
      <x:c r="M43" s="8" t="n">
        <x:v>4.4847</x:v>
      </x:c>
      <x:c r="N43" s="8" t="n">
        <x:v>7.3955</x:v>
      </x:c>
    </x:row>
    <x:row r="44" ht="19" customHeight="1">
      <x:c r="A44" s="7" t="n">
        <x:v>34151</x:v>
      </x:c>
      <x:c r="B44" s="8" t="n">
        <x:v>2.51613257596</x:v>
      </x:c>
      <x:c r="C44" s="8" t="n">
        <x:v>2.45207837947</x:v>
      </x:c>
      <x:c r="D44" s="8" t="n">
        <x:v>3.8526633121</x:v>
      </x:c>
      <x:c r="E44" s="8" t="n">
        <x:v>10.97598457</x:v>
      </x:c>
      <x:c r="F44" s="8" t="n">
        <x:v>110</x:v>
      </x:c>
      <x:c r="G44" s="8" t="n">
        <x:v>29.5986</x:v>
      </x:c>
      <x:c r="H44" s="8" t="n">
        <x:v>30.8342</x:v>
      </x:c>
      <x:c r="I44" s="8" t="n">
        <x:v>14.5722</x:v>
      </x:c>
      <x:c r="J44" s="8" t="n">
        <x:v>17.5702</x:v>
      </x:c>
      <x:c r="K44" s="8" t="n">
        <x:v>5.2329</x:v>
      </x:c>
      <x:c r="L44" s="8" t="n">
        <x:v>1.3809</x:v>
      </x:c>
      <x:c r="M44" s="8" t="n">
        <x:v>2.9798</x:v>
      </x:c>
      <x:c r="N44" s="8" t="n">
        <x:v>7.8312</x:v>
      </x:c>
    </x:row>
    <x:row r="45" ht="19" customHeight="1">
      <x:c r="A45" s="7" t="n">
        <x:v>34182</x:v>
      </x:c>
      <x:c r="B45" s="8" t="n">
        <x:v>2.52074386522</x:v>
      </x:c>
      <x:c r="C45" s="8" t="n">
        <x:v>2.44522542546</x:v>
      </x:c>
      <x:c r="D45" s="8" t="n">
        <x:v>3.85053893142</x:v>
      </x:c>
      <x:c r="E45" s="8" t="n">
        <x:v>10.9714998506</x:v>
      </x:c>
      <x:c r="F45" s="8" t="n">
        <x:v>103.52</x:v>
      </x:c>
      <x:c r="G45" s="8" t="n">
        <x:v>36.0417</x:v>
      </x:c>
      <x:c r="H45" s="8" t="n">
        <x:v>19.7941</x:v>
      </x:c>
      <x:c r="I45" s="8" t="n">
        <x:v>13.0166</x:v>
      </x:c>
      <x:c r="J45" s="8" t="n">
        <x:v>17.863</x:v>
      </x:c>
      <x:c r="K45" s="8" t="n">
        <x:v>1.7454</x:v>
      </x:c>
      <x:c r="L45" s="8" t="n">
        <x:v>1.3741</x:v>
      </x:c>
      <x:c r="M45" s="8" t="n">
        <x:v>4.1222</x:v>
      </x:c>
      <x:c r="N45" s="8" t="n">
        <x:v>9.5628</x:v>
      </x:c>
    </x:row>
    <x:row r="46" ht="19" customHeight="1">
      <x:c r="A46" s="7" t="n">
        <x:v>34213</x:v>
      </x:c>
      <x:c r="B46" s="8" t="n">
        <x:v>2.4906373245</x:v>
      </x:c>
      <x:c r="C46" s="8" t="n">
        <x:v>2.40164997058</x:v>
      </x:c>
      <x:c r="D46" s="8" t="n">
        <x:v>3.85720022864</x:v>
      </x:c>
      <x:c r="E46" s="8" t="n">
        <x:v>10.9793524875</x:v>
      </x:c>
      <x:c r="F46" s="8" t="n">
        <x:v>101.28</x:v>
      </x:c>
      <x:c r="G46" s="8" t="n">
        <x:v>21.2626</x:v>
      </x:c>
      <x:c r="H46" s="8" t="n">
        <x:v>39.5556</x:v>
      </x:c>
      <x:c r="I46" s="8" t="n">
        <x:v>6.5492</x:v>
      </x:c>
      <x:c r="J46" s="8" t="n">
        <x:v>17.979</x:v>
      </x:c>
      <x:c r="K46" s="8" t="n">
        <x:v>3.3554</x:v>
      </x:c>
      <x:c r="L46" s="8" t="n">
        <x:v>2.8709</x:v>
      </x:c>
      <x:c r="M46" s="8" t="n">
        <x:v>1.7225</x:v>
      </x:c>
      <x:c r="N46" s="8" t="n">
        <x:v>7.9847</x:v>
      </x:c>
    </x:row>
    <x:row r="47" ht="19" customHeight="1">
      <x:c r="A47" s="7" t="n">
        <x:v>34243</x:v>
      </x:c>
      <x:c r="B47" s="8" t="n">
        <x:v>2.52297761094</x:v>
      </x:c>
      <x:c r="C47" s="8" t="n">
        <x:v>2.43431197385</x:v>
      </x:c>
      <x:c r="D47" s="8" t="n">
        <x:v>3.85656832904</x:v>
      </x:c>
      <x:c r="E47" s="8" t="n">
        <x:v>10.989382771</x:v>
      </x:c>
      <x:c r="F47" s="8" t="n">
        <x:v>107.65</x:v>
      </x:c>
      <x:c r="G47" s="8" t="n">
        <x:v>29.3407</x:v>
      </x:c>
      <x:c r="H47" s="8" t="n">
        <x:v>26.5344</x:v>
      </x:c>
      <x:c r="I47" s="8" t="n">
        <x:v>8.9607</x:v>
      </x:c>
      <x:c r="J47" s="8" t="n">
        <x:v>21.2858</x:v>
      </x:c>
      <x:c r="K47" s="8" t="n">
        <x:v>4.9656</x:v>
      </x:c>
      <x:c r="L47" s="8" t="n">
        <x:v>3.5099</x:v>
      </x:c>
      <x:c r="M47" s="8" t="n">
        <x:v>6.9712</x:v>
      </x:c>
      <x:c r="N47" s="8" t="n">
        <x:v>6.0816</x:v>
      </x:c>
    </x:row>
    <x:row r="48" ht="19" customHeight="1">
      <x:c r="A48" s="7" t="n">
        <x:v>34274</x:v>
      </x:c>
      <x:c r="B48" s="8" t="n">
        <x:v>2.4315684879</x:v>
      </x:c>
      <x:c r="C48" s="8" t="n">
        <x:v>2.34285899213</x:v>
      </x:c>
      <x:c r="D48" s="8" t="n">
        <x:v>3.85781469216</x:v>
      </x:c>
      <x:c r="E48" s="8" t="n">
        <x:v>10.9942126859</x:v>
      </x:c>
      <x:c r="F48" s="8" t="n">
        <x:v>86.08</x:v>
      </x:c>
      <x:c r="G48" s="8" t="n">
        <x:v>13.8808</x:v>
      </x:c>
      <x:c r="H48" s="8" t="n">
        <x:v>27.3429</x:v>
      </x:c>
      <x:c r="I48" s="8" t="n">
        <x:v>8.7524</x:v>
      </x:c>
      <x:c r="J48" s="8" t="n">
        <x:v>12.1201</x:v>
      </x:c>
      <x:c r="K48" s="8" t="n">
        <x:v>6.7011</x:v>
      </x:c>
      <x:c r="L48" s="8" t="n">
        <x:v>3.4018</x:v>
      </x:c>
      <x:c r="M48" s="8" t="n">
        <x:v>5.5899</x:v>
      </x:c>
      <x:c r="N48" s="8" t="n">
        <x:v>8.2909</x:v>
      </x:c>
    </x:row>
    <x:row r="49" ht="19" customHeight="1">
      <x:c r="A49" s="7" t="n">
        <x:v>34304</x:v>
      </x:c>
      <x:c r="B49" s="8" t="n">
        <x:v>2.29503788736</x:v>
      </x:c>
      <x:c r="C49" s="8" t="n">
        <x:v>2.23909409774</x:v>
      </x:c>
      <x:c r="D49" s="8" t="n">
        <x:v>3.86237475956</x:v>
      </x:c>
      <x:c r="E49" s="8" t="n">
        <x:v>10.9918236044</x:v>
      </x:c>
      <x:c r="F49" s="8" t="n">
        <x:v>90.48</x:v>
      </x:c>
      <x:c r="G49" s="8" t="n">
        <x:v>13.5427</x:v>
      </x:c>
      <x:c r="H49" s="8" t="n">
        <x:v>31.5885</x:v>
      </x:c>
      <x:c r="I49" s="8" t="n">
        <x:v>12.3207</x:v>
      </x:c>
      <x:c r="J49" s="8" t="n">
        <x:v>11.9189</x:v>
      </x:c>
      <x:c r="K49" s="8" t="n">
        <x:v>8.822</x:v>
      </x:c>
      <x:c r="L49" s="8" t="n">
        <x:v>0.8872</x:v>
      </x:c>
      <x:c r="M49" s="8" t="n">
        <x:v>3.1806</x:v>
      </x:c>
      <x:c r="N49" s="8" t="n">
        <x:v>8.2194</x:v>
      </x:c>
    </x:row>
    <x:row r="50" ht="19" customHeight="1">
      <x:c r="A50" s="7" t="n">
        <x:v>34335</x:v>
      </x:c>
      <x:c r="B50" s="8" t="n">
        <x:v>2.32955908173</x:v>
      </x:c>
      <x:c r="C50" s="8" t="n">
        <x:v>2.2790708699</x:v>
      </x:c>
      <x:c r="D50" s="8" t="n">
        <x:v>3.86233436044</x:v>
      </x:c>
      <x:c r="E50" s="8" t="n">
        <x:v>11.0183632717</x:v>
      </x:c>
      <x:c r="F50" s="8" t="n">
        <x:v>91.45</x:v>
      </x:c>
      <x:c r="G50" s="8" t="n">
        <x:v>17.4399</x:v>
      </x:c>
      <x:c r="H50" s="8" t="n">
        <x:v>30.3665</x:v>
      </x:c>
      <x:c r="I50" s="8" t="n">
        <x:v>7.1162</x:v>
      </x:c>
      <x:c r="J50" s="8" t="n">
        <x:v>18.5266</x:v>
      </x:c>
      <x:c r="K50" s="8" t="n">
        <x:v>7.7998</x:v>
      </x:c>
      <x:c r="L50" s="8" t="n">
        <x:v>1.1042</x:v>
      </x:c>
      <x:c r="M50" s="8" t="n">
        <x:v>2.5064</x:v>
      </x:c>
      <x:c r="N50" s="8" t="n">
        <x:v>6.5904</x:v>
      </x:c>
    </x:row>
    <x:row r="51" ht="19" customHeight="1">
      <x:c r="A51" s="7" t="n">
        <x:v>34366</x:v>
      </x:c>
      <x:c r="B51" s="8" t="n">
        <x:v>2.31005541636</x:v>
      </x:c>
      <x:c r="C51" s="8" t="n">
        <x:v>2.241449093</x:v>
      </x:c>
      <x:c r="D51" s="8" t="n">
        <x:v>3.86735007647</x:v>
      </x:c>
      <x:c r="E51" s="8" t="n">
        <x:v>11.0069786538</x:v>
      </x:c>
      <x:c r="F51" s="8" t="n">
        <x:v>107.13</x:v>
      </x:c>
      <x:c r="G51" s="8" t="n">
        <x:v>29.4895</x:v>
      </x:c>
      <x:c r="H51" s="8" t="n">
        <x:v>30.942</x:v>
      </x:c>
      <x:c r="I51" s="8" t="n">
        <x:v>10.8582</x:v>
      </x:c>
      <x:c r="J51" s="8" t="n">
        <x:v>15.3258</x:v>
      </x:c>
      <x:c r="K51" s="8" t="n">
        <x:v>7.6929</x:v>
      </x:c>
      <x:c r="L51" s="8" t="n">
        <x:v>0.6811</x:v>
      </x:c>
      <x:c r="M51" s="8" t="n">
        <x:v>4.4074</x:v>
      </x:c>
      <x:c r="N51" s="8" t="n">
        <x:v>7.733</x:v>
      </x:c>
    </x:row>
    <x:row r="52" ht="19" customHeight="1">
      <x:c r="A52" s="7" t="n">
        <x:v>34394</x:v>
      </x:c>
      <x:c r="B52" s="8" t="n">
        <x:v>2.30054358157</x:v>
      </x:c>
      <x:c r="C52" s="8" t="n">
        <x:v>2.24017437672</x:v>
      </x:c>
      <x:c r="D52" s="8" t="n">
        <x:v>3.87384726115</x:v>
      </x:c>
      <x:c r="E52" s="8" t="n">
        <x:v>11.0050378543</x:v>
      </x:c>
      <x:c r="F52" s="8" t="n">
        <x:v>106.68</x:v>
      </x:c>
      <x:c r="G52" s="8" t="n">
        <x:v>21.3035</x:v>
      </x:c>
      <x:c r="H52" s="8" t="n">
        <x:v>31.998</x:v>
      </x:c>
      <x:c r="I52" s="8" t="n">
        <x:v>14.5103</x:v>
      </x:c>
      <x:c r="J52" s="8" t="n">
        <x:v>20.2768</x:v>
      </x:c>
      <x:c r="K52" s="8" t="n">
        <x:v>7.1012</x:v>
      </x:c>
      <x:c r="L52" s="8" t="n">
        <x:v>1.0267</x:v>
      </x:c>
      <x:c r="M52" s="8" t="n">
        <x:v>2.8234</x:v>
      </x:c>
      <x:c r="N52" s="8" t="n">
        <x:v>7.6402</x:v>
      </x:c>
    </x:row>
    <x:row r="53" ht="19" customHeight="1">
      <x:c r="A53" s="7" t="n">
        <x:v>34425</x:v>
      </x:c>
      <x:c r="B53" s="8" t="n">
        <x:v>2.41187808372</x:v>
      </x:c>
      <x:c r="C53" s="8" t="n">
        <x:v>2.3366451466</x:v>
      </x:c>
      <x:c r="D53" s="8" t="n">
        <x:v>3.88104665482</x:v>
      </x:c>
      <x:c r="E53" s="8" t="n">
        <x:v>11.0013165845</x:v>
      </x:c>
      <x:c r="F53" s="8" t="n">
        <x:v>113.75</x:v>
      </x:c>
      <x:c r="G53" s="8" t="n">
        <x:v>35.9928</x:v>
      </x:c>
      <x:c r="H53" s="8" t="n">
        <x:v>24.5057</x:v>
      </x:c>
      <x:c r="I53" s="8" t="n">
        <x:v>10.0489</x:v>
      </x:c>
      <x:c r="J53" s="8" t="n">
        <x:v>25.0661</x:v>
      </x:c>
      <x:c r="K53" s="8" t="n">
        <x:v>5.7902</x:v>
      </x:c>
      <x:c r="L53" s="8" t="n">
        <x:v>0.2615</x:v>
      </x:c>
      <x:c r="M53" s="8" t="n">
        <x:v>2.8764</x:v>
      </x:c>
      <x:c r="N53" s="8" t="n">
        <x:v>9.2083</x:v>
      </x:c>
    </x:row>
    <x:row r="54" ht="19" customHeight="1">
      <x:c r="A54" s="7" t="n">
        <x:v>34455</x:v>
      </x:c>
      <x:c r="B54" s="8" t="n">
        <x:v>2.49558390773</x:v>
      </x:c>
      <x:c r="C54" s="8" t="n">
        <x:v>2.3957357779</x:v>
      </x:c>
      <x:c r="D54" s="8" t="n">
        <x:v>3.88411541882</x:v>
      </x:c>
      <x:c r="E54" s="8" t="n">
        <x:v>11.0041649075</x:v>
      </x:c>
      <x:c r="F54" s="8" t="n">
        <x:v>101.08</x:v>
      </x:c>
      <x:c r="G54" s="8" t="n">
        <x:v>19.2271</x:v>
      </x:c>
      <x:c r="H54" s="8" t="n">
        <x:v>28.7031</x:v>
      </x:c>
      <x:c r="I54" s="8" t="n">
        <x:v>4.0415</x:v>
      </x:c>
      <x:c r="J54" s="8" t="n">
        <x:v>27.0349</x:v>
      </x:c>
      <x:c r="K54" s="8" t="n">
        <x:v>7.2317</x:v>
      </x:c>
      <x:c r="L54" s="8" t="n">
        <x:v>0.7911</x:v>
      </x:c>
      <x:c r="M54" s="8" t="n">
        <x:v>5.6925</x:v>
      </x:c>
      <x:c r="N54" s="8" t="n">
        <x:v>8.3581</x:v>
      </x:c>
    </x:row>
    <x:row r="55" ht="19" customHeight="1">
      <x:c r="A55" s="7" t="n">
        <x:v>34486</x:v>
      </x:c>
      <x:c r="B55" s="8" t="n">
        <x:v>2.5562257145</x:v>
      </x:c>
      <x:c r="C55" s="8" t="n">
        <x:v>2.42762891133</x:v>
      </x:c>
      <x:c r="D55" s="8" t="n">
        <x:v>3.89267314139</x:v>
      </x:c>
      <x:c r="E55" s="8" t="n">
        <x:v>11.011197581</x:v>
      </x:c>
      <x:c r="F55" s="8" t="n">
        <x:v>92.59</x:v>
      </x:c>
      <x:c r="G55" s="8" t="n">
        <x:v>16.0389</x:v>
      </x:c>
      <x:c r="H55" s="8" t="n">
        <x:v>22.9153</x:v>
      </x:c>
      <x:c r="I55" s="8" t="n">
        <x:v>5.1082</x:v>
      </x:c>
      <x:c r="J55" s="8" t="n">
        <x:v>20.6291</x:v>
      </x:c>
      <x:c r="K55" s="8" t="n">
        <x:v>12.0739</x:v>
      </x:c>
      <x:c r="L55" s="8" t="n">
        <x:v>0.2679</x:v>
      </x:c>
      <x:c r="M55" s="8" t="n">
        <x:v>7.6801</x:v>
      </x:c>
      <x:c r="N55" s="8" t="n">
        <x:v>7.8766</x:v>
      </x:c>
    </x:row>
    <x:row r="56" ht="19" customHeight="1">
      <x:c r="A56" s="7" t="n">
        <x:v>34516</x:v>
      </x:c>
      <x:c r="B56" s="8" t="n">
        <x:v>2.58384496997</x:v>
      </x:c>
      <x:c r="C56" s="8" t="n">
        <x:v>2.4731577573</x:v>
      </x:c>
      <x:c r="D56" s="8" t="n">
        <x:v>3.89234583187</x:v>
      </x:c>
      <x:c r="E56" s="8" t="n">
        <x:v>11.009240486</x:v>
      </x:c>
      <x:c r="F56" s="8" t="n">
        <x:v>109.62</x:v>
      </x:c>
      <x:c r="G56" s="8" t="n">
        <x:v>21.5373</x:v>
      </x:c>
      <x:c r="H56" s="8" t="n">
        <x:v>31.168</x:v>
      </x:c>
      <x:c r="I56" s="8" t="n">
        <x:v>11.3422</x:v>
      </x:c>
      <x:c r="J56" s="8" t="n">
        <x:v>21.8333</x:v>
      </x:c>
      <x:c r="K56" s="8" t="n">
        <x:v>5.8469</x:v>
      </x:c>
      <x:c r="L56" s="8" t="n">
        <x:v>1.6468</x:v>
      </x:c>
      <x:c r="M56" s="8" t="n">
        <x:v>3.09</x:v>
      </x:c>
      <x:c r="N56" s="8" t="n">
        <x:v>13.1555</x:v>
      </x:c>
    </x:row>
    <x:row r="57" ht="19" customHeight="1">
      <x:c r="A57" s="7" t="n">
        <x:v>34547</x:v>
      </x:c>
      <x:c r="B57" s="8" t="n">
        <x:v>2.51248699697</x:v>
      </x:c>
      <x:c r="C57" s="8" t="n">
        <x:v>2.42794561086</x:v>
      </x:c>
      <x:c r="D57" s="8" t="n">
        <x:v>3.90524810486</x:v>
      </x:c>
      <x:c r="E57" s="8" t="n">
        <x:v>10.9953134658</x:v>
      </x:c>
      <x:c r="F57" s="8" t="n">
        <x:v>102.6</x:v>
      </x:c>
      <x:c r="G57" s="8" t="n">
        <x:v>19.2932</x:v>
      </x:c>
      <x:c r="H57" s="8" t="n">
        <x:v>30.0838</x:v>
      </x:c>
      <x:c r="I57" s="8" t="n">
        <x:v>10.5563</x:v>
      </x:c>
      <x:c r="J57" s="8" t="n">
        <x:v>16.3929</x:v>
      </x:c>
      <x:c r="K57" s="8" t="n">
        <x:v>9.7997</x:v>
      </x:c>
      <x:c r="L57" s="8" t="n">
        <x:v>0.7926</x:v>
      </x:c>
      <x:c r="M57" s="8" t="n">
        <x:v>4.2964</x:v>
      </x:c>
      <x:c r="N57" s="8" t="n">
        <x:v>11.385</x:v>
      </x:c>
    </x:row>
    <x:row r="58" ht="19" customHeight="1">
      <x:c r="A58" s="7" t="n">
        <x:v>34578</x:v>
      </x:c>
      <x:c r="B58" s="8" t="n">
        <x:v>2.45855213009</x:v>
      </x:c>
      <x:c r="C58" s="8" t="n">
        <x:v>2.36553159067</x:v>
      </x:c>
      <x:c r="D58" s="8" t="n">
        <x:v>3.90778533398</x:v>
      </x:c>
      <x:c r="E58" s="8" t="n">
        <x:v>11.012677434</x:v>
      </x:c>
      <x:c r="F58" s="8" t="n">
        <x:v>102.69</x:v>
      </x:c>
      <x:c r="G58" s="8" t="n">
        <x:v>36.2177</x:v>
      </x:c>
      <x:c r="H58" s="8" t="n">
        <x:v>31.9439</x:v>
      </x:c>
      <x:c r="I58" s="8" t="n">
        <x:v>7.3145</x:v>
      </x:c>
      <x:c r="J58" s="8" t="n">
        <x:v>9.8653</x:v>
      </x:c>
      <x:c r="K58" s="8" t="n">
        <x:v>2.9224</x:v>
      </x:c>
      <x:c r="L58" s="8" t="n">
        <x:v>2.0102</x:v>
      </x:c>
      <x:c r="M58" s="8" t="n">
        <x:v>3.9022</x:v>
      </x:c>
      <x:c r="N58" s="8" t="n">
        <x:v>8.5139</x:v>
      </x:c>
    </x:row>
    <x:row r="59" ht="19" customHeight="1">
      <x:c r="A59" s="7" t="n">
        <x:v>34608</x:v>
      </x:c>
      <x:c r="B59" s="8" t="n">
        <x:v>2.47323685847</x:v>
      </x:c>
      <x:c r="C59" s="8" t="n">
        <x:v>2.40129704986</x:v>
      </x:c>
      <x:c r="D59" s="8" t="n">
        <x:v>3.91436945277</x:v>
      </x:c>
      <x:c r="E59" s="8" t="n">
        <x:v>11.021910475</x:v>
      </x:c>
      <x:c r="F59" s="8" t="n">
        <x:v>89.16</x:v>
      </x:c>
      <x:c r="G59" s="8" t="n">
        <x:v>25.8896</x:v>
      </x:c>
      <x:c r="H59" s="8" t="n">
        <x:v>25.8462</x:v>
      </x:c>
      <x:c r="I59" s="8" t="n">
        <x:v>11.4911</x:v>
      </x:c>
      <x:c r="J59" s="8" t="n">
        <x:v>5.7455</x:v>
      </x:c>
      <x:c r="K59" s="8" t="n">
        <x:v>4.2527</x:v>
      </x:c>
      <x:c r="L59" s="8" t="n">
        <x:v>3.6452</x:v>
      </x:c>
      <x:c r="M59" s="8" t="n">
        <x:v>3.4369</x:v>
      </x:c>
      <x:c r="N59" s="8" t="n">
        <x:v>8.8526</x:v>
      </x:c>
    </x:row>
    <x:row r="60" ht="19" customHeight="1">
      <x:c r="A60" s="7" t="n">
        <x:v>34639</x:v>
      </x:c>
      <x:c r="B60" s="8" t="n">
        <x:v>2.49012221951</x:v>
      </x:c>
      <x:c r="C60" s="8" t="n">
        <x:v>2.4401969343</x:v>
      </x:c>
      <x:c r="D60" s="8" t="n">
        <x:v>3.92223834435</x:v>
      </x:c>
      <x:c r="E60" s="8" t="n">
        <x:v>11.0224969323</x:v>
      </x:c>
      <x:c r="F60" s="8" t="n">
        <x:v>78.38</x:v>
      </x:c>
      <x:c r="G60" s="8" t="n">
        <x:v>25.553</x:v>
      </x:c>
      <x:c r="H60" s="8" t="n">
        <x:v>20.1469</x:v>
      </x:c>
      <x:c r="I60" s="8" t="n">
        <x:v>7.7702</x:v>
      </x:c>
      <x:c r="J60" s="8" t="n">
        <x:v>11.6466</x:v>
      </x:c>
      <x:c r="K60" s="8" t="n">
        <x:v>4.2588</x:v>
      </x:c>
      <x:c r="L60" s="8" t="n">
        <x:v>0.6779</x:v>
      </x:c>
      <x:c r="M60" s="8" t="n">
        <x:v>0.9213</x:v>
      </x:c>
      <x:c r="N60" s="8" t="n">
        <x:v>7.4052</x:v>
      </x:c>
    </x:row>
    <x:row r="61" ht="19" customHeight="1">
      <x:c r="A61" s="7" t="n">
        <x:v>34669</x:v>
      </x:c>
      <x:c r="B61" s="8" t="n">
        <x:v>2.43644954141</x:v>
      </x:c>
      <x:c r="C61" s="8" t="n">
        <x:v>2.36207257127</x:v>
      </x:c>
      <x:c r="D61" s="8" t="n">
        <x:v>3.93067598966</x:v>
      </x:c>
      <x:c r="E61" s="8" t="n">
        <x:v>11.0304529979</x:v>
      </x:c>
      <x:c r="F61" s="8" t="n">
        <x:v>101.61</x:v>
      </x:c>
      <x:c r="G61" s="8" t="n">
        <x:v>39.9192</x:v>
      </x:c>
      <x:c r="H61" s="8" t="n">
        <x:v>25.3404</x:v>
      </x:c>
      <x:c r="I61" s="8" t="n">
        <x:v>11.7918</x:v>
      </x:c>
      <x:c r="J61" s="8" t="n">
        <x:v>11.939</x:v>
      </x:c>
      <x:c r="K61" s="8" t="n">
        <x:v>3.6056</x:v>
      </x:c>
      <x:c r="L61" s="8" t="n">
        <x:v>0.3679</x:v>
      </x:c>
      <x:c r="M61" s="8" t="n">
        <x:v>0.9198</x:v>
      </x:c>
      <x:c r="N61" s="8" t="n">
        <x:v>7.7263</x:v>
      </x:c>
    </x:row>
    <x:row r="62" ht="19" customHeight="1">
      <x:c r="A62" s="7" t="n">
        <x:v>34700</x:v>
      </x:c>
      <x:c r="B62" s="8" t="n">
        <x:v>2.48379861643</x:v>
      </x:c>
      <x:c r="C62" s="8" t="n">
        <x:v>2.39759320362</x:v>
      </x:c>
      <x:c r="D62" s="8" t="n">
        <x:v>3.92766870556</x:v>
      </x:c>
      <x:c r="E62" s="8" t="n">
        <x:v>11.0229199082</x:v>
      </x:c>
      <x:c r="F62" s="8" t="n">
        <x:v>86.91</x:v>
      </x:c>
      <x:c r="G62" s="8" t="n">
        <x:v>35.0737</x:v>
      </x:c>
      <x:c r="H62" s="8" t="n">
        <x:v>19.5684</x:v>
      </x:c>
      <x:c r="I62" s="8" t="n">
        <x:v>11.1325</x:v>
      </x:c>
      <x:c r="J62" s="8" t="n">
        <x:v>5.5389</x:v>
      </x:c>
      <x:c r="K62" s="8" t="n">
        <x:v>3.6076</x:v>
      </x:c>
      <x:c r="L62" s="8" t="n">
        <x:v>0.3826</x:v>
      </x:c>
      <x:c r="M62" s="8" t="n">
        <x:v>2.4051</x:v>
      </x:c>
      <x:c r="N62" s="8" t="n">
        <x:v>9.2012</x:v>
      </x:c>
    </x:row>
    <x:row r="63" ht="19" customHeight="1">
      <x:c r="A63" s="7" t="n">
        <x:v>34731</x:v>
      </x:c>
      <x:c r="B63" s="8" t="n">
        <x:v>2.51010019558</x:v>
      </x:c>
      <x:c r="C63" s="8" t="n">
        <x:v>2.42821590812</x:v>
      </x:c>
      <x:c r="D63" s="8" t="n">
        <x:v>3.92985355018</x:v>
      </x:c>
      <x:c r="E63" s="8" t="n">
        <x:v>11.0302950443</x:v>
      </x:c>
      <x:c r="F63" s="8" t="n">
        <x:v>86.42</x:v>
      </x:c>
      <x:c r="G63" s="8" t="n">
        <x:v>23.5363</x:v>
      </x:c>
      <x:c r="H63" s="8" t="n">
        <x:v>28.1637</x:v>
      </x:c>
      <x:c r="I63" s="8" t="n">
        <x:v>9.1768</x:v>
      </x:c>
      <x:c r="J63" s="8" t="n">
        <x:v>9.9172</x:v>
      </x:c>
      <x:c r="K63" s="8" t="n">
        <x:v>2.4549</x:v>
      </x:c>
      <x:c r="L63" s="8" t="n">
        <x:v>0.3702</x:v>
      </x:c>
      <x:c r="M63" s="8" t="n">
        <x:v>4.0916</x:v>
      </x:c>
      <x:c r="N63" s="8" t="n">
        <x:v>8.7092</x:v>
      </x:c>
    </x:row>
    <x:row r="64" ht="19" customHeight="1">
      <x:c r="A64" s="7" t="n">
        <x:v>34759</x:v>
      </x:c>
      <x:c r="B64" s="8" t="n">
        <x:v>2.50649728238</x:v>
      </x:c>
      <x:c r="C64" s="8" t="n">
        <x:v>2.42036812865</x:v>
      </x:c>
      <x:c r="D64" s="8" t="n">
        <x:v>3.93142915683</x:v>
      </x:c>
      <x:c r="E64" s="8" t="n">
        <x:v>11.0217596478</x:v>
      </x:c>
      <x:c r="F64" s="8" t="n">
        <x:v>79.63</x:v>
      </x:c>
      <x:c r="G64" s="8" t="n">
        <x:v>16.3259</x:v>
      </x:c>
      <x:c r="H64" s="8" t="n">
        <x:v>27.5706</x:v>
      </x:c>
      <x:c r="I64" s="8" t="n">
        <x:v>12.2352</x:v>
      </x:c>
      <x:c r="J64" s="8" t="n">
        <x:v>7.5943</x:v>
      </x:c>
      <x:c r="K64" s="8" t="n">
        <x:v>3.5403</x:v>
      </x:c>
      <x:c r="L64" s="8" t="n">
        <x:v>1.0089</x:v>
      </x:c>
      <x:c r="M64" s="8" t="n">
        <x:v>4.1457</x:v>
      </x:c>
      <x:c r="N64" s="8" t="n">
        <x:v>7.2091</x:v>
      </x:c>
    </x:row>
    <x:row r="65" ht="19" customHeight="1">
      <x:c r="A65" s="7" t="n">
        <x:v>34790</x:v>
      </x:c>
      <x:c r="B65" s="8" t="n">
        <x:v>2.57332605276</x:v>
      </x:c>
      <x:c r="C65" s="8" t="n">
        <x:v>2.50845246712</x:v>
      </x:c>
      <x:c r="D65" s="8" t="n">
        <x:v>3.93622905503</x:v>
      </x:c>
      <x:c r="E65" s="8" t="n">
        <x:v>11.0286726851</x:v>
      </x:c>
      <x:c r="F65" s="8" t="n">
        <x:v>100.37</x:v>
      </x:c>
      <x:c r="G65" s="8" t="n">
        <x:v>17.8587</x:v>
      </x:c>
      <x:c r="H65" s="8" t="n">
        <x:v>24.7838</x:v>
      </x:c>
      <x:c r="I65" s="8" t="n">
        <x:v>30.6711</x:v>
      </x:c>
      <x:c r="J65" s="8" t="n">
        <x:v>8.4641</x:v>
      </x:c>
      <x:c r="K65" s="8" t="n">
        <x:v>5.8694</x:v>
      </x:c>
      <x:c r="L65" s="8" t="n">
        <x:v>0.0716</x:v>
      </x:c>
      <x:c r="M65" s="8" t="n">
        <x:v>4.8494</x:v>
      </x:c>
      <x:c r="N65" s="8" t="n">
        <x:v>7.802</x:v>
      </x:c>
    </x:row>
    <x:row r="66" ht="19" customHeight="1">
      <x:c r="A66" s="7" t="n">
        <x:v>34820</x:v>
      </x:c>
      <x:c r="B66" s="8" t="n">
        <x:v>2.56327902073</x:v>
      </x:c>
      <x:c r="C66" s="8" t="n">
        <x:v>2.49026156122</x:v>
      </x:c>
      <x:c r="D66" s="8" t="n">
        <x:v>3.93495643451</x:v>
      </x:c>
      <x:c r="E66" s="8" t="n">
        <x:v>11.0208976501</x:v>
      </x:c>
      <x:c r="F66" s="8" t="n">
        <x:v>87.93</x:v>
      </x:c>
      <x:c r="G66" s="8" t="n">
        <x:v>21.8952</x:v>
      </x:c>
      <x:c r="H66" s="8" t="n">
        <x:v>28.1462</x:v>
      </x:c>
      <x:c r="I66" s="8" t="n">
        <x:v>13.7988</x:v>
      </x:c>
      <x:c r="J66" s="8" t="n">
        <x:v>3.6409</x:v>
      </x:c>
      <x:c r="K66" s="8" t="n">
        <x:v>4.9709</x:v>
      </x:c>
      <x:c r="L66" s="8" t="n">
        <x:v>0.0831</x:v>
      </x:c>
      <x:c r="M66" s="8" t="n">
        <x:v>7.5977</x:v>
      </x:c>
      <x:c r="N66" s="8" t="n">
        <x:v>7.7972</x:v>
      </x:c>
    </x:row>
    <x:row r="67" ht="19" customHeight="1">
      <x:c r="A67" s="7" t="n">
        <x:v>34851</x:v>
      </x:c>
      <x:c r="B67" s="8" t="n">
        <x:v>2.49372591322</x:v>
      </x:c>
      <x:c r="C67" s="8" t="n">
        <x:v>2.42994591192</x:v>
      </x:c>
      <x:c r="D67" s="8" t="n">
        <x:v>3.93692572843</x:v>
      </x:c>
      <x:c r="E67" s="8" t="n">
        <x:v>11.0141274026</x:v>
      </x:c>
      <x:c r="F67" s="8" t="n">
        <x:v>93.55</x:v>
      </x:c>
      <x:c r="G67" s="8" t="n">
        <x:v>33.1001</x:v>
      </x:c>
      <x:c r="H67" s="8" t="n">
        <x:v>26.3587</x:v>
      </x:c>
      <x:c r="I67" s="8" t="n">
        <x:v>12.8333</x:v>
      </x:c>
      <x:c r="J67" s="8" t="n">
        <x:v>5.1265</x:v>
      </x:c>
      <x:c r="K67" s="8" t="n">
        <x:v>4.5113</x:v>
      </x:c>
      <x:c r="L67" s="8" t="n">
        <x:v>1.0595</x:v>
      </x:c>
      <x:c r="M67" s="8" t="n">
        <x:v>4.5626</x:v>
      </x:c>
      <x:c r="N67" s="8" t="n">
        <x:v>5.998</x:v>
      </x:c>
    </x:row>
    <x:row r="68" ht="19" customHeight="1">
      <x:c r="A68" s="7" t="n">
        <x:v>34881</x:v>
      </x:c>
      <x:c r="B68" s="8" t="n">
        <x:v>2.42978917087</x:v>
      </x:c>
      <x:c r="C68" s="8" t="n">
        <x:v>2.34051956746</x:v>
      </x:c>
      <x:c r="D68" s="8" t="n">
        <x:v>3.93508649029</x:v>
      </x:c>
      <x:c r="E68" s="8" t="n">
        <x:v>11.0308516351</x:v>
      </x:c>
      <x:c r="F68" s="8" t="n">
        <x:v>88.17</x:v>
      </x:c>
      <x:c r="G68" s="8" t="n">
        <x:v>35.7654</x:v>
      </x:c>
      <x:c r="H68" s="8" t="n">
        <x:v>24.0282</x:v>
      </x:c>
      <x:c r="I68" s="8" t="n">
        <x:v>10.6025</x:v>
      </x:c>
      <x:c r="J68" s="8" t="n">
        <x:v>6.4995</x:v>
      </x:c>
      <x:c r="K68" s="8" t="n">
        <x:v>2.7051</x:v>
      </x:c>
      <x:c r="L68" s="8" t="n">
        <x:v>0.817</x:v>
      </x:c>
      <x:c r="M68" s="8" t="n">
        <x:v>1.5432</x:v>
      </x:c>
      <x:c r="N68" s="8" t="n">
        <x:v>6.209</x:v>
      </x:c>
    </x:row>
    <x:row r="69" ht="19" customHeight="1">
      <x:c r="A69" s="7" t="n">
        <x:v>34912</x:v>
      </x:c>
      <x:c r="B69" s="8" t="n">
        <x:v>2.46686832523</x:v>
      </x:c>
      <x:c r="C69" s="8" t="n">
        <x:v>2.35420534504</x:v>
      </x:c>
      <x:c r="D69" s="8" t="n">
        <x:v>3.94425627349</x:v>
      </x:c>
      <x:c r="E69" s="8" t="n">
        <x:v>11.0299984311</x:v>
      </x:c>
      <x:c r="F69" s="8" t="n">
        <x:v>95.02</x:v>
      </x:c>
      <x:c r="G69" s="8" t="n">
        <x:v>33.9134</x:v>
      </x:c>
      <x:c r="H69" s="8" t="n">
        <x:v>26.6056</x:v>
      </x:c>
      <x:c r="I69" s="8" t="n">
        <x:v>14.2668</x:v>
      </x:c>
      <x:c r="J69" s="8" t="n">
        <x:v>4.6454</x:v>
      </x:c>
      <x:c r="K69" s="8" t="n">
        <x:v>6.0409</x:v>
      </x:c>
      <x:c r="L69" s="8" t="n">
        <x:v>1.3955</x:v>
      </x:c>
      <x:c r="M69" s="8" t="n">
        <x:v>1.322</x:v>
      </x:c>
      <x:c r="N69" s="8" t="n">
        <x:v>6.8304</x:v>
      </x:c>
    </x:row>
    <x:row r="70" ht="19" customHeight="1">
      <x:c r="A70" s="7" t="n">
        <x:v>34943</x:v>
      </x:c>
      <x:c r="B70" s="8" t="n">
        <x:v>2.47714747202</x:v>
      </x:c>
      <x:c r="C70" s="8" t="n">
        <x:v>2.38948760275</x:v>
      </x:c>
      <x:c r="D70" s="8" t="n">
        <x:v>3.94136291615</x:v>
      </x:c>
      <x:c r="E70" s="8" t="n">
        <x:v>11.0342689392</x:v>
      </x:c>
      <x:c r="F70" s="8" t="n">
        <x:v>79.09</x:v>
      </x:c>
      <x:c r="G70" s="8" t="n">
        <x:v>25.3257</x:v>
      </x:c>
      <x:c r="H70" s="8" t="n">
        <x:v>23.8178</x:v>
      </x:c>
      <x:c r="I70" s="8" t="n">
        <x:v>10.3929</x:v>
      </x:c>
      <x:c r="J70" s="8" t="n">
        <x:v>5.9828</x:v>
      </x:c>
      <x:c r="K70" s="8" t="n">
        <x:v>4.9614</x:v>
      </x:c>
      <x:c r="L70" s="8" t="n">
        <x:v>0.9728</x:v>
      </x:c>
      <x:c r="M70" s="8" t="n">
        <x:v>0.989</x:v>
      </x:c>
      <x:c r="N70" s="8" t="n">
        <x:v>6.6476</x:v>
      </x:c>
    </x:row>
    <x:row r="71" ht="19" customHeight="1">
      <x:c r="A71" s="7" t="n">
        <x:v>34973</x:v>
      </x:c>
      <x:c r="B71" s="8" t="n">
        <x:v>2.42966247849</x:v>
      </x:c>
      <x:c r="C71" s="8" t="n">
        <x:v>2.35090981615</x:v>
      </x:c>
      <x:c r="D71" s="8" t="n">
        <x:v>3.94172388743</x:v>
      </x:c>
      <x:c r="E71" s="8" t="n">
        <x:v>11.0261501825</x:v>
      </x:c>
      <x:c r="F71" s="8" t="n">
        <x:v>60.97</x:v>
      </x:c>
      <x:c r="G71" s="8" t="n">
        <x:v>15.3274</x:v>
      </x:c>
      <x:c r="H71" s="8" t="n">
        <x:v>21.6846</x:v>
      </x:c>
      <x:c r="I71" s="8" t="n">
        <x:v>9.5667</x:v>
      </x:c>
      <x:c r="J71" s="8" t="n">
        <x:v>4.4953</x:v>
      </x:c>
      <x:c r="K71" s="8" t="n">
        <x:v>2.5717</x:v>
      </x:c>
      <x:c r="L71" s="8" t="n">
        <x:v>0.8538</x:v>
      </x:c>
      <x:c r="M71" s="8" t="n">
        <x:v>1.7488</x:v>
      </x:c>
      <x:c r="N71" s="8" t="n">
        <x:v>4.7217</x:v>
      </x:c>
    </x:row>
    <x:row r="72" ht="19" customHeight="1">
      <x:c r="A72" s="7" t="n">
        <x:v>35004</x:v>
      </x:c>
      <x:c r="B72" s="8" t="n">
        <x:v>2.45998358341</x:v>
      </x:c>
      <x:c r="C72" s="8" t="n">
        <x:v>2.39511148802</x:v>
      </x:c>
      <x:c r="D72" s="8" t="n">
        <x:v>3.946694461</x:v>
      </x:c>
      <x:c r="E72" s="8" t="n">
        <x:v>11.0380967417</x:v>
      </x:c>
      <x:c r="F72" s="8" t="n">
        <x:v>80.19</x:v>
      </x:c>
      <x:c r="G72" s="8" t="n">
        <x:v>15.8852</x:v>
      </x:c>
      <x:c r="H72" s="8" t="n">
        <x:v>28.8017</x:v>
      </x:c>
      <x:c r="I72" s="8" t="n">
        <x:v>16.8748</x:v>
      </x:c>
      <x:c r="J72" s="8" t="n">
        <x:v>8.2464</x:v>
      </x:c>
      <x:c r="K72" s="8" t="n">
        <x:v>1.6319</x:v>
      </x:c>
      <x:c r="L72" s="8" t="n">
        <x:v>0.2257</x:v>
      </x:c>
      <x:c r="M72" s="8" t="n">
        <x:v>2.8125</x:v>
      </x:c>
      <x:c r="N72" s="8" t="n">
        <x:v>5.7117</x:v>
      </x:c>
    </x:row>
    <x:row r="73" ht="19" customHeight="1">
      <x:c r="A73" s="7" t="n">
        <x:v>35034</x:v>
      </x:c>
      <x:c r="B73" s="8" t="n">
        <x:v>2.51488382645</x:v>
      </x:c>
      <x:c r="C73" s="8" t="n">
        <x:v>2.45534243276</x:v>
      </x:c>
      <x:c r="D73" s="8" t="n">
        <x:v>3.95249832919</x:v>
      </x:c>
      <x:c r="E73" s="8" t="n">
        <x:v>11.0369240932</x:v>
      </x:c>
      <x:c r="F73" s="8" t="n">
        <x:v>81.64</x:v>
      </x:c>
      <x:c r="G73" s="8" t="n">
        <x:v>29.8462</x:v>
      </x:c>
      <x:c r="H73" s="8" t="n">
        <x:v>25.0625</x:v>
      </x:c>
      <x:c r="I73" s="8" t="n">
        <x:v>7.8509</x:v>
      </x:c>
      <x:c r="J73" s="8" t="n">
        <x:v>5.3558</x:v>
      </x:c>
      <x:c r="K73" s="8" t="n">
        <x:v>3.7347</x:v>
      </x:c>
      <x:c r="L73" s="8" t="n">
        <x:v>0.1271</x:v>
      </x:c>
      <x:c r="M73" s="8" t="n">
        <x:v>1.176</x:v>
      </x:c>
      <x:c r="N73" s="8" t="n">
        <x:v>8.4866</x:v>
      </x:c>
    </x:row>
    <x:row r="74" ht="19" customHeight="1">
      <x:c r="A74" s="7" t="n">
        <x:v>35065</x:v>
      </x:c>
      <x:c r="B74" s="8" t="n">
        <x:v>2.50072570561</x:v>
      </x:c>
      <x:c r="C74" s="8" t="n">
        <x:v>2.44568593663</x:v>
      </x:c>
      <x:c r="D74" s="8" t="n">
        <x:v>3.95152024018</x:v>
      </x:c>
      <x:c r="E74" s="8" t="n">
        <x:v>11.0396739591</x:v>
      </x:c>
      <x:c r="F74" s="8" t="n">
        <x:v>72.13</x:v>
      </x:c>
      <x:c r="G74" s="8" t="n">
        <x:v>21.7524</x:v>
      </x:c>
      <x:c r="H74" s="8" t="n">
        <x:v>23.5651</x:v>
      </x:c>
      <x:c r="I74" s="8" t="n">
        <x:v>9.0712</x:v>
      </x:c>
      <x:c r="J74" s="8" t="n">
        <x:v>7.2971</x:v>
      </x:c>
      <x:c r="K74" s="8" t="n">
        <x:v>3.0237</x:v>
      </x:c>
      <x:c r="L74" s="8" t="n">
        <x:v>0.5708</x:v>
      </x:c>
      <x:c r="M74" s="8" t="n">
        <x:v>0.8948</x:v>
      </x:c>
      <x:c r="N74" s="8" t="n">
        <x:v>5.9549</x:v>
      </x:c>
    </x:row>
    <x:row r="75" ht="19" customHeight="1">
      <x:c r="A75" s="7" t="n">
        <x:v>35096</x:v>
      </x:c>
      <x:c r="B75" s="8" t="n">
        <x:v>2.51090970681</x:v>
      </x:c>
      <x:c r="C75" s="8" t="n">
        <x:v>2.45211682697</x:v>
      </x:c>
      <x:c r="D75" s="8" t="n">
        <x:v>3.95499185283</x:v>
      </x:c>
      <x:c r="E75" s="8" t="n">
        <x:v>11.0489035734</x:v>
      </x:c>
      <x:c r="F75" s="8" t="n">
        <x:v>80.54</x:v>
      </x:c>
      <x:c r="G75" s="8" t="n">
        <x:v>14.0369</x:v>
      </x:c>
      <x:c r="H75" s="8" t="n">
        <x:v>31.8073</x:v>
      </x:c>
      <x:c r="I75" s="8" t="n">
        <x:v>15.0026</x:v>
      </x:c>
      <x:c r="J75" s="8" t="n">
        <x:v>8.4153</x:v>
      </x:c>
      <x:c r="K75" s="8" t="n">
        <x:v>1.8452</x:v>
      </x:c>
      <x:c r="L75" s="8" t="n">
        <x:v>0.5001</x:v>
      </x:c>
      <x:c r="M75" s="8" t="n">
        <x:v>3.2247</x:v>
      </x:c>
      <x:c r="N75" s="8" t="n">
        <x:v>5.7079</x:v>
      </x:c>
    </x:row>
    <x:row r="76" ht="19" customHeight="1">
      <x:c r="A76" s="7" t="n">
        <x:v>35125</x:v>
      </x:c>
      <x:c r="B76" s="8" t="n">
        <x:v>2.61863898685</x:v>
      </x:c>
      <x:c r="C76" s="8" t="n">
        <x:v>2.5467284615</x:v>
      </x:c>
      <x:c r="D76" s="8" t="n">
        <x:v>3.95427229518</x:v>
      </x:c>
      <x:c r="E76" s="8" t="n">
        <x:v>11.0444906365</x:v>
      </x:c>
      <x:c r="F76" s="8" t="n">
        <x:v>82.53</x:v>
      </x:c>
      <x:c r="G76" s="8" t="n">
        <x:v>17.86</x:v>
      </x:c>
      <x:c r="H76" s="8" t="n">
        <x:v>28.4844</x:v>
      </x:c>
      <x:c r="I76" s="8" t="n">
        <x:v>16.2538</x:v>
      </x:c>
      <x:c r="J76" s="8" t="n">
        <x:v>7.9181</x:v>
      </x:c>
      <x:c r="K76" s="8" t="n">
        <x:v>1.7185</x:v>
      </x:c>
      <x:c r="L76" s="8" t="n">
        <x:v>0.1767</x:v>
      </x:c>
      <x:c r="M76" s="8" t="n">
        <x:v>4.5774</x:v>
      </x:c>
      <x:c r="N76" s="8" t="n">
        <x:v>5.5411</x:v>
      </x:c>
    </x:row>
    <x:row r="77" ht="19" customHeight="1">
      <x:c r="A77" s="7" t="n">
        <x:v>35156</x:v>
      </x:c>
      <x:c r="B77" s="8" t="n">
        <x:v>2.71167377962</x:v>
      </x:c>
      <x:c r="C77" s="8" t="n">
        <x:v>2.59442251744</x:v>
      </x:c>
      <x:c r="D77" s="8" t="n">
        <x:v>3.95824761201</x:v>
      </x:c>
      <x:c r="E77" s="8" t="n">
        <x:v>11.0409492034</x:v>
      </x:c>
      <x:c r="F77" s="8" t="n">
        <x:v>93.98</x:v>
      </x:c>
      <x:c r="G77" s="8" t="n">
        <x:v>28.3624</x:v>
      </x:c>
      <x:c r="H77" s="8" t="n">
        <x:v>31.2088</x:v>
      </x:c>
      <x:c r="I77" s="8" t="n">
        <x:v>10.0043</x:v>
      </x:c>
      <x:c r="J77" s="8" t="n">
        <x:v>12.9349</x:v>
      </x:c>
      <x:c r="K77" s="8" t="n">
        <x:v>2.6611</x:v>
      </x:c>
      <x:c r="L77" s="8" t="n">
        <x:v>1.179</x:v>
      </x:c>
      <x:c r="M77" s="8" t="n">
        <x:v>1.7684</x:v>
      </x:c>
      <x:c r="N77" s="8" t="n">
        <x:v>5.8611</x:v>
      </x:c>
    </x:row>
    <x:row r="78" ht="19" customHeight="1">
      <x:c r="A78" s="7" t="n">
        <x:v>35186</x:v>
      </x:c>
      <x:c r="B78" s="8" t="n">
        <x:v>2.60533844302</x:v>
      </x:c>
      <x:c r="C78" s="8" t="n">
        <x:v>2.5050560735</x:v>
      </x:c>
      <x:c r="D78" s="8" t="n">
        <x:v>3.96531407516</x:v>
      </x:c>
      <x:c r="E78" s="8" t="n">
        <x:v>11.0347399109</x:v>
      </x:c>
      <x:c r="F78" s="8" t="n">
        <x:v>74.66</x:v>
      </x:c>
      <x:c r="G78" s="8" t="n">
        <x:v>11.7428</x:v>
      </x:c>
      <x:c r="H78" s="8" t="n">
        <x:v>26.956</x:v>
      </x:c>
      <x:c r="I78" s="8" t="n">
        <x:v>6.552</x:v>
      </x:c>
      <x:c r="J78" s="8" t="n">
        <x:v>12.6627</x:v>
      </x:c>
      <x:c r="K78" s="8" t="n">
        <x:v>2.4682</x:v>
      </x:c>
      <x:c r="L78" s="8" t="n">
        <x:v>1.1369</x:v>
      </x:c>
      <x:c r="M78" s="8" t="n">
        <x:v>6.5445</x:v>
      </x:c>
      <x:c r="N78" s="8" t="n">
        <x:v>6.5969</x:v>
      </x:c>
    </x:row>
    <x:row r="79" ht="19" customHeight="1">
      <x:c r="A79" s="7" t="n">
        <x:v>35217</x:v>
      </x:c>
      <x:c r="B79" s="8" t="n">
        <x:v>2.56735184936</x:v>
      </x:c>
      <x:c r="C79" s="8" t="n">
        <x:v>2.4664432657</x:v>
      </x:c>
      <x:c r="D79" s="8" t="n">
        <x:v>3.96623990984</x:v>
      </x:c>
      <x:c r="E79" s="8" t="n">
        <x:v>11.0434237577</x:v>
      </x:c>
      <x:c r="F79" s="8" t="n">
        <x:v>79.42</x:v>
      </x:c>
      <x:c r="G79" s="8" t="n">
        <x:v>8.3009</x:v>
      </x:c>
      <x:c r="H79" s="8" t="n">
        <x:v>36.0466</x:v>
      </x:c>
      <x:c r="I79" s="8" t="n">
        <x:v>14.4783</x:v>
      </x:c>
      <x:c r="J79" s="8" t="n">
        <x:v>5.9142</x:v>
      </x:c>
      <x:c r="K79" s="8" t="n">
        <x:v>1.4391</x:v>
      </x:c>
      <x:c r="L79" s="8" t="n">
        <x:v>0.8424</x:v>
      </x:c>
      <x:c r="M79" s="8" t="n">
        <x:v>5.6948</x:v>
      </x:c>
      <x:c r="N79" s="8" t="n">
        <x:v>6.7039</x:v>
      </x:c>
    </x:row>
    <x:row r="80" ht="19" customHeight="1">
      <x:c r="A80" s="7" t="n">
        <x:v>35247</x:v>
      </x:c>
      <x:c r="B80" s="8" t="n">
        <x:v>2.60763145336</x:v>
      </x:c>
      <x:c r="C80" s="8" t="n">
        <x:v>2.52292216205</x:v>
      </x:c>
      <x:c r="D80" s="8" t="n">
        <x:v>3.97020916033</x:v>
      </x:c>
      <x:c r="E80" s="8" t="n">
        <x:v>11.0476932026</x:v>
      </x:c>
      <x:c r="F80" s="8" t="n">
        <x:v>95.28</x:v>
      </x:c>
      <x:c r="G80" s="8" t="n">
        <x:v>11.9556</x:v>
      </x:c>
      <x:c r="H80" s="8" t="n">
        <x:v>23.3516</x:v>
      </x:c>
      <x:c r="I80" s="8" t="n">
        <x:v>32.9794</x:v>
      </x:c>
      <x:c r="J80" s="8" t="n">
        <x:v>9.8468</x:v>
      </x:c>
      <x:c r="K80" s="8" t="n">
        <x:v>1.3464</x:v>
      </x:c>
      <x:c r="L80" s="8" t="n">
        <x:v>2.8064</x:v>
      </x:c>
      <x:c r="M80" s="8" t="n">
        <x:v>5.0126</x:v>
      </x:c>
      <x:c r="N80" s="8" t="n">
        <x:v>7.9812</x:v>
      </x:c>
    </x:row>
    <x:row r="81" ht="19" customHeight="1">
      <x:c r="A81" s="7" t="n">
        <x:v>35278</x:v>
      </x:c>
      <x:c r="B81" s="8" t="n">
        <x:v>2.63413794282</x:v>
      </x:c>
      <x:c r="C81" s="8" t="n">
        <x:v>2.56856387808</x:v>
      </x:c>
      <x:c r="D81" s="8" t="n">
        <x:v>3.97410044455</x:v>
      </x:c>
      <x:c r="E81" s="8" t="n">
        <x:v>11.045659828</x:v>
      </x:c>
      <x:c r="F81" s="8" t="n">
        <x:v>80.41</x:v>
      </x:c>
      <x:c r="G81" s="8" t="n">
        <x:v>15.2859</x:v>
      </x:c>
      <x:c r="H81" s="8" t="n">
        <x:v>22.2845</x:v>
      </x:c>
      <x:c r="I81" s="8" t="n">
        <x:v>15.7753</x:v>
      </x:c>
      <x:c r="J81" s="8" t="n">
        <x:v>12.5126</x:v>
      </x:c>
      <x:c r="K81" s="8" t="n">
        <x:v>1.1583</x:v>
      </x:c>
      <x:c r="L81" s="8" t="n">
        <x:v>0.9462</x:v>
      </x:c>
      <x:c r="M81" s="8" t="n">
        <x:v>5.563</x:v>
      </x:c>
      <x:c r="N81" s="8" t="n">
        <x:v>6.8844</x:v>
      </x:c>
    </x:row>
    <x:row r="82" ht="19" customHeight="1">
      <x:c r="A82" s="7" t="n">
        <x:v>35309</x:v>
      </x:c>
      <x:c r="B82" s="8" t="n">
        <x:v>2.72127874047</x:v>
      </x:c>
      <x:c r="C82" s="8" t="n">
        <x:v>2.66375215166</x:v>
      </x:c>
      <x:c r="D82" s="8" t="n">
        <x:v>3.9779173133</x:v>
      </x:c>
      <x:c r="E82" s="8" t="n">
        <x:v>11.049572948</x:v>
      </x:c>
      <x:c r="F82" s="8" t="n">
        <x:v>91.72</x:v>
      </x:c>
      <x:c r="G82" s="8" t="n">
        <x:v>35.6157</x:v>
      </x:c>
      <x:c r="H82" s="8" t="n">
        <x:v>25.2725</x:v>
      </x:c>
      <x:c r="I82" s="8" t="n">
        <x:v>8.8256</x:v>
      </x:c>
      <x:c r="J82" s="8" t="n">
        <x:v>12.2403</x:v>
      </x:c>
      <x:c r="K82" s="8" t="n">
        <x:v>1.4352</x:v>
      </x:c>
      <x:c r="L82" s="8" t="n">
        <x:v>0.8908</x:v>
      </x:c>
      <x:c r="M82" s="8" t="n">
        <x:v>1.0228</x:v>
      </x:c>
      <x:c r="N82" s="8" t="n">
        <x:v>6.4171</x:v>
      </x:c>
    </x:row>
    <x:row r="83" ht="19" customHeight="1">
      <x:c r="A83" s="7" t="n">
        <x:v>35339</x:v>
      </x:c>
      <x:c r="B83" s="8" t="n">
        <x:v>2.75537439853</x:v>
      </x:c>
      <x:c r="C83" s="8" t="n">
        <x:v>2.72600850372</x:v>
      </x:c>
      <x:c r="D83" s="8" t="n">
        <x:v>3.98015686751</x:v>
      </x:c>
      <x:c r="E83" s="8" t="n">
        <x:v>11.052892903</x:v>
      </x:c>
      <x:c r="F83" s="8" t="n">
        <x:v>68.06</x:v>
      </x:c>
      <x:c r="G83" s="8" t="n">
        <x:v>15.0706</x:v>
      </x:c>
      <x:c r="H83" s="8" t="n">
        <x:v>29.0885</x:v>
      </x:c>
      <x:c r="I83" s="8" t="n">
        <x:v>5.7556</x:v>
      </x:c>
      <x:c r="J83" s="8" t="n">
        <x:v>8.8303</x:v>
      </x:c>
      <x:c r="K83" s="8" t="n">
        <x:v>0.6513</x:v>
      </x:c>
      <x:c r="L83" s="8" t="n">
        <x:v>1.0299</x:v>
      </x:c>
      <x:c r="M83" s="8" t="n">
        <x:v>1.5146</x:v>
      </x:c>
      <x:c r="N83" s="8" t="n">
        <x:v>6.1191</x:v>
      </x:c>
    </x:row>
    <x:row r="84" ht="19" customHeight="1">
      <x:c r="A84" s="7" t="n">
        <x:v>35370</x:v>
      </x:c>
      <x:c r="B84" s="8" t="n">
        <x:v>2.70405145853</x:v>
      </x:c>
      <x:c r="C84" s="8" t="n">
        <x:v>2.66315916771</x:v>
      </x:c>
      <x:c r="D84" s="8" t="n">
        <x:v>3.9857481291</x:v>
      </x:c>
      <x:c r="E84" s="8" t="n">
        <x:v>11.0616760077</x:v>
      </x:c>
      <x:c r="F84" s="8" t="n">
        <x:v>76.27</x:v>
      </x:c>
      <x:c r="G84" s="8" t="n">
        <x:v>18.894</x:v>
      </x:c>
      <x:c r="H84" s="8" t="n">
        <x:v>26.5743</x:v>
      </x:c>
      <x:c r="I84" s="8" t="n">
        <x:v>6.454</x:v>
      </x:c>
      <x:c r="J84" s="8" t="n">
        <x:v>8.8258</x:v>
      </x:c>
      <x:c r="K84" s="8" t="n">
        <x:v>1.3553</x:v>
      </x:c>
      <x:c r="L84" s="8" t="n">
        <x:v>1.3553</x:v>
      </x:c>
      <x:c r="M84" s="8" t="n">
        <x:v>1.3876</x:v>
      </x:c>
      <x:c r="N84" s="8" t="n">
        <x:v>11.4236</x:v>
      </x:c>
    </x:row>
    <x:row r="85" ht="19" customHeight="1">
      <x:c r="A85" s="7" t="n">
        <x:v>35400</x:v>
      </x:c>
      <x:c r="B85" s="8" t="n">
        <x:v>2.7636710133</x:v>
      </x:c>
      <x:c r="C85" s="8" t="n">
        <x:v>2.70448214191</x:v>
      </x:c>
      <x:c r="D85" s="8" t="n">
        <x:v>3.98857548151</x:v>
      </x:c>
      <x:c r="E85" s="8" t="n">
        <x:v>11.0703402208</x:v>
      </x:c>
      <x:c r="F85" s="8" t="n">
        <x:v>86.75</x:v>
      </x:c>
      <x:c r="G85" s="8" t="n">
        <x:v>10.1993</x:v>
      </x:c>
      <x:c r="H85" s="8" t="n">
        <x:v>33.6976</x:v>
      </x:c>
      <x:c r="I85" s="8" t="n">
        <x:v>16.048</x:v>
      </x:c>
      <x:c r="J85" s="8" t="n">
        <x:v>13.9763</x:v>
      </x:c>
      <x:c r="K85" s="8" t="n">
        <x:v>2.518</x:v>
      </x:c>
      <x:c r="L85" s="8" t="n">
        <x:v>0.1912</x:v>
      </x:c>
      <x:c r="M85" s="8" t="n">
        <x:v>1.5299</x:v>
      </x:c>
      <x:c r="N85" s="8" t="n">
        <x:v>8.5897</x:v>
      </x:c>
    </x:row>
    <x:row r="86" ht="19" customHeight="1">
      <x:c r="A86" s="7" t="n">
        <x:v>35431</x:v>
      </x:c>
      <x:c r="B86" s="8" t="n">
        <x:v>2.75781577119</x:v>
      </x:c>
      <x:c r="C86" s="8" t="n">
        <x:v>2.69245452146</x:v>
      </x:c>
      <x:c r="D86" s="8" t="n">
        <x:v>3.99625405038</x:v>
      </x:c>
      <x:c r="E86" s="8" t="n">
        <x:v>11.0731199365</x:v>
      </x:c>
      <x:c r="F86" s="8" t="n">
        <x:v>77.43</x:v>
      </x:c>
      <x:c r="G86" s="8" t="n">
        <x:v>6.2656</x:v>
      </x:c>
      <x:c r="H86" s="8" t="n">
        <x:v>33.5046</x:v>
      </x:c>
      <x:c r="I86" s="8" t="n">
        <x:v>19.3905</x:v>
      </x:c>
      <x:c r="J86" s="8" t="n">
        <x:v>8.9368</x:v>
      </x:c>
      <x:c r="K86" s="8" t="n">
        <x:v>1.8797</x:v>
      </x:c>
      <x:c r="L86" s="8" t="n">
        <x:v>0.2968</x:v>
      </x:c>
      <x:c r="M86" s="8" t="n">
        <x:v>0.8904</x:v>
      </x:c>
      <x:c r="N86" s="8" t="n">
        <x:v>6.2656</x:v>
      </x:c>
    </x:row>
    <x:row r="87" ht="19" customHeight="1">
      <x:c r="A87" s="7" t="n">
        <x:v>35462</x:v>
      </x:c>
      <x:c r="B87" s="8" t="n">
        <x:v>2.63106411269</x:v>
      </x:c>
      <x:c r="C87" s="8" t="n">
        <x:v>2.56922707901</x:v>
      </x:c>
      <x:c r="D87" s="8" t="n">
        <x:v>4.00161192958</x:v>
      </x:c>
      <x:c r="E87" s="8" t="n">
        <x:v>11.0773049744</x:v>
      </x:c>
      <x:c r="F87" s="8" t="n">
        <x:v>75.25</x:v>
      </x:c>
      <x:c r="G87" s="8" t="n">
        <x:v>7.5018</x:v>
      </x:c>
      <x:c r="H87" s="8" t="n">
        <x:v>32.9281</x:v>
      </x:c>
      <x:c r="I87" s="8" t="n">
        <x:v>12.514</x:v>
      </x:c>
      <x:c r="J87" s="8" t="n">
        <x:v>10.7215</x:v>
      </x:c>
      <x:c r="K87" s="8" t="n">
        <x:v>0.7635</x:v>
      </x:c>
      <x:c r="L87" s="8" t="n">
        <x:v>2.0912</x:v>
      </x:c>
      <x:c r="M87" s="8" t="n">
        <x:v>1.8588</x:v>
      </x:c>
      <x:c r="N87" s="8" t="n">
        <x:v>6.8711</x:v>
      </x:c>
    </x:row>
    <x:row r="88" ht="19" customHeight="1">
      <x:c r="A88" s="7" t="n">
        <x:v>35490</x:v>
      </x:c>
      <x:c r="B88" s="8" t="n">
        <x:v>2.57433999757</x:v>
      </x:c>
      <x:c r="C88" s="8" t="n">
        <x:v>2.48250493611</x:v>
      </x:c>
      <x:c r="D88" s="8" t="n">
        <x:v>4.00537892267</x:v>
      </x:c>
      <x:c r="E88" s="8" t="n">
        <x:v>11.0710414047</x:v>
      </x:c>
      <x:c r="F88" s="8" t="n">
        <x:v>90.82</x:v>
      </x:c>
      <x:c r="G88" s="8" t="n">
        <x:v>6.9152</x:v>
      </x:c>
      <x:c r="H88" s="8" t="n">
        <x:v>40.1544</x:v>
      </x:c>
      <x:c r="I88" s="8" t="n">
        <x:v>12.3859</x:v>
      </x:c>
      <x:c r="J88" s="8" t="n">
        <x:v>19.5931</x:v>
      </x:c>
      <x:c r="K88" s="8" t="n">
        <x:v>0.6454</x:v>
      </x:c>
      <x:c r="L88" s="8" t="n">
        <x:v>1.5367</x:v>
      </x:c>
      <x:c r="M88" s="8" t="n">
        <x:v>1.5675</x:v>
      </x:c>
      <x:c r="N88" s="8" t="n">
        <x:v>8.0217</x:v>
      </x:c>
    </x:row>
    <x:row r="89" ht="19" customHeight="1">
      <x:c r="A89" s="7" t="n">
        <x:v>35521</x:v>
      </x:c>
      <x:c r="B89" s="8" t="n">
        <x:v>2.51124020189</x:v>
      </x:c>
      <x:c r="C89" s="8" t="n">
        <x:v>2.39624515436</x:v>
      </x:c>
      <x:c r="D89" s="8" t="n">
        <x:v>4.01414378715</x:v>
      </x:c>
      <x:c r="E89" s="8" t="n">
        <x:v>11.0842504488</x:v>
      </x:c>
      <x:c r="F89" s="8" t="n">
        <x:v>83.08</x:v>
      </x:c>
      <x:c r="G89" s="8" t="n">
        <x:v>10.1842</x:v>
      </x:c>
      <x:c r="H89" s="8" t="n">
        <x:v>34.2793</x:v>
      </x:c>
      <x:c r="I89" s="8" t="n">
        <x:v>12.915</x:v>
      </x:c>
      <x:c r="J89" s="8" t="n">
        <x:v>15.9028</x:v>
      </x:c>
      <x:c r="K89" s="8" t="n">
        <x:v>1.51</x:v>
      </x:c>
      <x:c r="L89" s="8" t="n">
        <x:v>0.4176</x:v>
      </x:c>
      <x:c r="M89" s="8" t="n">
        <x:v>1.9597</x:v>
      </x:c>
      <x:c r="N89" s="8" t="n">
        <x:v>5.9113</x:v>
      </x:c>
    </x:row>
    <x:row r="90" ht="19" customHeight="1">
      <x:c r="A90" s="7" t="n">
        <x:v>35551</x:v>
      </x:c>
      <x:c r="B90" s="8" t="n">
        <x:v>2.56653562934</x:v>
      </x:c>
      <x:c r="C90" s="8" t="n">
        <x:v>2.47611262327</x:v>
      </x:c>
      <x:c r="D90" s="8" t="n">
        <x:v>4.01514468945</x:v>
      </x:c>
      <x:c r="E90" s="8" t="n">
        <x:v>11.073856716</x:v>
      </x:c>
      <x:c r="F90" s="8" t="n">
        <x:v>76.53</x:v>
      </x:c>
      <x:c r="G90" s="8" t="n">
        <x:v>7.4051</x:v>
      </x:c>
      <x:c r="H90" s="8" t="n">
        <x:v>32.7111</x:v>
      </x:c>
      <x:c r="I90" s="8" t="n">
        <x:v>5.6916</x:v>
      </x:c>
      <x:c r="J90" s="8" t="n">
        <x:v>13.8923</x:v>
      </x:c>
      <x:c r="K90" s="8" t="n">
        <x:v>1.4688</x:v>
      </x:c>
      <x:c r="L90" s="8" t="n">
        <x:v>5.967</x:v>
      </x:c>
      <x:c r="M90" s="8" t="n">
        <x:v>2.0808</x:v>
      </x:c>
      <x:c r="N90" s="8" t="n">
        <x:v>7.3133</x:v>
      </x:c>
    </x:row>
    <x:row r="91" ht="19" customHeight="1">
      <x:c r="A91" s="7" t="n">
        <x:v>35582</x:v>
      </x:c>
      <x:c r="B91" s="8" t="n">
        <x:v>2.48677755772</x:v>
      </x:c>
      <x:c r="C91" s="8" t="n">
        <x:v>2.39550904361</x:v>
      </x:c>
      <x:c r="D91" s="8" t="n">
        <x:v>4.02037503558</x:v>
      </x:c>
      <x:c r="E91" s="8" t="n">
        <x:v>11.060150691</x:v>
      </x:c>
      <x:c r="F91" s="8" t="n">
        <x:v>69.02</x:v>
      </x:c>
      <x:c r="G91" s="8" t="n">
        <x:v>8.1763</x:v>
      </x:c>
      <x:c r="H91" s="8" t="n">
        <x:v>28.5089</x:v>
      </x:c>
      <x:c r="I91" s="8" t="n">
        <x:v>8.2071</x:v>
      </x:c>
      <x:c r="J91" s="8" t="n">
        <x:v>11.0148</x:v>
      </x:c>
      <x:c r="K91" s="8" t="n">
        <x:v>1.4501</x:v>
      </x:c>
      <x:c r="L91" s="8" t="n">
        <x:v>4.3195</x:v>
      </x:c>
      <x:c r="M91" s="8" t="n">
        <x:v>1.1416</x:v>
      </x:c>
      <x:c r="N91" s="8" t="n">
        <x:v>6.2016</x:v>
      </x:c>
    </x:row>
    <x:row r="92" ht="19" customHeight="1">
      <x:c r="A92" s="7" t="n">
        <x:v>35612</x:v>
      </x:c>
      <x:c r="B92" s="8" t="n">
        <x:v>2.50608560527</x:v>
      </x:c>
      <x:c r="C92" s="8" t="n">
        <x:v>2.44310571963</x:v>
      </x:c>
      <x:c r="D92" s="8" t="n">
        <x:v>4.02574684565</x:v>
      </x:c>
      <x:c r="E92" s="8" t="n">
        <x:v>11.072655644</x:v>
      </x:c>
      <x:c r="F92" s="8" t="n">
        <x:v>74.38</x:v>
      </x:c>
      <x:c r="G92" s="8" t="n">
        <x:v>10.1427</x:v>
      </x:c>
      <x:c r="H92" s="8" t="n">
        <x:v>27.8392</x:v>
      </x:c>
      <x:c r="I92" s="8" t="n">
        <x:v>9.0462</x:v>
      </x:c>
      <x:c r="J92" s="8" t="n">
        <x:v>9.9904</x:v>
      </x:c>
      <x:c r="K92" s="8" t="n">
        <x:v>2.0407</x:v>
      </x:c>
      <x:c r="L92" s="8" t="n">
        <x:v>7.9802</x:v>
      </x:c>
      <x:c r="M92" s="8" t="n">
        <x:v>1.1574</x:v>
      </x:c>
      <x:c r="N92" s="8" t="n">
        <x:v>6.1831</x:v>
      </x:c>
    </x:row>
    <x:row r="93" ht="19" customHeight="1">
      <x:c r="A93" s="7" t="n">
        <x:v>35643</x:v>
      </x:c>
      <x:c r="B93" s="8" t="n">
        <x:v>2.51823797258</x:v>
      </x:c>
      <x:c r="C93" s="8" t="n">
        <x:v>2.44817040996</x:v>
      </x:c>
      <x:c r="D93" s="8" t="n">
        <x:v>4.02945109883</x:v>
      </x:c>
      <x:c r="E93" s="8" t="n">
        <x:v>11.0846897175</x:v>
      </x:c>
      <x:c r="F93" s="8" t="n">
        <x:v>71.46</x:v>
      </x:c>
      <x:c r="G93" s="8" t="n">
        <x:v>8.8968</x:v>
      </x:c>
      <x:c r="H93" s="8" t="n">
        <x:v>27.0661</x:v>
      </x:c>
      <x:c r="I93" s="8" t="n">
        <x:v>12.0828</x:v>
      </x:c>
      <x:c r="J93" s="8" t="n">
        <x:v>9.8286</x:v>
      </x:c>
      <x:c r="K93" s="8" t="n">
        <x:v>1.4728</x:v>
      </x:c>
      <x:c r="L93" s="8" t="n">
        <x:v>2.645</x:v>
      </x:c>
      <x:c r="M93" s="8" t="n">
        <x:v>2.4647</x:v>
      </x:c>
      <x:c r="N93" s="8" t="n">
        <x:v>7.0032</x:v>
      </x:c>
    </x:row>
    <x:row r="94" ht="19" customHeight="1">
      <x:c r="A94" s="7" t="n">
        <x:v>35674</x:v>
      </x:c>
      <x:c r="B94" s="8" t="n">
        <x:v>2.50820629362</x:v>
      </x:c>
      <x:c r="C94" s="8" t="n">
        <x:v>2.43813058499</x:v>
      </x:c>
      <x:c r="D94" s="8" t="n">
        <x:v>4.03295339623</x:v>
      </x:c>
      <x:c r="E94" s="8" t="n">
        <x:v>11.0879906614</x:v>
      </x:c>
      <x:c r="F94" s="8" t="n">
        <x:v>60.29</x:v>
      </x:c>
      <x:c r="G94" s="8" t="n">
        <x:v>7.4267</x:v>
      </x:c>
      <x:c r="H94" s="8" t="n">
        <x:v>28.3106</x:v>
      </x:c>
      <x:c r="I94" s="8" t="n">
        <x:v>8.9715</x:v>
      </x:c>
      <x:c r="J94" s="8" t="n">
        <x:v>5.4661</x:v>
      </x:c>
      <x:c r="K94" s="8" t="n">
        <x:v>1.4853</x:v>
      </x:c>
      <x:c r="L94" s="8" t="n">
        <x:v>0.7427</x:v>
      </x:c>
      <x:c r="M94" s="8" t="n">
        <x:v>1.5893</x:v>
      </x:c>
      <x:c r="N94" s="8" t="n">
        <x:v>6.2978</x:v>
      </x:c>
    </x:row>
    <x:row r="95" ht="19" customHeight="1">
      <x:c r="A95" s="7" t="n">
        <x:v>35704</x:v>
      </x:c>
      <x:c r="B95" s="8" t="n">
        <x:v>2.58077957581</x:v>
      </x:c>
      <x:c r="C95" s="8" t="n">
        <x:v>2.50987609989</x:v>
      </x:c>
      <x:c r="D95" s="8" t="n">
        <x:v>4.03920371993</x:v>
      </x:c>
      <x:c r="E95" s="8" t="n">
        <x:v>11.1040734528</x:v>
      </x:c>
      <x:c r="F95" s="8" t="n">
        <x:v>61.78</x:v>
      </x:c>
      <x:c r="G95" s="8" t="n">
        <x:v>6.5661</x:v>
      </x:c>
      <x:c r="H95" s="8" t="n">
        <x:v>28.4443</x:v>
      </x:c>
      <x:c r="I95" s="8" t="n">
        <x:v>6.3003</x:v>
      </x:c>
      <x:c r="J95" s="8" t="n">
        <x:v>6.2471</x:v>
      </x:c>
      <x:c r="K95" s="8" t="n">
        <x:v>1.7279</x:v>
      </x:c>
      <x:c r="L95" s="8" t="n">
        <x:v>1.4621</x:v>
      </x:c>
      <x:c r="M95" s="8" t="n">
        <x:v>3.9609</x:v>
      </x:c>
      <x:c r="N95" s="8" t="n">
        <x:v>7.0712</x:v>
      </x:c>
    </x:row>
    <x:row r="96" ht="19" customHeight="1">
      <x:c r="A96" s="7" t="n">
        <x:v>35735</x:v>
      </x:c>
      <x:c r="B96" s="8" t="n">
        <x:v>2.52461485173</x:v>
      </x:c>
      <x:c r="C96" s="8" t="n">
        <x:v>2.47277397646</x:v>
      </x:c>
      <x:c r="D96" s="8" t="n">
        <x:v>4.03607074782</x:v>
      </x:c>
      <x:c r="E96" s="8" t="n">
        <x:v>11.0988000545</x:v>
      </x:c>
      <x:c r="F96" s="8" t="n">
        <x:v>72.42</x:v>
      </x:c>
      <x:c r="G96" s="8" t="n">
        <x:v>6.1305</x:v>
      </x:c>
      <x:c r="H96" s="8" t="n">
        <x:v>35.4938</x:v>
      </x:c>
      <x:c r="I96" s="8" t="n">
        <x:v>11.6021</x:v>
      </x:c>
      <x:c r="J96" s="8" t="n">
        <x:v>2.6928</x:v>
      </x:c>
      <x:c r="K96" s="8" t="n">
        <x:v>1.7475</x:v>
      </x:c>
      <x:c r="L96" s="8" t="n">
        <x:v>1.1172</x:v>
      </x:c>
      <x:c r="M96" s="8" t="n">
        <x:v>3.5809</x:v>
      </x:c>
      <x:c r="N96" s="8" t="n">
        <x:v>10.0552</x:v>
      </x:c>
    </x:row>
    <x:row r="97" ht="19" customHeight="1">
      <x:c r="A97" s="7" t="n">
        <x:v>35765</x:v>
      </x:c>
      <x:c r="B97" s="8" t="n">
        <x:v>2.42734824322</x:v>
      </x:c>
      <x:c r="C97" s="8" t="n">
        <x:v>2.36255509792</x:v>
      </x:c>
      <x:c r="D97" s="8" t="n">
        <x:v>4.03362390355</x:v>
      </x:c>
      <x:c r="E97" s="8" t="n">
        <x:v>11.0966928245</x:v>
      </x:c>
      <x:c r="F97" s="8" t="n">
        <x:v>70.33</x:v>
      </x:c>
      <x:c r="G97" s="8" t="n">
        <x:v>7.0143</x:v>
      </x:c>
      <x:c r="H97" s="8" t="n">
        <x:v>31.4351</x:v>
      </x:c>
      <x:c r="I97" s="8" t="n">
        <x:v>7.1293</x:v>
      </x:c>
      <x:c r="J97" s="8" t="n">
        <x:v>5.7494</x:v>
      </x:c>
      <x:c r="K97" s="8" t="n">
        <x:v>1.6386</x:v>
      </x:c>
      <x:c r="L97" s="8" t="n">
        <x:v>1.2936</x:v>
      </x:c>
      <x:c r="M97" s="8" t="n">
        <x:v>1.5236</x:v>
      </x:c>
      <x:c r="N97" s="8" t="n">
        <x:v>14.5461</x:v>
      </x:c>
    </x:row>
    <x:row r="98" ht="19" customHeight="1">
      <x:c r="A98" s="7" t="n">
        <x:v>35796</x:v>
      </x:c>
      <x:c r="B98" s="8" t="n">
        <x:v>2.33417945841</x:v>
      </x:c>
      <x:c r="C98" s="8" t="n">
        <x:v>2.23821116736</x:v>
      </x:c>
      <x:c r="D98" s="8" t="n">
        <x:v>4.03760525017</x:v>
      </x:c>
      <x:c r="E98" s="8" t="n">
        <x:v>11.1082644735</x:v>
      </x:c>
      <x:c r="F98" s="8" t="n">
        <x:v>75.52</x:v>
      </x:c>
      <x:c r="G98" s="8" t="n">
        <x:v>8.5851</x:v>
      </x:c>
      <x:c r="H98" s="8" t="n">
        <x:v>34.2532</x:v>
      </x:c>
      <x:c r="I98" s="8" t="n">
        <x:v>9.691</x:v>
      </x:c>
      <x:c r="J98" s="8" t="n">
        <x:v>7.2755</x:v>
      </x:c>
      <x:c r="K98" s="8" t="n">
        <x:v>0.9604</x:v>
      </x:c>
      <x:c r="L98" s="8" t="n">
        <x:v>1.0186</x:v>
      </x:c>
      <x:c r="M98" s="8" t="n">
        <x:v>1.6588</x:v>
      </x:c>
      <x:c r="N98" s="8" t="n">
        <x:v>12.0774</x:v>
      </x:c>
    </x:row>
    <x:row r="99" ht="19" customHeight="1">
      <x:c r="A99" s="7" t="n">
        <x:v>35827</x:v>
      </x:c>
      <x:c r="B99" s="8" t="n">
        <x:v>2.29390555927</x:v>
      </x:c>
      <x:c r="C99" s="8" t="n">
        <x:v>2.16161872188</x:v>
      </x:c>
      <x:c r="D99" s="8" t="n">
        <x:v>4.03761646657</x:v>
      </x:c>
      <x:c r="E99" s="8" t="n">
        <x:v>11.1164890651</x:v>
      </x:c>
      <x:c r="F99" s="8" t="n">
        <x:v>95.13</x:v>
      </x:c>
      <x:c r="G99" s="8" t="n">
        <x:v>32.6203</x:v>
      </x:c>
      <x:c r="H99" s="8" t="n">
        <x:v>34.8658</x:v>
      </x:c>
      <x:c r="I99" s="8" t="n">
        <x:v>9.0123</x:v>
      </x:c>
      <x:c r="J99" s="8" t="n">
        <x:v>4.8855</x:v>
      </x:c>
      <x:c r="K99" s="8" t="n">
        <x:v>1.0924</x:v>
      </x:c>
      <x:c r="L99" s="8" t="n">
        <x:v>0.789</x:v>
      </x:c>
      <x:c r="M99" s="8" t="n">
        <x:v>2.0634</x:v>
      </x:c>
      <x:c r="N99" s="8" t="n">
        <x:v>9.8013</x:v>
      </x:c>
    </x:row>
    <x:row r="100" ht="19" customHeight="1">
      <x:c r="A100" s="7" t="n">
        <x:v>35855</x:v>
      </x:c>
      <x:c r="B100" s="8" t="n">
        <x:v>2.23359222151</x:v>
      </x:c>
      <x:c r="C100" s="8" t="n">
        <x:v>2.09018608096</x:v>
      </x:c>
      <x:c r="D100" s="8" t="n">
        <x:v>4.03635772524</x:v>
      </x:c>
      <x:c r="E100" s="8" t="n">
        <x:v>11.1143016865</x:v>
      </x:c>
      <x:c r="F100" s="8" t="n">
        <x:v>67.63</x:v>
      </x:c>
      <x:c r="G100" s="8" t="n">
        <x:v>11.6449</x:v>
      </x:c>
      <x:c r="H100" s="8" t="n">
        <x:v>32.7373</x:v>
      </x:c>
      <x:c r="I100" s="8" t="n">
        <x:v>5.6825</x:v>
      </x:c>
      <x:c r="J100" s="8" t="n">
        <x:v>4.2409</x:v>
      </x:c>
      <x:c r="K100" s="8" t="n">
        <x:v>1.9035</x:v>
      </x:c>
      <x:c r="L100" s="8" t="n">
        <x:v>1.2597</x:v>
      </x:c>
      <x:c r="M100" s="8" t="n">
        <x:v>3.0232</x:v>
      </x:c>
      <x:c r="N100" s="8" t="n">
        <x:v>7.1381</x:v>
      </x:c>
    </x:row>
    <x:row r="101" ht="19" customHeight="1">
      <x:c r="A101" s="7" t="n">
        <x:v>35886</x:v>
      </x:c>
      <x:c r="B101" s="8" t="n">
        <x:v>2.24745551834</x:v>
      </x:c>
      <x:c r="C101" s="8" t="n">
        <x:v>2.12124948649</x:v>
      </x:c>
      <x:c r="D101" s="8" t="n">
        <x:v>4.03757486854</x:v>
      </x:c>
      <x:c r="E101" s="8" t="n">
        <x:v>11.1079637401</x:v>
      </x:c>
      <x:c r="F101" s="8" t="n">
        <x:v>64.91</x:v>
      </x:c>
      <x:c r="G101" s="8" t="n">
        <x:v>6.352</x:v>
      </x:c>
      <x:c r="H101" s="8" t="n">
        <x:v>33.0624</x:v>
      </x:c>
      <x:c r="I101" s="8" t="n">
        <x:v>5.7665</x:v>
      </x:c>
      <x:c r="J101" s="8" t="n">
        <x:v>4.5664</x:v>
      </x:c>
      <x:c r="K101" s="8" t="n">
        <x:v>2.9564</x:v>
      </x:c>
      <x:c r="L101" s="8" t="n">
        <x:v>1.0538</x:v>
      </x:c>
      <x:c r="M101" s="8" t="n">
        <x:v>2.8979</x:v>
      </x:c>
      <x:c r="N101" s="8" t="n">
        <x:v>8.2546</x:v>
      </x:c>
    </x:row>
    <x:row r="102" ht="19" customHeight="1">
      <x:c r="A102" s="7" t="n">
        <x:v>35916</x:v>
      </x:c>
      <x:c r="B102" s="8" t="n">
        <x:v>2.21590911765</x:v>
      </x:c>
      <x:c r="C102" s="8" t="n">
        <x:v>2.17832355249</x:v>
      </x:c>
      <x:c r="D102" s="8" t="n">
        <x:v>4.03736145298</x:v>
      </x:c>
      <x:c r="E102" s="8" t="n">
        <x:v>11.0987813228</x:v>
      </x:c>
      <x:c r="F102" s="8" t="n">
        <x:v>90.54</x:v>
      </x:c>
      <x:c r="G102" s="8" t="n">
        <x:v>8.8838</x:v>
      </x:c>
      <x:c r="H102" s="8" t="n">
        <x:v>28.5195</x:v>
      </x:c>
      <x:c r="I102" s="8" t="n">
        <x:v>6.3377</x:v>
      </x:c>
      <x:c r="J102" s="8" t="n">
        <x:v>10.3229</x:v>
      </x:c>
      <x:c r="K102" s="8" t="n">
        <x:v>20.0093</x:v>
      </x:c>
      <x:c r="L102" s="8" t="n">
        <x:v>1.8266</x:v>
      </x:c>
      <x:c r="M102" s="8" t="n">
        <x:v>3.8746</x:v>
      </x:c>
      <x:c r="N102" s="8" t="n">
        <x:v>10.7657</x:v>
      </x:c>
    </x:row>
    <x:row r="103" ht="19" customHeight="1">
      <x:c r="A103" s="7" t="n">
        <x:v>35947</x:v>
      </x:c>
      <x:c r="B103" s="8" t="n">
        <x:v>2.13150235472</x:v>
      </x:c>
      <x:c r="C103" s="8" t="n">
        <x:v>2.01490302054</x:v>
      </x:c>
      <x:c r="D103" s="8" t="n">
        <x:v>4.0363106451</x:v>
      </x:c>
      <x:c r="E103" s="8" t="n">
        <x:v>11.0980773892</x:v>
      </x:c>
      <x:c r="F103" s="8" t="n">
        <x:v>91.11</x:v>
      </x:c>
      <x:c r="G103" s="8" t="n">
        <x:v>21.4186</x:v>
      </x:c>
      <x:c r="H103" s="8" t="n">
        <x:v>30.4092</x:v>
      </x:c>
      <x:c r="I103" s="8" t="n">
        <x:v>5.2004</x:v>
      </x:c>
      <x:c r="J103" s="8" t="n">
        <x:v>6.8164</x:v>
      </x:c>
      <x:c r="K103" s="8" t="n">
        <x:v>9.7838</x:v>
      </x:c>
      <x:c r="L103" s="8" t="n">
        <x:v>1.8216</x:v>
      </x:c>
      <x:c r="M103" s="8" t="n">
        <x:v>3.7901</x:v>
      </x:c>
      <x:c r="N103" s="8" t="n">
        <x:v>11.8699</x:v>
      </x:c>
    </x:row>
    <x:row r="104" ht="19" customHeight="1">
      <x:c r="A104" s="7" t="n">
        <x:v>35977</x:v>
      </x:c>
      <x:c r="B104" s="8" t="n">
        <x:v>2.16132079716</x:v>
      </x:c>
      <x:c r="C104" s="8" t="n">
        <x:v>2.00174493596</x:v>
      </x:c>
      <x:c r="D104" s="8" t="n">
        <x:v>4.03610869058</x:v>
      </x:c>
      <x:c r="E104" s="8" t="n">
        <x:v>11.0930733281</x:v>
      </x:c>
      <x:c r="F104" s="8" t="n">
        <x:v>73.24</x:v>
      </x:c>
      <x:c r="G104" s="8" t="n">
        <x:v>11.8542</x:v>
      </x:c>
      <x:c r="H104" s="8" t="n">
        <x:v>25.4359</x:v>
      </x:c>
      <x:c r="I104" s="8" t="n">
        <x:v>9.114</x:v>
      </x:c>
      <x:c r="J104" s="8" t="n">
        <x:v>8.4588</x:v>
      </x:c>
      <x:c r="K104" s="8" t="n">
        <x:v>5.391</x:v>
      </x:c>
      <x:c r="L104" s="8" t="n">
        <x:v>0.8637</x:v>
      </x:c>
      <x:c r="M104" s="8" t="n">
        <x:v>2.5317</x:v>
      </x:c>
      <x:c r="N104" s="8" t="n">
        <x:v>9.5906</x:v>
      </x:c>
    </x:row>
    <x:row r="105" ht="19" customHeight="1">
      <x:c r="A105" s="7" t="n">
        <x:v>36008</x:v>
      </x:c>
      <x:c r="B105" s="8" t="n">
        <x:v>2.10943399398</x:v>
      </x:c>
      <x:c r="C105" s="8" t="n">
        <x:v>1.98634738693</x:v>
      </x:c>
      <x:c r="D105" s="8" t="n">
        <x:v>4.03309061737</x:v>
      </x:c>
      <x:c r="E105" s="8" t="n">
        <x:v>11.0747764859</x:v>
      </x:c>
      <x:c r="F105" s="8" t="n">
        <x:v>120.18</x:v>
      </x:c>
      <x:c r="G105" s="8" t="n">
        <x:v>33.2647</x:v>
      </x:c>
      <x:c r="H105" s="8" t="n">
        <x:v>26.1234</x:v>
      </x:c>
      <x:c r="I105" s="8" t="n">
        <x:v>32.5933</x:v>
      </x:c>
      <x:c r="J105" s="8" t="n">
        <x:v>10.0404</x:v>
      </x:c>
      <x:c r="K105" s="8" t="n">
        <x:v>2.5635</x:v>
      </x:c>
      <x:c r="L105" s="8" t="n">
        <x:v>0.6714</x:v>
      </x:c>
      <x:c r="M105" s="8" t="n">
        <x:v>1.3428</x:v>
      </x:c>
      <x:c r="N105" s="8" t="n">
        <x:v>13.5805</x:v>
      </x:c>
    </x:row>
    <x:row r="106" ht="19" customHeight="1">
      <x:c r="A106" s="7" t="n">
        <x:v>36039</x:v>
      </x:c>
      <x:c r="B106" s="8" t="n">
        <x:v>2.21840539942</x:v>
      </x:c>
      <x:c r="C106" s="8" t="n">
        <x:v>2.09912423614</x:v>
      </x:c>
      <x:c r="D106" s="8" t="n">
        <x:v>4.03845534409</x:v>
      </x:c>
      <x:c r="E106" s="8" t="n">
        <x:v>11.0722750091</x:v>
      </x:c>
      <x:c r="F106" s="8" t="n">
        <x:v>75.95</x:v>
      </x:c>
      <x:c r="G106" s="8" t="n">
        <x:v>16.0374</x:v>
      </x:c>
      <x:c r="H106" s="8" t="n">
        <x:v>24.7954</x:v>
      </x:c>
      <x:c r="I106" s="8" t="n">
        <x:v>10.3788</x:v>
      </x:c>
      <x:c r="J106" s="8" t="n">
        <x:v>7.8196</x:v>
      </x:c>
      <x:c r="K106" s="8" t="n">
        <x:v>4.2937</x:v>
      </x:c>
      <x:c r="L106" s="8" t="n">
        <x:v>0.7393</x:v>
      </x:c>
      <x:c r="M106" s="8" t="n">
        <x:v>0.9099</x:v>
      </x:c>
      <x:c r="N106" s="8" t="n">
        <x:v>10.9759</x:v>
      </x:c>
    </x:row>
    <x:row r="107" ht="19" customHeight="1">
      <x:c r="A107" s="7" t="n">
        <x:v>36069</x:v>
      </x:c>
      <x:c r="B107" s="8" t="n">
        <x:v>2.17729991697</x:v>
      </x:c>
      <x:c r="C107" s="8" t="n">
        <x:v>2.0475156937</x:v>
      </x:c>
      <x:c r="D107" s="8" t="n">
        <x:v>4.04035975226</x:v>
      </x:c>
      <x:c r="E107" s="8" t="n">
        <x:v>11.0803615485</x:v>
      </x:c>
      <x:c r="F107" s="8" t="n">
        <x:v>78.44</x:v>
      </x:c>
      <x:c r="G107" s="8" t="n">
        <x:v>20.5623</x:v>
      </x:c>
      <x:c r="H107" s="8" t="n">
        <x:v>32.2362</x:v>
      </x:c>
      <x:c r="I107" s="8" t="n">
        <x:v>9.3118</x:v>
      </x:c>
      <x:c r="J107" s="8" t="n">
        <x:v>3.0584</x:v>
      </x:c>
      <x:c r="K107" s="8" t="n">
        <x:v>1.8296</x:v>
      </x:c>
      <x:c r="L107" s="8" t="n">
        <x:v>0.5188</x:v>
      </x:c>
      <x:c r="M107" s="8" t="n">
        <x:v>0.6554</x:v>
      </x:c>
      <x:c r="N107" s="8" t="n">
        <x:v>10.2675</x:v>
      </x:c>
    </x:row>
    <x:row r="108" ht="19" customHeight="1">
      <x:c r="A108" s="7" t="n">
        <x:v>36100</x:v>
      </x:c>
      <x:c r="B108" s="8" t="n">
        <x:v>2.06964354535</x:v>
      </x:c>
      <x:c r="C108" s="8" t="n">
        <x:v>1.90621922874</x:v>
      </x:c>
      <x:c r="D108" s="8" t="n">
        <x:v>4.03956444471</x:v>
      </x:c>
      <x:c r="E108" s="8" t="n">
        <x:v>11.0940122095</x:v>
      </x:c>
      <x:c r="F108" s="8" t="n">
        <x:v>81.35</x:v>
      </x:c>
      <x:c r="G108" s="8" t="n">
        <x:v>17.2037</x:v>
      </x:c>
      <x:c r="H108" s="8" t="n">
        <x:v>35.7736</x:v>
      </x:c>
      <x:c r="I108" s="8" t="n">
        <x:v>8.6769</x:v>
      </x:c>
      <x:c r="J108" s="8" t="n">
        <x:v>5.0741</x:v>
      </x:c>
      <x:c r="K108" s="8" t="n">
        <x:v>3.2126</x:v>
      </x:c>
      <x:c r="L108" s="8" t="n">
        <x:v>0.9007</x:v>
      </x:c>
      <x:c r="M108" s="8" t="n">
        <x:v>1.9816</x:v>
      </x:c>
      <x:c r="N108" s="8" t="n">
        <x:v>8.5268</x:v>
      </x:c>
    </x:row>
    <x:row r="109" ht="19" customHeight="1">
      <x:c r="A109" s="7" t="n">
        <x:v>36130</x:v>
      </x:c>
      <x:c r="B109" s="8" t="n">
        <x:v>1.93208544729</x:v>
      </x:c>
      <x:c r="C109" s="8" t="n">
        <x:v>1.78728882573</x:v>
      </x:c>
      <x:c r="D109" s="8" t="n">
        <x:v>4.04030069496</x:v>
      </x:c>
      <x:c r="E109" s="8" t="n">
        <x:v>11.0967356118</x:v>
      </x:c>
      <x:c r="F109" s="8" t="n">
        <x:v>93.24</x:v>
      </x:c>
      <x:c r="G109" s="8" t="n">
        <x:v>35.6602</x:v>
      </x:c>
      <x:c r="H109" s="8" t="n">
        <x:v>31.6371</x:v>
      </x:c>
      <x:c r="I109" s="8" t="n">
        <x:v>6.922</x:v>
      </x:c>
      <x:c r="J109" s="8" t="n">
        <x:v>5.9458</x:v>
      </x:c>
      <x:c r="K109" s="8" t="n">
        <x:v>2.544</x:v>
      </x:c>
      <x:c r="L109" s="8" t="n">
        <x:v>0.355</x:v>
      </x:c>
      <x:c r="M109" s="8" t="n">
        <x:v>2.0707</x:v>
      </x:c>
      <x:c r="N109" s="8" t="n">
        <x:v>8.1053</x:v>
      </x:c>
    </x:row>
    <x:row r="110" ht="19" customHeight="1">
      <x:c r="A110" s="7" t="n">
        <x:v>36161</x:v>
      </x:c>
      <x:c r="B110" s="8" t="n">
        <x:v>2.02837191448</x:v>
      </x:c>
      <x:c r="C110" s="8" t="n">
        <x:v>1.90889015246</x:v>
      </x:c>
      <x:c r="D110" s="8" t="n">
        <x:v>4.04648140474</x:v>
      </x:c>
      <x:c r="E110" s="8" t="n">
        <x:v>11.0926180426</x:v>
      </x:c>
      <x:c r="F110" s="8" t="n">
        <x:v>76.8</x:v>
      </x:c>
      <x:c r="G110" s="8" t="n">
        <x:v>23.6634</x:v>
      </x:c>
      <x:c r="H110" s="8" t="n">
        <x:v>20.6383</x:v>
      </x:c>
      <x:c r="I110" s="8" t="n">
        <x:v>8.7642</x:v>
      </x:c>
      <x:c r="J110" s="8" t="n">
        <x:v>9.2166</x:v>
      </x:c>
      <x:c r="K110" s="8" t="n">
        <x:v>2.3183</x:v>
      </x:c>
      <x:c r="L110" s="8" t="n">
        <x:v>0.7068</x:v>
      </x:c>
      <x:c r="M110" s="8" t="n">
        <x:v>2.2335</x:v>
      </x:c>
      <x:c r="N110" s="8" t="n">
        <x:v>9.259</x:v>
      </x:c>
    </x:row>
    <x:row r="111" ht="19" customHeight="1">
      <x:c r="A111" s="7" t="n">
        <x:v>36192</x:v>
      </x:c>
      <x:c r="B111" s="8" t="n">
        <x:v>1.9867841849</x:v>
      </x:c>
      <x:c r="C111" s="8" t="n">
        <x:v>1.83027157274</x:v>
      </x:c>
      <x:c r="D111" s="8" t="n">
        <x:v>4.04742414631</x:v>
      </x:c>
      <x:c r="E111" s="8" t="n">
        <x:v>11.0918705702</x:v>
      </x:c>
      <x:c r="F111" s="8" t="n">
        <x:v>78.43</x:v>
      </x:c>
      <x:c r="G111" s="8" t="n">
        <x:v>25.3987</x:v>
      </x:c>
      <x:c r="H111" s="8" t="n">
        <x:v>32.2839</x:v>
      </x:c>
      <x:c r="I111" s="8" t="n">
        <x:v>4.4065</x:v>
      </x:c>
      <x:c r="J111" s="8" t="n">
        <x:v>5.3245</x:v>
      </x:c>
      <x:c r="K111" s="8" t="n">
        <x:v>2.6623</x:v>
      </x:c>
      <x:c r="L111" s="8" t="n">
        <x:v>0.3672</x:v>
      </x:c>
      <x:c r="M111" s="8" t="n">
        <x:v>0.8568</x:v>
      </x:c>
      <x:c r="N111" s="8" t="n">
        <x:v>7.13</x:v>
      </x:c>
    </x:row>
    <x:row r="112" ht="19" customHeight="1">
      <x:c r="A112" s="7" t="n">
        <x:v>36220</x:v>
      </x:c>
      <x:c r="B112" s="8" t="n">
        <x:v>2.1869235917</x:v>
      </x:c>
      <x:c r="C112" s="8" t="n">
        <x:v>2.02696589299</x:v>
      </x:c>
      <x:c r="D112" s="8" t="n">
        <x:v>4.05157805631</x:v>
      </x:c>
      <x:c r="E112" s="8" t="n">
        <x:v>11.086517059</x:v>
      </x:c>
      <x:c r="F112" s="8" t="n">
        <x:v>112.96</x:v>
      </x:c>
      <x:c r="G112" s="8" t="n">
        <x:v>52.8867</x:v>
      </x:c>
      <x:c r="H112" s="8" t="n">
        <x:v>29.3013</x:v>
      </x:c>
      <x:c r="I112" s="8" t="n">
        <x:v>11.3487</x:v>
      </x:c>
      <x:c r="J112" s="8" t="n">
        <x:v>5.2165</x:v>
      </x:c>
      <x:c r="K112" s="8" t="n">
        <x:v>4.0789</x:v>
      </x:c>
      <x:c r="L112" s="8" t="n">
        <x:v>0.7492</x:v>
      </x:c>
      <x:c r="M112" s="8" t="n">
        <x:v>1.6926</x:v>
      </x:c>
      <x:c r="N112" s="8" t="n">
        <x:v>7.6861</x:v>
      </x:c>
    </x:row>
    <x:row r="113" ht="19" customHeight="1">
      <x:c r="A113" s="7" t="n">
        <x:v>36251</x:v>
      </x:c>
      <x:c r="B113" s="8" t="n">
        <x:v>2.34506935798</x:v>
      </x:c>
      <x:c r="C113" s="8" t="n">
        <x:v>2.22098400873</x:v>
      </x:c>
      <x:c r="D113" s="8" t="n">
        <x:v>4.05070713235</x:v>
      </x:c>
      <x:c r="E113" s="8" t="n">
        <x:v>11.068552264</x:v>
      </x:c>
      <x:c r="F113" s="8" t="n">
        <x:v>162.66</x:v>
      </x:c>
      <x:c r="G113" s="8" t="n">
        <x:v>116.4071</x:v>
      </x:c>
      <x:c r="H113" s="8" t="n">
        <x:v>20.6732</x:v>
      </x:c>
      <x:c r="I113" s="8" t="n">
        <x:v>5.3512</x:v>
      </x:c>
      <x:c r="J113" s="8" t="n">
        <x:v>4.6769</x:v>
      </x:c>
      <x:c r="K113" s="8" t="n">
        <x:v>4.4187</x:v>
      </x:c>
      <x:c r="L113" s="8" t="n">
        <x:v>1.9798</x:v>
      </x:c>
      <x:c r="M113" s="8" t="n">
        <x:v>2.2094</x:v>
      </x:c>
      <x:c r="N113" s="8" t="n">
        <x:v>6.9437</x:v>
      </x:c>
    </x:row>
    <x:row r="114" ht="19" customHeight="1">
      <x:c r="A114" s="7" t="n">
        <x:v>36281</x:v>
      </x:c>
      <x:c r="B114" s="8" t="n">
        <x:v>2.36787634281</x:v>
      </x:c>
      <x:c r="C114" s="8" t="n">
        <x:v>2.21644956454</x:v>
      </x:c>
      <x:c r="D114" s="8" t="n">
        <x:v>4.05677856446</x:v>
      </x:c>
      <x:c r="E114" s="8" t="n">
        <x:v>11.0567459686</x:v>
      </x:c>
      <x:c r="F114" s="8" t="n">
        <x:v>124.43</x:v>
      </x:c>
      <x:c r="G114" s="8" t="n">
        <x:v>75.8479</x:v>
      </x:c>
      <x:c r="H114" s="8" t="n">
        <x:v>25.2074</x:v>
      </x:c>
      <x:c r="I114" s="8" t="n">
        <x:v>5.0753</x:v>
      </x:c>
      <x:c r="J114" s="8" t="n">
        <x:v>3.4963</x:v>
      </x:c>
      <x:c r="K114" s="8" t="n">
        <x:v>5.5829</x:v>
      </x:c>
      <x:c r="L114" s="8" t="n">
        <x:v>1.2688</x:v>
      </x:c>
      <x:c r="M114" s="8" t="n">
        <x:v>1.1278</x:v>
      </x:c>
      <x:c r="N114" s="8" t="n">
        <x:v>6.8235</x:v>
      </x:c>
    </x:row>
    <x:row r="115" ht="19" customHeight="1">
      <x:c r="A115" s="7" t="n">
        <x:v>36312</x:v>
      </x:c>
      <x:c r="B115" s="8" t="n">
        <x:v>2.37909980518</x:v>
      </x:c>
      <x:c r="C115" s="8" t="n">
        <x:v>2.25698261384</x:v>
      </x:c>
      <x:c r="D115" s="8" t="n">
        <x:v>4.0591692258</x:v>
      </x:c>
      <x:c r="E115" s="8" t="n">
        <x:v>11.0550391951</x:v>
      </x:c>
      <x:c r="F115" s="8" t="n">
        <x:v>111.86</x:v>
      </x:c>
      <x:c r="G115" s="8" t="n">
        <x:v>71.7305</x:v>
      </x:c>
      <x:c r="H115" s="8" t="n">
        <x:v>20.7467</x:v>
      </x:c>
      <x:c r="I115" s="8" t="n">
        <x:v>5.14</x:v>
      </x:c>
      <x:c r="J115" s="8" t="n">
        <x:v>5.1974</x:v>
      </x:c>
      <x:c r="K115" s="8" t="n">
        <x:v>1.6081</x:v>
      </x:c>
      <x:c r="L115" s="8" t="n">
        <x:v>0.0287</x:v>
      </x:c>
      <x:c r="M115" s="8" t="n">
        <x:v>1.4358</x:v>
      </x:c>
      <x:c r="N115" s="8" t="n">
        <x:v>5.9728</x:v>
      </x:c>
    </x:row>
    <x:row r="116" ht="19" customHeight="1">
      <x:c r="A116" s="7" t="n">
        <x:v>36342</x:v>
      </x:c>
      <x:c r="B116" s="8" t="n">
        <x:v>2.4896942113</x:v>
      </x:c>
      <x:c r="C116" s="8" t="n">
        <x:v>2.43761506225</x:v>
      </x:c>
      <x:c r="D116" s="8" t="n">
        <x:v>4.06606178822</x:v>
      </x:c>
      <x:c r="E116" s="8" t="n">
        <x:v>11.0643700103</x:v>
      </x:c>
      <x:c r="F116" s="8" t="n">
        <x:v>90.36</x:v>
      </x:c>
      <x:c r="G116" s="8" t="n">
        <x:v>26.0215</x:v>
      </x:c>
      <x:c r="H116" s="8" t="n">
        <x:v>34.1171</x:v>
      </x:c>
      <x:c r="I116" s="8" t="n">
        <x:v>6.9086</x:v>
      </x:c>
      <x:c r="J116" s="8" t="n">
        <x:v>9.2825</x:v>
      </x:c>
      <x:c r="K116" s="8" t="n">
        <x:v>3.4695</x:v>
      </x:c>
      <x:c r="L116" s="8" t="n">
        <x:v>0.3043</x:v>
      </x:c>
      <x:c r="M116" s="8" t="n">
        <x:v>1.8261</x:v>
      </x:c>
      <x:c r="N116" s="8" t="n">
        <x:v>8.4304</x:v>
      </x:c>
    </x:row>
    <x:row r="117" ht="19" customHeight="1">
      <x:c r="A117" s="7" t="n">
        <x:v>36373</x:v>
      </x:c>
      <x:c r="B117" s="8" t="n">
        <x:v>2.54434541486</x:v>
      </x:c>
      <x:c r="C117" s="8" t="n">
        <x:v>2.49324996398</x:v>
      </x:c>
      <x:c r="D117" s="8" t="n">
        <x:v>4.06901942013</x:v>
      </x:c>
      <x:c r="E117" s="8" t="n">
        <x:v>11.0664595964</x:v>
      </x:c>
      <x:c r="F117" s="8" t="n">
        <x:v>79.68</x:v>
      </x:c>
      <x:c r="G117" s="8" t="n">
        <x:v>25.7727</x:v>
      </x:c>
      <x:c r="H117" s="8" t="n">
        <x:v>23.022</x:v>
      </x:c>
      <x:c r="I117" s="8" t="n">
        <x:v>8.3716</x:v>
      </x:c>
      <x:c r="J117" s="8" t="n">
        <x:v>7.5046</x:v>
      </x:c>
      <x:c r="K117" s="8" t="n">
        <x:v>2.9301</x:v>
      </x:c>
      <x:c r="L117" s="8" t="n">
        <x:v>0.8073</x:v>
      </x:c>
      <x:c r="M117" s="8" t="n">
        <x:v>1.8537</x:v>
      </x:c>
      <x:c r="N117" s="8" t="n">
        <x:v>9.4181</x:v>
      </x:c>
    </x:row>
    <x:row r="118" ht="19" customHeight="1">
      <x:c r="A118" s="7" t="n">
        <x:v>36404</x:v>
      </x:c>
      <x:c r="B118" s="8" t="n">
        <x:v>2.65208297263</x:v>
      </x:c>
      <x:c r="C118" s="8" t="n">
        <x:v>2.59768890057</x:v>
      </x:c>
      <x:c r="D118" s="8" t="n">
        <x:v>4.07626986785</x:v>
      </x:c>
      <x:c r="E118" s="8" t="n">
        <x:v>11.0632071543</x:v>
      </x:c>
      <x:c r="F118" s="8" t="n">
        <x:v>83.14</x:v>
      </x:c>
      <x:c r="G118" s="8" t="n">
        <x:v>32.2803</x:v>
      </x:c>
      <x:c r="H118" s="8" t="n">
        <x:v>24.5389</x:v>
      </x:c>
      <x:c r="I118" s="8" t="n">
        <x:v>8.501</x:v>
      </x:c>
      <x:c r="J118" s="8" t="n">
        <x:v>5.5797</x:v>
      </x:c>
      <x:c r="K118" s="8" t="n">
        <x:v>2.8629</x:v>
      </x:c>
      <x:c r="L118" s="8" t="n">
        <x:v>0.4674</x:v>
      </x:c>
      <x:c r="M118" s="8" t="n">
        <x:v>2.1325</x:v>
      </x:c>
      <x:c r="N118" s="8" t="n">
        <x:v>6.7774</x:v>
      </x:c>
    </x:row>
    <x:row r="119" ht="19" customHeight="1">
      <x:c r="A119" s="7" t="n">
        <x:v>36434</x:v>
      </x:c>
      <x:c r="B119" s="8" t="n">
        <x:v>2.60253544437</x:v>
      </x:c>
      <x:c r="C119" s="8" t="n">
        <x:v>2.57165359893</x:v>
      </x:c>
      <x:c r="D119" s="8" t="n">
        <x:v>4.08086289052</x:v>
      </x:c>
      <x:c r="E119" s="8" t="n">
        <x:v>11.0730934521</x:v>
      </x:c>
      <x:c r="F119" s="8" t="n">
        <x:v>72.53</x:v>
      </x:c>
      <x:c r="G119" s="8" t="n">
        <x:v>20.8882</x:v>
      </x:c>
      <x:c r="H119" s="8" t="n">
        <x:v>21.5722</x:v>
      </x:c>
      <x:c r="I119" s="8" t="n">
        <x:v>6.0507</x:v>
      </x:c>
      <x:c r="J119" s="8" t="n">
        <x:v>4.5775</x:v>
      </x:c>
      <x:c r="K119" s="8" t="n">
        <x:v>5.472</x:v>
      </x:c>
      <x:c r="L119" s="8" t="n">
        <x:v>5.5772</x:v>
      </x:c>
      <x:c r="M119" s="8" t="n">
        <x:v>1.2628</x:v>
      </x:c>
      <x:c r="N119" s="8" t="n">
        <x:v>7.1294</x:v>
      </x:c>
    </x:row>
    <x:row r="120" ht="19" customHeight="1">
      <x:c r="A120" s="7" t="n">
        <x:v>36465</x:v>
      </x:c>
      <x:c r="B120" s="8" t="n">
        <x:v>2.69770390905</x:v>
      </x:c>
      <x:c r="C120" s="8" t="n">
        <x:v>2.68076118832</x:v>
      </x:c>
      <x:c r="D120" s="8" t="n">
        <x:v>4.09061815962</x:v>
      </x:c>
      <x:c r="E120" s="8" t="n">
        <x:v>11.0795281343</x:v>
      </x:c>
      <x:c r="F120" s="8" t="n">
        <x:v>71.17</x:v>
      </x:c>
      <x:c r="G120" s="8" t="n">
        <x:v>17.3394</x:v>
      </x:c>
      <x:c r="H120" s="8" t="n">
        <x:v>28.6976</x:v>
      </x:c>
      <x:c r="I120" s="8" t="n">
        <x:v>4.7124</x:v>
      </x:c>
      <x:c r="J120" s="8" t="n">
        <x:v>5.2864</x:v>
      </x:c>
      <x:c r="K120" s="8" t="n">
        <x:v>2.1448</x:v>
      </x:c>
      <x:c r="L120" s="8" t="n">
        <x:v>1.7219</x:v>
      </x:c>
      <x:c r="M120" s="8" t="n">
        <x:v>2.8396</x:v>
      </x:c>
      <x:c r="N120" s="8" t="n">
        <x:v>8.428</x:v>
      </x:c>
    </x:row>
    <x:row r="121" ht="19" customHeight="1">
      <x:c r="A121" s="7" t="n">
        <x:v>36495</x:v>
      </x:c>
      <x:c r="B121" s="8" t="n">
        <x:v>2.73839091815</x:v>
      </x:c>
      <x:c r="C121" s="8" t="n">
        <x:v>2.71395689282</x:v>
      </x:c>
      <x:c r="D121" s="8" t="n">
        <x:v>4.0956955454</x:v>
      </x:c>
      <x:c r="E121" s="8" t="n">
        <x:v>11.0692625879</x:v>
      </x:c>
      <x:c r="F121" s="8" t="n">
        <x:v>90.5</x:v>
      </x:c>
      <x:c r="G121" s="8" t="n">
        <x:v>21.8027</x:v>
      </x:c>
      <x:c r="H121" s="8" t="n">
        <x:v>30.2337</x:v>
      </x:c>
      <x:c r="I121" s="8" t="n">
        <x:v>18.1546</x:v>
      </x:c>
      <x:c r="J121" s="8" t="n">
        <x:v>3.7918</x:v>
      </x:c>
      <x:c r="K121" s="8" t="n">
        <x:v>4.1652</x:v>
      </x:c>
      <x:c r="L121" s="8" t="n">
        <x:v>2.4991</x:v>
      </x:c>
      <x:c r="M121" s="8" t="n">
        <x:v>1.465</x:v>
      </x:c>
      <x:c r="N121" s="8" t="n">
        <x:v>8.3879</x:v>
      </x:c>
    </x:row>
    <x:row r="122" ht="19" customHeight="1">
      <x:c r="A122" s="7" t="n">
        <x:v>36526</x:v>
      </x:c>
      <x:c r="B122" s="8" t="n">
        <x:v>2.77891832312</x:v>
      </x:c>
      <x:c r="C122" s="8" t="n">
        <x:v>2.712568429</x:v>
      </x:c>
      <x:c r="D122" s="8" t="n">
        <x:v>4.09594895719</x:v>
      </x:c>
      <x:c r="E122" s="8" t="n">
        <x:v>11.0720124756</x:v>
      </x:c>
      <x:c r="F122" s="8" t="n">
        <x:v>71.79</x:v>
      </x:c>
      <x:c r="G122" s="8" t="n">
        <x:v>16.9618</x:v>
      </x:c>
      <x:c r="H122" s="8" t="n">
        <x:v>26.079</x:v>
      </x:c>
      <x:c r="I122" s="8" t="n">
        <x:v>11.2617</x:v>
      </x:c>
      <x:c r="J122" s="8" t="n">
        <x:v>4.8146</x:v>
      </x:c>
      <x:c r="K122" s="8" t="n">
        <x:v>2.2966</x:v>
      </x:c>
      <x:c r="L122" s="8" t="n">
        <x:v>2.7947</x:v>
      </x:c>
      <x:c r="M122" s="8" t="n">
        <x:v>0.6918</x:v>
      </x:c>
      <x:c r="N122" s="8" t="n">
        <x:v>6.8898</x:v>
      </x:c>
    </x:row>
    <x:row r="123" ht="19" customHeight="1">
      <x:c r="A123" s="7" t="n">
        <x:v>36557</x:v>
      </x:c>
      <x:c r="B123" s="8" t="n">
        <x:v>2.84934549415</x:v>
      </x:c>
      <x:c r="C123" s="8" t="n">
        <x:v>2.79368808626</x:v>
      </x:c>
      <x:c r="D123" s="8" t="n">
        <x:v>4.10503388415</x:v>
      </x:c>
      <x:c r="E123" s="8" t="n">
        <x:v>11.0830815324</x:v>
      </x:c>
      <x:c r="F123" s="8" t="n">
        <x:v>79.49</x:v>
      </x:c>
      <x:c r="G123" s="8" t="n">
        <x:v>23.7068</x:v>
      </x:c>
      <x:c r="H123" s="8" t="n">
        <x:v>30.2406</x:v>
      </x:c>
      <x:c r="I123" s="8" t="n">
        <x:v>7.4879</x:v>
      </x:c>
      <x:c r="J123" s="8" t="n">
        <x:v>5.493</x:v>
      </x:c>
      <x:c r="K123" s="8" t="n">
        <x:v>2.1394</x:v>
      </x:c>
      <x:c r="L123" s="8" t="n">
        <x:v>0.8384</x:v>
      </x:c>
      <x:c r="M123" s="8" t="n">
        <x:v>2.3418</x:v>
      </x:c>
      <x:c r="N123" s="8" t="n">
        <x:v>7.2421</x:v>
      </x:c>
    </x:row>
    <x:row r="124" ht="19" customHeight="1">
      <x:c r="A124" s="7" t="n">
        <x:v>36586</x:v>
      </x:c>
      <x:c r="B124" s="8" t="n">
        <x:v>2.85935640482</x:v>
      </x:c>
      <x:c r="C124" s="8" t="n">
        <x:v>2.77732893166</x:v>
      </x:c>
      <x:c r="D124" s="8" t="n">
        <x:v>4.11073627236</x:v>
      </x:c>
      <x:c r="E124" s="8" t="n">
        <x:v>11.0858254901</x:v>
      </x:c>
      <x:c r="F124" s="8" t="n">
        <x:v>64.15</x:v>
      </x:c>
      <x:c r="G124" s="8" t="n">
        <x:v>15.6261</x:v>
      </x:c>
      <x:c r="H124" s="8" t="n">
        <x:v>28.5442</x:v>
      </x:c>
      <x:c r="I124" s="8" t="n">
        <x:v>5.0273</x:v>
      </x:c>
      <x:c r="J124" s="8" t="n">
        <x:v>3.2392</x:v>
      </x:c>
      <x:c r="K124" s="8" t="n">
        <x:v>2.4618</x:v>
      </x:c>
      <x:c r="L124" s="8" t="n">
        <x:v>0.5183</x:v>
      </x:c>
      <x:c r="M124" s="8" t="n">
        <x:v>1.7881</x:v>
      </x:c>
      <x:c r="N124" s="8" t="n">
        <x:v>6.9449</x:v>
      </x:c>
    </x:row>
    <x:row r="125" ht="19" customHeight="1">
      <x:c r="A125" s="7" t="n">
        <x:v>36617</x:v>
      </x:c>
      <x:c r="B125" s="8" t="n">
        <x:v>2.71136049524</x:v>
      </x:c>
      <x:c r="C125" s="8" t="n">
        <x:v>2.58909620512</x:v>
      </x:c>
      <x:c r="D125" s="8" t="n">
        <x:v>4.11802832028</x:v>
      </x:c>
      <x:c r="E125" s="8" t="n">
        <x:v>11.0934847464</x:v>
      </x:c>
      <x:c r="F125" s="8" t="n">
        <x:v>65.3</x:v>
      </x:c>
      <x:c r="G125" s="8" t="n">
        <x:v>9.9311</x:v>
      </x:c>
      <x:c r="H125" s="8" t="n">
        <x:v>31.19</x:v>
      </x:c>
      <x:c r="I125" s="8" t="n">
        <x:v>3.9499</x:v>
      </x:c>
      <x:c r="J125" s="8" t="n">
        <x:v>7.7869</x:v>
      </x:c>
      <x:c r="K125" s="8" t="n">
        <x:v>1.6928</x:v>
      </x:c>
      <x:c r="L125" s="8" t="n">
        <x:v>0.79</x:v>
      </x:c>
      <x:c r="M125" s="8" t="n">
        <x:v>1.0721</x:v>
      </x:c>
      <x:c r="N125" s="8" t="n">
        <x:v>8.8872</x:v>
      </x:c>
    </x:row>
    <x:row r="126" ht="19" customHeight="1">
      <x:c r="A126" s="7" t="n">
        <x:v>36647</x:v>
      </x:c>
      <x:c r="B126" s="8" t="n">
        <x:v>2.8223658269</x:v>
      </x:c>
      <x:c r="C126" s="8" t="n">
        <x:v>2.78521313717</x:v>
      </x:c>
      <x:c r="D126" s="8" t="n">
        <x:v>4.12600874816</x:v>
      </x:c>
      <x:c r="E126" s="8" t="n">
        <x:v>11.0994761295</x:v>
      </x:c>
      <x:c r="F126" s="8" t="n">
        <x:v>76.38</x:v>
      </x:c>
      <x:c r="G126" s="8" t="n">
        <x:v>27.5904</x:v>
      </x:c>
      <x:c r="H126" s="8" t="n">
        <x:v>22.5951</x:v>
      </x:c>
      <x:c r="I126" s="8" t="n">
        <x:v>4.3794</x:v>
      </x:c>
      <x:c r="J126" s="8" t="n">
        <x:v>9.1421</x:v>
      </x:c>
      <x:c r="K126" s="8" t="n">
        <x:v>2.9835</x:v>
      </x:c>
      <x:c r="L126" s="8" t="n">
        <x:v>2.7919</x:v>
      </x:c>
      <x:c r="M126" s="8" t="n">
        <x:v>0.8759</x:v>
      </x:c>
      <x:c r="N126" s="8" t="n">
        <x:v>6.0217</x:v>
      </x:c>
    </x:row>
    <x:row r="127" ht="19" customHeight="1">
      <x:c r="A127" s="7" t="n">
        <x:v>36678</x:v>
      </x:c>
      <x:c r="B127" s="8" t="n">
        <x:v>2.9166086169</x:v>
      </x:c>
      <x:c r="C127" s="8" t="n">
        <x:v>2.85102198751</x:v>
      </x:c>
      <x:c r="D127" s="8" t="n">
        <x:v>4.12697944933</x:v>
      </x:c>
      <x:c r="E127" s="8" t="n">
        <x:v>11.0941486733</x:v>
      </x:c>
      <x:c r="F127" s="8" t="n">
        <x:v>71.29</x:v>
      </x:c>
      <x:c r="G127" s="8" t="n">
        <x:v>11.884</x:v>
      </x:c>
      <x:c r="H127" s="8" t="n">
        <x:v>31.3958</x:v>
      </x:c>
      <x:c r="I127" s="8" t="n">
        <x:v>5.6656</x:v>
      </x:c>
      <x:c r="J127" s="8" t="n">
        <x:v>5.9973</x:v>
      </x:c>
      <x:c r="K127" s="8" t="n">
        <x:v>4.2285</x:v>
      </x:c>
      <x:c r="L127" s="8" t="n">
        <x:v>2.3768</x:v>
      </x:c>
      <x:c r="M127" s="8" t="n">
        <x:v>1.3819</x:v>
      </x:c>
      <x:c r="N127" s="8" t="n">
        <x:v>8.3602</x:v>
      </x:c>
    </x:row>
    <x:row r="128" ht="19" customHeight="1">
      <x:c r="A128" s="7" t="n">
        <x:v>36708</x:v>
      </x:c>
      <x:c r="B128" s="8" t="n">
        <x:v>2.84476124664</x:v>
      </x:c>
      <x:c r="C128" s="8" t="n">
        <x:v>2.80981421657</x:v>
      </x:c>
      <x:c r="D128" s="8" t="n">
        <x:v>4.13065328086</x:v>
      </x:c>
      <x:c r="E128" s="8" t="n">
        <x:v>11.1050134933</x:v>
      </x:c>
      <x:c r="F128" s="8" t="n">
        <x:v>61.16</x:v>
      </x:c>
      <x:c r="G128" s="8" t="n">
        <x:v>5.2772</x:v>
      </x:c>
      <x:c r="H128" s="8" t="n">
        <x:v>31.2298</x:v>
      </x:c>
      <x:c r="I128" s="8" t="n">
        <x:v>5.6447</x:v>
      </x:c>
      <x:c r="J128" s="8" t="n">
        <x:v>5.8023</x:v>
      </x:c>
      <x:c r="K128" s="8" t="n">
        <x:v>1.8378</x:v>
      </x:c>
      <x:c r="L128" s="8" t="n">
        <x:v>2.6517</x:v>
      </x:c>
      <x:c r="M128" s="8" t="n">
        <x:v>1.8903</x:v>
      </x:c>
      <x:c r="N128" s="8" t="n">
        <x:v>6.8262</x:v>
      </x:c>
    </x:row>
    <x:row r="129" ht="19" customHeight="1">
      <x:c r="A129" s="7" t="n">
        <x:v>36739</x:v>
      </x:c>
      <x:c r="B129" s="8" t="n">
        <x:v>2.89595352583</x:v>
      </x:c>
      <x:c r="C129" s="8" t="n">
        <x:v>2.86145612522</x:v>
      </x:c>
      <x:c r="D129" s="8" t="n">
        <x:v>4.13542151207</x:v>
      </x:c>
      <x:c r="E129" s="8" t="n">
        <x:v>11.1130678545</x:v>
      </x:c>
      <x:c r="F129" s="8" t="n">
        <x:v>54.74</x:v>
      </x:c>
      <x:c r="G129" s="8" t="n">
        <x:v>8.7391</x:v>
      </x:c>
      <x:c r="H129" s="8" t="n">
        <x:v>19.4794</x:v>
      </x:c>
      <x:c r="I129" s="8" t="n">
        <x:v>7.4979</x:v>
      </x:c>
      <x:c r="J129" s="8" t="n">
        <x:v>4.3316</x:v>
      </x:c>
      <x:c r="K129" s="8" t="n">
        <x:v>2.8371</x:v>
      </x:c>
      <x:c r="L129" s="8" t="n">
        <x:v>0.8612</x:v>
      </x:c>
      <x:c r="M129" s="8" t="n">
        <x:v>1.1906</x:v>
      </x:c>
      <x:c r="N129" s="8" t="n">
        <x:v>9.803</x:v>
      </x:c>
    </x:row>
    <x:row r="130" ht="19" customHeight="1">
      <x:c r="A130" s="7" t="n">
        <x:v>36770</x:v>
      </x:c>
      <x:c r="B130" s="8" t="n">
        <x:v>2.97124125355</x:v>
      </x:c>
      <x:c r="C130" s="8" t="n">
        <x:v>2.94915739576</x:v>
      </x:c>
      <x:c r="D130" s="8" t="n">
        <x:v>4.13416648135</x:v>
      </x:c>
      <x:c r="E130" s="8" t="n">
        <x:v>11.1121795041</x:v>
      </x:c>
      <x:c r="F130" s="8" t="n">
        <x:v>56.8</x:v>
      </x:c>
      <x:c r="G130" s="8" t="n">
        <x:v>7.0677</x:v>
      </x:c>
      <x:c r="H130" s="8" t="n">
        <x:v>25.1063</x:v>
      </x:c>
      <x:c r="I130" s="8" t="n">
        <x:v>6.452</x:v>
      </x:c>
      <x:c r="J130" s="8" t="n">
        <x:v>3.6693</x:v>
      </x:c>
      <x:c r="K130" s="8" t="n">
        <x:v>2.1178</x:v>
      </x:c>
      <x:c r="L130" s="8" t="n">
        <x:v>1.1821</x:v>
      </x:c>
      <x:c r="M130" s="8" t="n">
        <x:v>2.044</x:v>
      </x:c>
      <x:c r="N130" s="8" t="n">
        <x:v>9.1609</x:v>
      </x:c>
    </x:row>
    <x:row r="131" ht="19" customHeight="1">
      <x:c r="A131" s="7" t="n">
        <x:v>36800</x:v>
      </x:c>
      <x:c r="B131" s="8" t="n">
        <x:v>2.94652511619</x:v>
      </x:c>
      <x:c r="C131" s="8" t="n">
        <x:v>2.87938581335</x:v>
      </x:c>
      <x:c r="D131" s="8" t="n">
        <x:v>4.13824288236</x:v>
      </x:c>
      <x:c r="E131" s="8" t="n">
        <x:v>11.1233728429</x:v>
      </x:c>
      <x:c r="F131" s="8" t="n">
        <x:v>85.32</x:v>
      </x:c>
      <x:c r="G131" s="8" t="n">
        <x:v>24.9897</x:v>
      </x:c>
      <x:c r="H131" s="8" t="n">
        <x:v>25.8081</x:v>
      </x:c>
      <x:c r="I131" s="8" t="n">
        <x:v>17.1401</x:v>
      </x:c>
      <x:c r="J131" s="8" t="n">
        <x:v>5.5558</x:v>
      </x:c>
      <x:c r="K131" s="8" t="n">
        <x:v>0.6685</x:v>
      </x:c>
      <x:c r="L131" s="8" t="n">
        <x:v>3.3658</x:v>
      </x:c>
      <x:c r="M131" s="8" t="n">
        <x:v>1.8673</x:v>
      </x:c>
      <x:c r="N131" s="8" t="n">
        <x:v>5.9247</x:v>
      </x:c>
    </x:row>
    <x:row r="132" ht="19" customHeight="1">
      <x:c r="A132" s="7" t="n">
        <x:v>36831</x:v>
      </x:c>
      <x:c r="B132" s="8" t="n">
        <x:v>2.98360391235</x:v>
      </x:c>
      <x:c r="C132" s="8" t="n">
        <x:v>2.92774349022</x:v>
      </x:c>
      <x:c r="D132" s="8" t="n">
        <x:v>4.14304228117</x:v>
      </x:c>
      <x:c r="E132" s="8" t="n">
        <x:v>11.1359241278</x:v>
      </x:c>
      <x:c r="F132" s="8" t="n">
        <x:v>50.65</x:v>
      </x:c>
      <x:c r="G132" s="8" t="n">
        <x:v>14.2188</x:v>
      </x:c>
      <x:c r="H132" s="8" t="n">
        <x:v>16.5607</x:v>
      </x:c>
      <x:c r="I132" s="8" t="n">
        <x:v>7.8861</x:v>
      </x:c>
      <x:c r="J132" s="8" t="n">
        <x:v>3.3814</x:v>
      </x:c>
      <x:c r="K132" s="8" t="n">
        <x:v>0.7408</x:v>
      </x:c>
      <x:c r="L132" s="8" t="n">
        <x:v>0.4779</x:v>
      </x:c>
      <x:c r="M132" s="8" t="n">
        <x:v>1.4099</x:v>
      </x:c>
      <x:c r="N132" s="8" t="n">
        <x:v>5.9743</x:v>
      </x:c>
    </x:row>
    <x:row r="133" ht="19" customHeight="1">
      <x:c r="A133" s="7" t="n">
        <x:v>36861</x:v>
      </x:c>
      <x:c r="B133" s="8" t="n">
        <x:v>2.79046914752</x:v>
      </x:c>
      <x:c r="C133" s="8" t="n">
        <x:v>2.68760590177</x:v>
      </x:c>
      <x:c r="D133" s="8" t="n">
        <x:v>4.14140891275</x:v>
      </x:c>
      <x:c r="E133" s="8" t="n">
        <x:v>11.1141265598</x:v>
      </x:c>
      <x:c r="F133" s="8" t="n">
        <x:v>55.69</x:v>
      </x:c>
      <x:c r="G133" s="8" t="n">
        <x:v>11.1957</x:v>
      </x:c>
      <x:c r="H133" s="8" t="n">
        <x:v>20.6594</x:v>
      </x:c>
      <x:c r="I133" s="8" t="n">
        <x:v>8.4345</x:v>
      </x:c>
      <x:c r="J133" s="8" t="n">
        <x:v>4.2172</x:v>
      </x:c>
      <x:c r="K133" s="8" t="n">
        <x:v>1.2802</x:v>
      </x:c>
      <x:c r="L133" s="8" t="n">
        <x:v>0.3514</x:v>
      </x:c>
      <x:c r="M133" s="8" t="n">
        <x:v>2.7362</x:v>
      </x:c>
      <x:c r="N133" s="8" t="n">
        <x:v>6.8153</x:v>
      </x:c>
    </x:row>
    <x:row r="134" ht="19" customHeight="1">
      <x:c r="A134" s="7" t="n">
        <x:v>36892</x:v>
      </x:c>
      <x:c r="B134" s="8" t="n">
        <x:v>2.8243979712</x:v>
      </x:c>
      <x:c r="C134" s="8" t="n">
        <x:v>2.68033480126</x:v>
      </x:c>
      <x:c r="D134" s="8" t="n">
        <x:v>4.13440767468</x:v>
      </x:c>
      <x:c r="E134" s="8" t="n">
        <x:v>11.1192437168</x:v>
      </x:c>
      <x:c r="F134" s="8" t="n">
        <x:v>53.15</x:v>
      </x:c>
      <x:c r="G134" s="8" t="n">
        <x:v>6.8541</x:v>
      </x:c>
      <x:c r="H134" s="8" t="n">
        <x:v>21.7499</x:v>
      </x:c>
      <x:c r="I134" s="8" t="n">
        <x:v>7.3984</x:v>
      </x:c>
      <x:c r="J134" s="8" t="n">
        <x:v>4.3797</x:v>
      </x:c>
      <x:c r="K134" s="8" t="n">
        <x:v>2.0785</x:v>
      </x:c>
      <x:c r="L134" s="8" t="n">
        <x:v>2.9198</x:v>
      </x:c>
      <x:c r="M134" s="8" t="n">
        <x:v>1.5836</x:v>
      </x:c>
      <x:c r="N134" s="8" t="n">
        <x:v>6.186</x:v>
      </x:c>
    </x:row>
    <x:row r="135" ht="19" customHeight="1">
      <x:c r="A135" s="7" t="n">
        <x:v>36923</x:v>
      </x:c>
      <x:c r="B135" s="8" t="n">
        <x:v>2.82279833306</x:v>
      </x:c>
      <x:c r="C135" s="8" t="n">
        <x:v>2.74887219562</x:v>
      </x:c>
      <x:c r="D135" s="8" t="n">
        <x:v>4.13337114381</x:v>
      </x:c>
      <x:c r="E135" s="8" t="n">
        <x:v>11.1104064001</x:v>
      </x:c>
      <x:c r="F135" s="8" t="n">
        <x:v>61.07</x:v>
      </x:c>
      <x:c r="G135" s="8" t="n">
        <x:v>12.8683</x:v>
      </x:c>
      <x:c r="H135" s="8" t="n">
        <x:v>22.2197</x:v>
      </x:c>
      <x:c r="I135" s="8" t="n">
        <x:v>8.4244</x:v>
      </x:c>
      <x:c r="J135" s="8" t="n">
        <x:v>6.2706</x:v>
      </x:c>
      <x:c r="K135" s="8" t="n">
        <x:v>1.3632</x:v>
      </x:c>
      <x:c r="L135" s="8" t="n">
        <x:v>0.1908</x:v>
      </x:c>
      <x:c r="M135" s="8" t="n">
        <x:v>1.8539</x:v>
      </x:c>
      <x:c r="N135" s="8" t="n">
        <x:v>7.8791</x:v>
      </x:c>
    </x:row>
    <x:row r="136" ht="19" customHeight="1">
      <x:c r="A136" s="7" t="n">
        <x:v>36951</x:v>
      </x:c>
      <x:c r="B136" s="8" t="n">
        <x:v>2.7391716916</x:v>
      </x:c>
      <x:c r="C136" s="8" t="n">
        <x:v>2.63279128804</x:v>
      </x:c>
      <x:c r="D136" s="8" t="n">
        <x:v>4.12951437533</x:v>
      </x:c>
      <x:c r="E136" s="8" t="n">
        <x:v>11.1183457046</x:v>
      </x:c>
      <x:c r="F136" s="8" t="n">
        <x:v>61.54</x:v>
      </x:c>
      <x:c r="G136" s="8" t="n">
        <x:v>16.0072</x:v>
      </x:c>
      <x:c r="H136" s="8" t="n">
        <x:v>23.2056</x:v>
      </x:c>
      <x:c r="I136" s="8" t="n">
        <x:v>6.9056</x:v>
      </x:c>
      <x:c r="J136" s="8" t="n">
        <x:v>4.3678</x:v>
      </x:c>
      <x:c r="K136" s="8" t="n">
        <x:v>1.1225</x:v>
      </x:c>
      <x:c r="L136" s="8" t="n">
        <x:v>0.366</x:v>
      </x:c>
      <x:c r="M136" s="8" t="n">
        <x:v>1.8057</x:v>
      </x:c>
      <x:c r="N136" s="8" t="n">
        <x:v>7.7596</x:v>
      </x:c>
    </x:row>
    <x:row r="137" ht="19" customHeight="1">
      <x:c r="A137" s="7" t="n">
        <x:v>36982</x:v>
      </x:c>
      <x:c r="B137" s="8" t="n">
        <x:v>2.74623834459</x:v>
      </x:c>
      <x:c r="C137" s="8" t="n">
        <x:v>2.6773494016</x:v>
      </x:c>
      <x:c r="D137" s="8" t="n">
        <x:v>4.12206169081</x:v>
      </x:c>
      <x:c r="E137" s="8" t="n">
        <x:v>11.1079521409</x:v>
      </x:c>
      <x:c r="F137" s="8" t="n">
        <x:v>74.66</x:v>
      </x:c>
      <x:c r="G137" s="8" t="n">
        <x:v>17.5717</x:v>
      </x:c>
      <x:c r="H137" s="8" t="n">
        <x:v>37.8356</x:v>
      </x:c>
      <x:c r="I137" s="8" t="n">
        <x:v>5.1481</x:v>
      </x:c>
      <x:c r="J137" s="8" t="n">
        <x:v>4.7278</x:v>
      </x:c>
      <x:c r="K137" s="8" t="n">
        <x:v>1.1032</x:v>
      </x:c>
      <x:c r="L137" s="8" t="n">
        <x:v>0.7354</x:v>
      </x:c>
      <x:c r="M137" s="8" t="n">
        <x:v>0.8405</x:v>
      </x:c>
      <x:c r="N137" s="8" t="n">
        <x:v>6.6977</x:v>
      </x:c>
    </x:row>
    <x:row r="138" ht="19" customHeight="1">
      <x:c r="A138" s="7" t="n">
        <x:v>37012</x:v>
      </x:c>
      <x:c r="B138" s="8" t="n">
        <x:v>2.78178209202</x:v>
      </x:c>
      <x:c r="C138" s="8" t="n">
        <x:v>2.77054207203</x:v>
      </x:c>
      <x:c r="D138" s="8" t="n">
        <x:v>4.11918899738</x:v>
      </x:c>
      <x:c r="E138" s="8" t="n">
        <x:v>11.0958001858</x:v>
      </x:c>
      <x:c r="F138" s="8" t="n">
        <x:v>70.8</x:v>
      </x:c>
      <x:c r="G138" s="8" t="n">
        <x:v>16.9951</x:v>
      </x:c>
      <x:c r="H138" s="8" t="n">
        <x:v>25.9948</x:v>
      </x:c>
      <x:c r="I138" s="8" t="n">
        <x:v>9.9911</x:v>
      </x:c>
      <x:c r="J138" s="8" t="n">
        <x:v>6.5663</x:v>
      </x:c>
      <x:c r="K138" s="8" t="n">
        <x:v>2.163</x:v>
      </x:c>
      <x:c r="L138" s="8" t="n">
        <x:v>1.4163</x:v>
      </x:c>
      <x:c r="M138" s="8" t="n">
        <x:v>1.8798</x:v>
      </x:c>
      <x:c r="N138" s="8" t="n">
        <x:v>5.7938</x:v>
      </x:c>
    </x:row>
    <x:row r="139" ht="19" customHeight="1">
      <x:c r="A139" s="7" t="n">
        <x:v>37043</x:v>
      </x:c>
      <x:c r="B139" s="8" t="n">
        <x:v>2.74288922355</x:v>
      </x:c>
      <x:c r="C139" s="8" t="n">
        <x:v>2.7519064172</x:v>
      </x:c>
      <x:c r="D139" s="8" t="n">
        <x:v>4.11466805081</x:v>
      </x:c>
      <x:c r="E139" s="8" t="n">
        <x:v>11.0713823574</x:v>
      </x:c>
      <x:c r="F139" s="8" t="n">
        <x:v>76.1</x:v>
      </x:c>
      <x:c r="G139" s="8" t="n">
        <x:v>14.8757</x:v>
      </x:c>
      <x:c r="H139" s="8" t="n">
        <x:v>29.9992</x:v>
      </x:c>
      <x:c r="I139" s="8" t="n">
        <x:v>10.4405</x:v>
      </x:c>
      <x:c r="J139" s="8" t="n">
        <x:v>7.851</x:v>
      </x:c>
      <x:c r="K139" s="8" t="n">
        <x:v>1.8595</x:v>
      </x:c>
      <x:c r="L139" s="8" t="n">
        <x:v>1.4325</x:v>
      </x:c>
      <x:c r="M139" s="8" t="n">
        <x:v>2.2313</x:v>
      </x:c>
      <x:c r="N139" s="8" t="n">
        <x:v>7.4103</x:v>
      </x:c>
    </x:row>
    <x:row r="140" ht="19" customHeight="1">
      <x:c r="A140" s="7" t="n">
        <x:v>37073</x:v>
      </x:c>
      <x:c r="B140" s="8" t="n">
        <x:v>2.70126284473</x:v>
      </x:c>
      <x:c r="C140" s="8" t="n">
        <x:v>2.62991598052</x:v>
      </x:c>
      <x:c r="D140" s="8" t="n">
        <x:v>4.10849729633</x:v>
      </x:c>
      <x:c r="E140" s="8" t="n">
        <x:v>11.1067587932</x:v>
      </x:c>
      <x:c r="F140" s="8" t="n">
        <x:v>77.52</x:v>
      </x:c>
      <x:c r="G140" s="8" t="n">
        <x:v>14.2176</x:v>
      </x:c>
      <x:c r="H140" s="8" t="n">
        <x:v>34.515</x:v>
      </x:c>
      <x:c r="I140" s="8" t="n">
        <x:v>6.0662</x:v>
      </x:c>
      <x:c r="J140" s="8" t="n">
        <x:v>8.0973</x:v>
      </x:c>
      <x:c r="K140" s="8" t="n">
        <x:v>2.0582</x:v>
      </x:c>
      <x:c r="L140" s="8" t="n">
        <x:v>0.7583</x:v>
      </x:c>
      <x:c r="M140" s="8" t="n">
        <x:v>1.9228</x:v>
      </x:c>
      <x:c r="N140" s="8" t="n">
        <x:v>9.8846</x:v>
      </x:c>
    </x:row>
    <x:row r="141" ht="19" customHeight="1">
      <x:c r="A141" s="7" t="n">
        <x:v>37104</x:v>
      </x:c>
      <x:c r="B141" s="8" t="n">
        <x:v>2.73621063917</x:v>
      </x:c>
      <x:c r="C141" s="8" t="n">
        <x:v>2.67247559493</x:v>
      </x:c>
      <x:c r="D141" s="8" t="n">
        <x:v>4.11511809895</x:v>
      </x:c>
      <x:c r="E141" s="8" t="n">
        <x:v>11.1084436585</x:v>
      </x:c>
      <x:c r="F141" s="8" t="n">
        <x:v>70.26</x:v>
      </x:c>
      <x:c r="G141" s="8" t="n">
        <x:v>21.0582</x:v>
      </x:c>
      <x:c r="H141" s="8" t="n">
        <x:v>25.0033</x:v>
      </x:c>
      <x:c r="I141" s="8" t="n">
        <x:v>7.3097</x:v>
      </x:c>
      <x:c r="J141" s="8" t="n">
        <x:v>7.0986</x:v>
      </x:c>
      <x:c r="K141" s="8" t="n">
        <x:v>1.0819</x:v>
      </x:c>
      <x:c r="L141" s="8" t="n">
        <x:v>0.1847</x:v>
      </x:c>
      <x:c r="M141" s="8" t="n">
        <x:v>1.0819</x:v>
      </x:c>
      <x:c r="N141" s="8" t="n">
        <x:v>7.4416</x:v>
      </x:c>
    </x:row>
    <x:row r="142" ht="19" customHeight="1">
      <x:c r="A142" s="7" t="n">
        <x:v>37135</x:v>
      </x:c>
      <x:c r="B142" s="8" t="n">
        <x:v>2.68858440646</x:v>
      </x:c>
      <x:c r="C142" s="8" t="n">
        <x:v>2.66619829216</x:v>
      </x:c>
      <x:c r="D142" s="8" t="n">
        <x:v>4.10602648705</x:v>
      </x:c>
      <x:c r="E142" s="8" t="n">
        <x:v>11.0982336817</x:v>
      </x:c>
      <x:c r="F142" s="8" t="n">
        <x:v>262.59</x:v>
      </x:c>
      <x:c r="G142" s="8" t="n">
        <x:v>36.8507</x:v>
      </x:c>
      <x:c r="H142" s="8" t="n">
        <x:v>24.6685</x:v>
      </x:c>
      <x:c r="I142" s="8" t="n">
        <x:v>182.2275</x:v>
      </x:c>
      <x:c r="J142" s="8" t="n">
        <x:v>4.3309</x:v>
      </x:c>
      <x:c r="K142" s="8" t="n">
        <x:v>1.6209</x:v>
      </x:c>
      <x:c r="L142" s="8" t="n">
        <x:v>0.2533</x:v>
      </x:c>
      <x:c r="M142" s="8" t="n">
        <x:v>2.1781</x:v>
      </x:c>
      <x:c r="N142" s="8" t="n">
        <x:v>10.46</x:v>
      </x:c>
    </x:row>
    <x:row r="143" ht="19" customHeight="1">
      <x:c r="A143" s="7" t="n">
        <x:v>37165</x:v>
      </x:c>
      <x:c r="B143" s="8" t="n">
        <x:v>2.52437637906</x:v>
      </x:c>
      <x:c r="C143" s="8" t="n">
        <x:v>2.44801055993</x:v>
      </x:c>
      <x:c r="D143" s="8" t="n">
        <x:v>4.10131532931</x:v>
      </x:c>
      <x:c r="E143" s="8" t="n">
        <x:v>11.0976544725</x:v>
      </x:c>
      <x:c r="F143" s="8" t="n">
        <x:v>243.16</x:v>
      </x:c>
      <x:c r="G143" s="8" t="n">
        <x:v>86.2907</x:v>
      </x:c>
      <x:c r="H143" s="8" t="n">
        <x:v>21.5641</x:v>
      </x:c>
      <x:c r="I143" s="8" t="n">
        <x:v>111.0541</x:v>
      </x:c>
      <x:c r="J143" s="8" t="n">
        <x:v>3.4156</x:v>
      </x:c>
      <x:c r="K143" s="8" t="n">
        <x:v>1.5029</x:v>
      </x:c>
      <x:c r="L143" s="8" t="n">
        <x:v>0.2277</x:v>
      </x:c>
      <x:c r="M143" s="8" t="n">
        <x:v>1.7306</x:v>
      </x:c>
      <x:c r="N143" s="8" t="n">
        <x:v>17.3743</x:v>
      </x:c>
    </x:row>
    <x:row r="144" ht="19" customHeight="1">
      <x:c r="A144" s="7" t="n">
        <x:v>37196</x:v>
      </x:c>
      <x:c r="B144" s="8" t="n">
        <x:v>2.40376788</x:v>
      </x:c>
      <x:c r="C144" s="8" t="n">
        <x:v>2.36005644691</x:v>
      </x:c>
      <x:c r="D144" s="8" t="n">
        <x:v>4.09743358803</x:v>
      </x:c>
      <x:c r="E144" s="8" t="n">
        <x:v>11.0957230636</x:v>
      </x:c>
      <x:c r="F144" s="8" t="n">
        <x:v>187.45</x:v>
      </x:c>
      <x:c r="G144" s="8" t="n">
        <x:v>66.2025</x:v>
      </x:c>
      <x:c r="H144" s="8" t="n">
        <x:v>27.864</x:v>
      </x:c>
      <x:c r="I144" s="8" t="n">
        <x:v>58.0531</x:v>
      </x:c>
      <x:c r="J144" s="8" t="n">
        <x:v>6.6514</x:v>
      </x:c>
      <x:c r="K144" s="8" t="n">
        <x:v>6.0162</x:v>
      </x:c>
      <x:c r="L144" s="8" t="n">
        <x:v>0.2876</x:v>
      </x:c>
      <x:c r="M144" s="8" t="n">
        <x:v>1.582</x:v>
      </x:c>
      <x:c r="N144" s="8" t="n">
        <x:v>20.7932</x:v>
      </x:c>
    </x:row>
    <x:row r="145" ht="19" customHeight="1">
      <x:c r="A145" s="7" t="n">
        <x:v>37226</x:v>
      </x:c>
      <x:c r="B145" s="8" t="n">
        <x:v>2.39152058537</x:v>
      </x:c>
      <x:c r="C145" s="8" t="n">
        <x:v>2.3558212564</x:v>
      </x:c>
      <x:c r="D145" s="8" t="n">
        <x:v>4.09519877632</x:v>
      </x:c>
      <x:c r="E145" s="8" t="n">
        <x:v>11.0969490301</x:v>
      </x:c>
      <x:c r="F145" s="8" t="n">
        <x:v>156.47</x:v>
      </x:c>
      <x:c r="G145" s="8" t="n">
        <x:v>59.0681</x:v>
      </x:c>
      <x:c r="H145" s="8" t="n">
        <x:v>25.2562</x:v>
      </x:c>
      <x:c r="I145" s="8" t="n">
        <x:v>44.1662</x:v>
      </x:c>
      <x:c r="J145" s="8" t="n">
        <x:v>4.7275</x:v>
      </x:c>
      <x:c r="K145" s="8" t="n">
        <x:v>3.0318</x:v>
      </x:c>
      <x:c r="L145" s="8" t="n">
        <x:v>1.1048</x:v>
      </x:c>
      <x:c r="M145" s="8" t="n">
        <x:v>2.9033</x:v>
      </x:c>
      <x:c r="N145" s="8" t="n">
        <x:v>16.2122</x:v>
      </x:c>
    </x:row>
    <x:row r="146" ht="19" customHeight="1">
      <x:c r="A146" s="7" t="n">
        <x:v>37257</x:v>
      </x:c>
      <x:c r="B146" s="8" t="n">
        <x:v>2.4067068</x:v>
      </x:c>
      <x:c r="C146" s="8" t="n">
        <x:v>2.39137691369</x:v>
      </x:c>
      <x:c r="D146" s="8" t="n">
        <x:v>4.10324041999</x:v>
      </x:c>
      <x:c r="E146" s="8" t="n">
        <x:v>11.0906244808</x:v>
      </x:c>
      <x:c r="F146" s="8" t="n">
        <x:v>112.13</x:v>
      </x:c>
      <x:c r="G146" s="8" t="n">
        <x:v>31.4716</x:v>
      </x:c>
      <x:c r="H146" s="8" t="n">
        <x:v>26.836</x:v>
      </x:c>
      <x:c r="I146" s="8" t="n">
        <x:v>28.2643</x:v>
      </x:c>
      <x:c r="J146" s="8" t="n">
        <x:v>5.1116</x:v>
      </x:c>
      <x:c r="K146" s="8" t="n">
        <x:v>4.6105</x:v>
      </x:c>
      <x:c r="L146" s="8" t="n">
        <x:v>0.3007</x:v>
      </x:c>
      <x:c r="M146" s="8" t="n">
        <x:v>1.7289</x:v>
      </x:c>
      <x:c r="N146" s="8" t="n">
        <x:v>13.8064</x:v>
      </x:c>
    </x:row>
    <x:row r="147" ht="19" customHeight="1">
      <x:c r="A147" s="7" t="n">
        <x:v>37288</x:v>
      </x:c>
      <x:c r="B147" s="8" t="n">
        <x:v>2.45448605309</x:v>
      </x:c>
      <x:c r="C147" s="8" t="n">
        <x:v>2.43302181442</x:v>
      </x:c>
      <x:c r="D147" s="8" t="n">
        <x:v>4.10420212919</x:v>
      </x:c>
      <x:c r="E147" s="8" t="n">
        <x:v>11.0927181156</x:v>
      </x:c>
      <x:c r="F147" s="8" t="n">
        <x:v>110.92</x:v>
      </x:c>
      <x:c r="G147" s="8" t="n">
        <x:v>30.4623</x:v>
      </x:c>
      <x:c r="H147" s="8" t="n">
        <x:v>28.4314</x:v>
      </x:c>
      <x:c r="I147" s="8" t="n">
        <x:v>27.0286</x:v>
      </x:c>
      <x:c r="J147" s="8" t="n">
        <x:v>6.8674</x:v>
      </x:c>
      <x:c r="K147" s="8" t="n">
        <x:v>2.4851</x:v>
      </x:c>
      <x:c r="L147" s="8" t="n">
        <x:v>0.7215</x:v>
      </x:c>
      <x:c r="M147" s="8" t="n">
        <x:v>1.2425</x:v>
      </x:c>
      <x:c r="N147" s="8" t="n">
        <x:v>13.6813</x:v>
      </x:c>
    </x:row>
    <x:row r="148" ht="19" customHeight="1">
      <x:c r="A148" s="7" t="n">
        <x:v>37316</x:v>
      </x:c>
      <x:c r="B148" s="8" t="n">
        <x:v>2.62047844304</x:v>
      </x:c>
      <x:c r="C148" s="8" t="n">
        <x:v>2.58605663291</x:v>
      </x:c>
      <x:c r="D148" s="8" t="n">
        <x:v>4.10931261236</x:v>
      </x:c>
      <x:c r="E148" s="8" t="n">
        <x:v>11.0836973926</x:v>
      </x:c>
      <x:c r="F148" s="8" t="n">
        <x:v>122.56</x:v>
      </x:c>
      <x:c r="G148" s="8" t="n">
        <x:v>41.9419</x:v>
      </x:c>
      <x:c r="H148" s="8" t="n">
        <x:v>28.2977</x:v>
      </x:c>
      <x:c r="I148" s="8" t="n">
        <x:v>24.1059</x:v>
      </x:c>
      <x:c r="J148" s="8" t="n">
        <x:v>8.2886</x:v>
      </x:c>
      <x:c r="K148" s="8" t="n">
        <x:v>4.8449</x:v>
      </x:c>
      <x:c r="L148" s="8" t="n">
        <x:v>0.3087</x:v>
      </x:c>
      <x:c r="M148" s="8" t="n">
        <x:v>2.4937</x:v>
      </x:c>
      <x:c r="N148" s="8" t="n">
        <x:v>12.2786</x:v>
      </x:c>
    </x:row>
    <x:row r="149" ht="19" customHeight="1">
      <x:c r="A149" s="7" t="n">
        <x:v>37347</x:v>
      </x:c>
      <x:c r="B149" s="8" t="n">
        <x:v>2.68110556586</x:v>
      </x:c>
      <x:c r="C149" s="8" t="n">
        <x:v>2.66376743167</x:v>
      </x:c>
      <x:c r="D149" s="8" t="n">
        <x:v>4.11389075215</x:v>
      </x:c>
      <x:c r="E149" s="8" t="n">
        <x:v>11.0703664876</x:v>
      </x:c>
      <x:c r="F149" s="8" t="n">
        <x:v>134.07</x:v>
      </x:c>
      <x:c r="G149" s="8" t="n">
        <x:v>52.4673</x:v>
      </x:c>
      <x:c r="H149" s="8" t="n">
        <x:v>28.9923</x:v>
      </x:c>
      <x:c r="I149" s="8" t="n">
        <x:v>23.6831</x:v>
      </x:c>
      <x:c r="J149" s="8" t="n">
        <x:v>5.9338</x:v>
      </x:c>
      <x:c r="K149" s="8" t="n">
        <x:v>1.6396</x:v>
      </x:c>
      <x:c r="L149" s="8" t="n">
        <x:v>5.5044</x:v>
      </x:c>
      <x:c r="M149" s="8" t="n">
        <x:v>1.9779</x:v>
      </x:c>
      <x:c r="N149" s="8" t="n">
        <x:v>13.8716</x:v>
      </x:c>
    </x:row>
    <x:row r="150" ht="19" customHeight="1">
      <x:c r="A150" s="7" t="n">
        <x:v>37377</x:v>
      </x:c>
      <x:c r="B150" s="8" t="n">
        <x:v>2.71231222923</x:v>
      </x:c>
      <x:c r="C150" s="8" t="n">
        <x:v>2.6477737081</x:v>
      </x:c>
      <x:c r="D150" s="8" t="n">
        <x:v>4.12140090685</x:v>
      </x:c>
      <x:c r="E150" s="8" t="n">
        <x:v>11.0826921904</x:v>
      </x:c>
      <x:c r="F150" s="8" t="n">
        <x:v>117.75</x:v>
      </x:c>
      <x:c r="G150" s="8" t="n">
        <x:v>29.3547</x:v>
      </x:c>
      <x:c r="H150" s="8" t="n">
        <x:v>28.1643</x:v>
      </x:c>
      <x:c r="I150" s="8" t="n">
        <x:v>34.0426</x:v>
      </x:c>
      <x:c r="J150" s="8" t="n">
        <x:v>5.9887</x:v>
      </x:c>
      <x:c r="K150" s="8" t="n">
        <x:v>4.7125</x:v>
      </x:c>
      <x:c r="L150" s="8" t="n">
        <x:v>1.1536</x:v>
      </x:c>
      <x:c r="M150" s="8" t="n">
        <x:v>2.8962</x:v>
      </x:c>
      <x:c r="N150" s="8" t="n">
        <x:v>11.4375</x:v>
      </x:c>
    </x:row>
    <x:row r="151" ht="19" customHeight="1">
      <x:c r="A151" s="7" t="n">
        <x:v>37408</x:v>
      </x:c>
      <x:c r="B151" s="8" t="n">
        <x:v>2.6539004886</x:v>
      </x:c>
      <x:c r="C151" s="8" t="n">
        <x:v>2.59581965056</x:v>
      </x:c>
      <x:c r="D151" s="8" t="n">
        <x:v>4.12173097147</x:v>
      </x:c>
      <x:c r="E151" s="8" t="n">
        <x:v>11.0833557511</x:v>
      </x:c>
      <x:c r="F151" s="8" t="n">
        <x:v>116.33</x:v>
      </x:c>
      <x:c r="G151" s="8" t="n">
        <x:v>25.1489</x:v>
      </x:c>
      <x:c r="H151" s="8" t="n">
        <x:v>28.5439</x:v>
      </x:c>
      <x:c r="I151" s="8" t="n">
        <x:v>35.9606</x:v>
      </x:c>
      <x:c r="J151" s="8" t="n">
        <x:v>3.6561</x:v>
      </x:c>
      <x:c r="K151" s="8" t="n">
        <x:v>7.3645</x:v>
      </x:c>
      <x:c r="L151" s="8" t="n">
        <x:v>1.0446</x:v>
      </x:c>
      <x:c r="M151" s="8" t="n">
        <x:v>0.679</x:v>
      </x:c>
      <x:c r="N151" s="8" t="n">
        <x:v>13.9324</x:v>
      </x:c>
    </x:row>
    <x:row r="152" ht="19" customHeight="1">
      <x:c r="A152" s="7" t="n">
        <x:v>37438</x:v>
      </x:c>
      <x:c r="B152" s="8" t="n">
        <x:v>2.70693847225</x:v>
      </x:c>
      <x:c r="C152" s="8" t="n">
        <x:v>2.66025953727</x:v>
      </x:c>
      <x:c r="D152" s="8" t="n">
        <x:v>4.12880589648</x:v>
      </x:c>
      <x:c r="E152" s="8" t="n">
        <x:v>11.0969240007</x:v>
      </x:c>
      <x:c r="F152" s="8" t="n">
        <x:v>97.58</x:v>
      </x:c>
      <x:c r="G152" s="8" t="n">
        <x:v>27.209</x:v>
      </x:c>
      <x:c r="H152" s="8" t="n">
        <x:v>22.7066</x:v>
      </x:c>
      <x:c r="I152" s="8" t="n">
        <x:v>26.4586</x:v>
      </x:c>
      <x:c r="J152" s="8" t="n">
        <x:v>4.0577</x:v>
      </x:c>
      <x:c r="K152" s="8" t="n">
        <x:v>2.4735</x:v>
      </x:c>
      <x:c r="L152" s="8" t="n">
        <x:v>0.9172</x:v>
      </x:c>
      <x:c r="M152" s="8" t="n">
        <x:v>1.0005</x:v>
      </x:c>
      <x:c r="N152" s="8" t="n">
        <x:v>12.7568</x:v>
      </x:c>
    </x:row>
    <x:row r="153" ht="19" customHeight="1">
      <x:c r="A153" s="7" t="n">
        <x:v>37469</x:v>
      </x:c>
      <x:c r="B153" s="8" t="n">
        <x:v>2.7554763787</x:v>
      </x:c>
      <x:c r="C153" s="8" t="n">
        <x:v>2.69222855883</x:v>
      </x:c>
      <x:c r="D153" s="8" t="n">
        <x:v>4.13096764926</x:v>
      </x:c>
      <x:c r="E153" s="8" t="n">
        <x:v>11.092865505</x:v>
      </x:c>
      <x:c r="F153" s="8" t="n">
        <x:v>106.32</x:v>
      </x:c>
      <x:c r="G153" s="8" t="n">
        <x:v>33.9917</x:v>
      </x:c>
      <x:c r="H153" s="8" t="n">
        <x:v>27.7921</x:v>
      </x:c>
      <x:c r="I153" s="8" t="n">
        <x:v>23.871</x:v>
      </x:c>
      <x:c r="J153" s="8" t="n">
        <x:v>3.4442</x:v>
      </x:c>
      <x:c r="K153" s="8" t="n">
        <x:v>3.1528</x:v>
      </x:c>
      <x:c r="L153" s="8" t="n">
        <x:v>0.7418</x:v>
      </x:c>
      <x:c r="M153" s="8" t="n">
        <x:v>1.5896</x:v>
      </x:c>
      <x:c r="N153" s="8" t="n">
        <x:v>11.7368</x:v>
      </x:c>
    </x:row>
    <x:row r="154" ht="19" customHeight="1">
      <x:c r="A154" s="7" t="n">
        <x:v>37500</x:v>
      </x:c>
      <x:c r="B154" s="8" t="n">
        <x:v>2.79757807474</x:v>
      </x:c>
      <x:c r="C154" s="8" t="n">
        <x:v>2.7541678832</x:v>
      </x:c>
      <x:c r="D154" s="8" t="n">
        <x:v>4.13342565499</x:v>
      </x:c>
      <x:c r="E154" s="8" t="n">
        <x:v>11.0935056361</x:v>
      </x:c>
      <x:c r="F154" s="8" t="n">
        <x:v>135.03</x:v>
      </x:c>
      <x:c r="G154" s="8" t="n">
        <x:v>48.2593</x:v>
      </x:c>
      <x:c r="H154" s="8" t="n">
        <x:v>31.2921</x:v>
      </x:c>
      <x:c r="I154" s="8" t="n">
        <x:v>36.0839</x:v>
      </x:c>
      <x:c r="J154" s="8" t="n">
        <x:v>4.0964</x:v>
      </x:c>
      <x:c r="K154" s="8" t="n">
        <x:v>3.793</x:v>
      </x:c>
      <x:c r="L154" s="8" t="n">
        <x:v>1.5931</x:v>
      </x:c>
      <x:c r="M154" s="8" t="n">
        <x:v>0.9103</x:v>
      </x:c>
      <x:c r="N154" s="8" t="n">
        <x:v>9.002</x:v>
      </x:c>
    </x:row>
    <x:row r="155" ht="19" customHeight="1">
      <x:c r="A155" s="7" t="n">
        <x:v>37530</x:v>
      </x:c>
      <x:c r="B155" s="8" t="n">
        <x:v>2.7673321048</x:v>
      </x:c>
      <x:c r="C155" s="8" t="n">
        <x:v>2.72120828568</x:v>
      </x:c>
      <x:c r="D155" s="8" t="n">
        <x:v>4.13687137293</x:v>
      </x:c>
      <x:c r="E155" s="8" t="n">
        <x:v>11.1143871631</x:v>
      </x:c>
      <x:c r="F155" s="8" t="n">
        <x:v>142.94</x:v>
      </x:c>
      <x:c r="G155" s="8" t="n">
        <x:v>40.0966</x:v>
      </x:c>
      <x:c r="H155" s="8" t="n">
        <x:v>27.6939</x:v>
      </x:c>
      <x:c r="I155" s="8" t="n">
        <x:v>48.1205</x:v>
      </x:c>
      <x:c r="J155" s="8" t="n">
        <x:v>5.4792</x:v>
      </x:c>
      <x:c r="K155" s="8" t="n">
        <x:v>8.4595</x:v>
      </x:c>
      <x:c r="L155" s="8" t="n">
        <x:v>0.9629</x:v>
      </x:c>
      <x:c r="M155" s="8" t="n">
        <x:v>1.215</x:v>
      </x:c>
      <x:c r="N155" s="8" t="n">
        <x:v>10.9125</x:v>
      </x:c>
    </x:row>
    <x:row r="156" ht="19" customHeight="1">
      <x:c r="A156" s="7" t="n">
        <x:v>37561</x:v>
      </x:c>
      <x:c r="B156" s="8" t="n">
        <x:v>2.67538280727</x:v>
      </x:c>
      <x:c r="C156" s="8" t="n">
        <x:v>2.59603561984</x:v>
      </x:c>
      <x:c r="D156" s="8" t="n">
        <x:v>4.14108016703</x:v>
      </x:c>
      <x:c r="E156" s="8" t="n">
        <x:v>11.117506297</x:v>
      </x:c>
      <x:c r="F156" s="8" t="n">
        <x:v>121.9</x:v>
      </x:c>
      <x:c r="G156" s="8" t="n">
        <x:v>29.3762</x:v>
      </x:c>
      <x:c r="H156" s="8" t="n">
        <x:v>32.1435</x:v>
      </x:c>
      <x:c r="I156" s="8" t="n">
        <x:v>34.6604</x:v>
      </x:c>
      <x:c r="J156" s="8" t="n">
        <x:v>6.2108</x:v>
      </x:c>
      <x:c r="K156" s="8" t="n">
        <x:v>4.3826</x:v>
      </x:c>
      <x:c r="L156" s="8" t="n">
        <x:v>0.6762</x:v>
      </x:c>
      <x:c r="M156" s="8" t="n">
        <x:v>1.0268</x:v>
      </x:c>
      <x:c r="N156" s="8" t="n">
        <x:v>13.4234</x:v>
      </x:c>
    </x:row>
    <x:row r="157" ht="19" customHeight="1">
      <x:c r="A157" s="7" t="n">
        <x:v>37591</x:v>
      </x:c>
      <x:c r="B157" s="8" t="n">
        <x:v>2.78529641528</x:v>
      </x:c>
      <x:c r="C157" s="8" t="n">
        <x:v>2.74618431809</x:v>
      </x:c>
      <x:c r="D157" s="8" t="n">
        <x:v>4.12866468387</x:v>
      </x:c>
      <x:c r="E157" s="8" t="n">
        <x:v>11.107413312</x:v>
      </x:c>
      <x:c r="F157" s="8" t="n">
        <x:v>126.92</x:v>
      </x:c>
      <x:c r="G157" s="8" t="n">
        <x:v>36.8691</x:v>
      </x:c>
      <x:c r="H157" s="8" t="n">
        <x:v>31.3552</x:v>
      </x:c>
      <x:c r="I157" s="8" t="n">
        <x:v>22.3349</x:v>
      </x:c>
      <x:c r="J157" s="8" t="n">
        <x:v>7.2925</x:v>
      </x:c>
      <x:c r="K157" s="8" t="n">
        <x:v>13.5178</x:v>
      </x:c>
      <x:c r="L157" s="8" t="n">
        <x:v>0.8639</x:v>
      </x:c>
      <x:c r="M157" s="8" t="n">
        <x:v>1.1942</x:v>
      </x:c>
      <x:c r="N157" s="8" t="n">
        <x:v>13.4924</x:v>
      </x:c>
    </x:row>
    <x:row r="158" ht="19" customHeight="1">
      <x:c r="A158" s="7" t="n">
        <x:v>37622</x:v>
      </x:c>
      <x:c r="B158" s="8" t="n">
        <x:v>2.89286347878</x:v>
      </x:c>
      <x:c r="C158" s="8" t="n">
        <x:v>2.83764908146</x:v>
      </x:c>
      <x:c r="D158" s="8" t="n">
        <x:v>4.14797217008</x:v>
      </x:c>
      <x:c r="E158" s="8" t="n">
        <x:v>11.1468611211</x:v>
      </x:c>
      <x:c r="F158" s="8" t="n">
        <x:v>138.18</x:v>
      </x:c>
      <x:c r="G158" s="8" t="n">
        <x:v>55.8603</x:v>
      </x:c>
      <x:c r="H158" s="8" t="n">
        <x:v>29.1736</x:v>
      </x:c>
      <x:c r="I158" s="8" t="n">
        <x:v>16.8346</x:v>
      </x:c>
      <x:c r="J158" s="8" t="n">
        <x:v>7.3412</x:v>
      </x:c>
      <x:c r="K158" s="8" t="n">
        <x:v>15.5553</x:v>
      </x:c>
      <x:c r="L158" s="8" t="n">
        <x:v>0.4304</x:v>
      </x:c>
      <x:c r="M158" s="8" t="n">
        <x:v>0.6935</x:v>
      </x:c>
      <x:c r="N158" s="8" t="n">
        <x:v>12.2912</x:v>
      </x:c>
    </x:row>
    <x:row r="159" ht="19" customHeight="1">
      <x:c r="A159" s="7" t="n">
        <x:v>37653</x:v>
      </x:c>
      <x:c r="B159" s="8" t="n">
        <x:v>2.97119623912</x:v>
      </x:c>
      <x:c r="C159" s="8" t="n">
        <x:v>2.88192417051</x:v>
      </x:c>
      <x:c r="D159" s="8" t="n">
        <x:v>4.15272573264</x:v>
      </x:c>
      <x:c r="E159" s="8" t="n">
        <x:v>11.1657341942</x:v>
      </x:c>
      <x:c r="F159" s="8" t="n">
        <x:v>166.03</x:v>
      </x:c>
      <x:c r="G159" s="8" t="n">
        <x:v>75.2019</x:v>
      </x:c>
      <x:c r="H159" s="8" t="n">
        <x:v>33.9553</x:v>
      </x:c>
      <x:c r="I159" s="8" t="n">
        <x:v>27.9084</x:v>
      </x:c>
      <x:c r="J159" s="8" t="n">
        <x:v>5.6823</x:v>
      </x:c>
      <x:c r="K159" s="8" t="n">
        <x:v>9.8308</x:v>
      </x:c>
      <x:c r="L159" s="8" t="n">
        <x:v>0.2011</x:v>
      </x:c>
      <x:c r="M159" s="8" t="n">
        <x:v>0.704</x:v>
      </x:c>
      <x:c r="N159" s="8" t="n">
        <x:v>12.5462</x:v>
      </x:c>
    </x:row>
    <x:row r="160" ht="19" customHeight="1">
      <x:c r="A160" s="7" t="n">
        <x:v>37681</x:v>
      </x:c>
      <x:c r="B160" s="8" t="n">
        <x:v>2.90262195613</x:v>
      </x:c>
      <x:c r="C160" s="8" t="n">
        <x:v>2.81210480734</x:v>
      </x:c>
      <x:c r="D160" s="8" t="n">
        <x:v>4.15641663038</x:v>
      </x:c>
      <x:c r="E160" s="8" t="n">
        <x:v>11.1662684026</x:v>
      </x:c>
      <x:c r="F160" s="8" t="n">
        <x:v>245.09</x:v>
      </x:c>
      <x:c r="G160" s="8" t="n">
        <x:v>177.3327</x:v>
      </x:c>
      <x:c r="H160" s="8" t="n">
        <x:v>23.2749</x:v>
      </x:c>
      <x:c r="I160" s="8" t="n">
        <x:v>21.7403</x:v>
      </x:c>
      <x:c r="J160" s="8" t="n">
        <x:v>3.2824</x:v>
      </x:c>
      <x:c r="K160" s="8" t="n">
        <x:v>5.3498</x:v>
      </x:c>
      <x:c r="L160" s="8" t="n">
        <x:v>0.3837</x:v>
      </x:c>
      <x:c r="M160" s="8" t="n">
        <x:v>0.7673</x:v>
      </x:c>
      <x:c r="N160" s="8" t="n">
        <x:v>12.9589</x:v>
      </x:c>
    </x:row>
    <x:row r="161" ht="19" customHeight="1">
      <x:c r="A161" s="7" t="n">
        <x:v>37712</x:v>
      </x:c>
      <x:c r="B161" s="8" t="n">
        <x:v>2.73284931564</x:v>
      </x:c>
      <x:c r="C161" s="8" t="n">
        <x:v>2.61346755862</x:v>
      </x:c>
      <x:c r="D161" s="8" t="n">
        <x:v>4.1530002858</x:v>
      </x:c>
      <x:c r="E161" s="8" t="n">
        <x:v>11.1469866003</x:v>
      </x:c>
      <x:c r="F161" s="8" t="n">
        <x:v>199.99</x:v>
      </x:c>
      <x:c r="G161" s="8" t="n">
        <x:v>131.6321</x:v>
      </x:c>
      <x:c r="H161" s="8" t="n">
        <x:v>24.42</x:v>
      </x:c>
      <x:c r="I161" s="8" t="n">
        <x:v>15.6597</x:v>
      </x:c>
      <x:c r="J161" s="8" t="n">
        <x:v>3.722</x:v>
      </x:c>
      <x:c r="K161" s="8" t="n">
        <x:v>5.5149</x:v>
      </x:c>
      <x:c r="L161" s="8" t="n">
        <x:v>0.4312</x:v>
      </x:c>
      <x:c r="M161" s="8" t="n">
        <x:v>1.7702</x:v>
      </x:c>
      <x:c r="N161" s="8" t="n">
        <x:v>16.8398</x:v>
      </x:c>
    </x:row>
    <x:row r="162" ht="19" customHeight="1">
      <x:c r="A162" s="7" t="n">
        <x:v>37742</x:v>
      </x:c>
      <x:c r="B162" s="8" t="n">
        <x:v>2.73235601551</x:v>
      </x:c>
      <x:c r="C162" s="8" t="n">
        <x:v>2.64892800393</x:v>
      </x:c>
      <x:c r="D162" s="8" t="n">
        <x:v>4.15156726258</x:v>
      </x:c>
      <x:c r="E162" s="8" t="n">
        <x:v>11.1443167532</x:v>
      </x:c>
      <x:c r="F162" s="8" t="n">
        <x:v>111.87</x:v>
      </x:c>
      <x:c r="G162" s="8" t="n">
        <x:v>31.5352</x:v>
      </x:c>
      <x:c r="H162" s="8" t="n">
        <x:v>25.1539</x:v>
      </x:c>
      <x:c r="I162" s="8" t="n">
        <x:v>27.66</x:v>
      </x:c>
      <x:c r="J162" s="8" t="n">
        <x:v>3.7592</x:v>
      </x:c>
      <x:c r="K162" s="8" t="n">
        <x:v>5.5459</x:v>
      </x:c>
      <x:c r="L162" s="8" t="n">
        <x:v>0.1392</x:v>
      </x:c>
      <x:c r="M162" s="8" t="n">
        <x:v>1.9028</x:v>
      </x:c>
      <x:c r="N162" s="8" t="n">
        <x:v>16.1737</x:v>
      </x:c>
    </x:row>
    <x:row r="163" ht="19" customHeight="1">
      <x:c r="A163" s="7" t="n">
        <x:v>37773</x:v>
      </x:c>
      <x:c r="B163" s="8" t="n">
        <x:v>2.81809660775</x:v>
      </x:c>
      <x:c r="C163" s="8" t="n">
        <x:v>2.71476346228</x:v>
      </x:c>
      <x:c r="D163" s="8" t="n">
        <x:v>4.15408744239</x:v>
      </x:c>
      <x:c r="E163" s="8" t="n">
        <x:v>11.1416271619</x:v>
      </x:c>
      <x:c r="F163" s="8" t="n">
        <x:v>108.87</x:v>
      </x:c>
      <x:c r="G163" s="8" t="n">
        <x:v>37.2821</x:v>
      </x:c>
      <x:c r="H163" s="8" t="n">
        <x:v>25.3895</x:v>
      </x:c>
      <x:c r="I163" s="8" t="n">
        <x:v>17.7347</x:v>
      </x:c>
      <x:c r="J163" s="8" t="n">
        <x:v>7.7896</x:v>
      </x:c>
      <x:c r="K163" s="8" t="n">
        <x:v>6.7118</x:v>
      </x:c>
      <x:c r="L163" s="8" t="n">
        <x:v>0.8328</x:v>
      </x:c>
      <x:c r="M163" s="8" t="n">
        <x:v>1.4207</x:v>
      </x:c>
      <x:c r="N163" s="8" t="n">
        <x:v>11.7088</x:v>
      </x:c>
    </x:row>
    <x:row r="164" ht="19" customHeight="1">
      <x:c r="A164" s="7" t="n">
        <x:v>37803</x:v>
      </x:c>
      <x:c r="B164" s="8" t="n">
        <x:v>2.8180813384</x:v>
      </x:c>
      <x:c r="C164" s="8" t="n">
        <x:v>2.73649322394</x:v>
      </x:c>
      <x:c r="D164" s="8" t="n">
        <x:v>4.16053677453</x:v>
      </x:c>
      <x:c r="E164" s="8" t="n">
        <x:v>11.1481551993</x:v>
      </x:c>
      <x:c r="F164" s="8" t="n">
        <x:v>109.48</x:v>
      </x:c>
      <x:c r="G164" s="8" t="n">
        <x:v>42.1796</x:v>
      </x:c>
      <x:c r="H164" s="8" t="n">
        <x:v>24.5066</x:v>
      </x:c>
      <x:c r="I164" s="8" t="n">
        <x:v>15.0239</x:v>
      </x:c>
      <x:c r="J164" s="8" t="n">
        <x:v>8.6509</x:v>
      </x:c>
      <x:c r="K164" s="8" t="n">
        <x:v>5.7587</x:v>
      </x:c>
      <x:c r="L164" s="8" t="n">
        <x:v>1.2029</x:v>
      </x:c>
      <x:c r="M164" s="8" t="n">
        <x:v>1.3053</x:v>
      </x:c>
      <x:c r="N164" s="8" t="n">
        <x:v>10.852</x:v>
      </x:c>
    </x:row>
    <x:row r="165" ht="19" customHeight="1">
      <x:c r="A165" s="7" t="n">
        <x:v>37834</x:v>
      </x:c>
      <x:c r="B165" s="8" t="n">
        <x:v>2.83972802508</x:v>
      </x:c>
      <x:c r="C165" s="8" t="n">
        <x:v>2.7850446988</x:v>
      </x:c>
      <x:c r="D165" s="8" t="n">
        <x:v>4.16080879856</x:v>
      </x:c>
      <x:c r="E165" s="8" t="n">
        <x:v>11.1547242855</x:v>
      </x:c>
      <x:c r="F165" s="8" t="n">
        <x:v>105.33</x:v>
      </x:c>
      <x:c r="G165" s="8" t="n">
        <x:v>30.7228</x:v>
      </x:c>
      <x:c r="H165" s="8" t="n">
        <x:v>18.2285</x:v>
      </x:c>
      <x:c r="I165" s="8" t="n">
        <x:v>28.5724</x:v>
      </x:c>
      <x:c r="J165" s="8" t="n">
        <x:v>8.8238</x:v>
      </x:c>
      <x:c r="K165" s="8" t="n">
        <x:v>5.3141</x:v>
      </x:c>
      <x:c r="L165" s="8" t="n">
        <x:v>0.5685</x:v>
      </x:c>
      <x:c r="M165" s="8" t="n">
        <x:v>1.3841</x:v>
      </x:c>
      <x:c r="N165" s="8" t="n">
        <x:v>11.7157</x:v>
      </x:c>
    </x:row>
    <x:row r="166" ht="19" customHeight="1">
      <x:c r="A166" s="7" t="n">
        <x:v>37865</x:v>
      </x:c>
      <x:c r="B166" s="8" t="n">
        <x:v>2.72748906553</x:v>
      </x:c>
      <x:c r="C166" s="8" t="n">
        <x:v>2.68417662992</x:v>
      </x:c>
      <x:c r="D166" s="8" t="n">
        <x:v>4.16679589682</x:v>
      </x:c>
      <x:c r="E166" s="8" t="n">
        <x:v>11.1541575752</x:v>
      </x:c>
      <x:c r="F166" s="8" t="n">
        <x:v>102.33</x:v>
      </x:c>
      <x:c r="G166" s="8" t="n">
        <x:v>35.4946</x:v>
      </x:c>
      <x:c r="H166" s="8" t="n">
        <x:v>25.3959</x:v>
      </x:c>
      <x:c r="I166" s="8" t="n">
        <x:v>20.7943</x:v>
      </x:c>
      <x:c r="J166" s="8" t="n">
        <x:v>3.3331</x:v>
      </x:c>
      <x:c r="K166" s="8" t="n">
        <x:v>3.7559</x:v>
      </x:c>
      <x:c r="L166" s="8" t="n">
        <x:v>0.5223</x:v>
      </x:c>
      <x:c r="M166" s="8" t="n">
        <x:v>1.0198</x:v>
      </x:c>
      <x:c r="N166" s="8" t="n">
        <x:v>12.0139</x:v>
      </x:c>
    </x:row>
    <x:row r="167" ht="19" customHeight="1">
      <x:c r="A167" s="7" t="n">
        <x:v>37895</x:v>
      </x:c>
      <x:c r="B167" s="8" t="n">
        <x:v>2.79782202152</x:v>
      </x:c>
      <x:c r="C167" s="8" t="n">
        <x:v>2.77346718971</x:v>
      </x:c>
      <x:c r="D167" s="8" t="n">
        <x:v>4.18074008927</x:v>
      </x:c>
      <x:c r="E167" s="8" t="n">
        <x:v>11.1723440512</x:v>
      </x:c>
      <x:c r="F167" s="8" t="n">
        <x:v>89.2</x:v>
      </x:c>
      <x:c r="G167" s="8" t="n">
        <x:v>29.5538</x:v>
      </x:c>
      <x:c r="H167" s="8" t="n">
        <x:v>20.3622</x:v>
      </x:c>
      <x:c r="I167" s="8" t="n">
        <x:v>17.4816</x:v>
      </x:c>
      <x:c r="J167" s="8" t="n">
        <x:v>5.0356</x:v>
      </x:c>
      <x:c r="K167" s="8" t="n">
        <x:v>3.9801</x:v>
      </x:c>
      <x:c r="L167" s="8" t="n">
        <x:v>1.0555</x:v>
      </x:c>
      <x:c r="M167" s="8" t="n">
        <x:v>1.6382</x:v>
      </x:c>
      <x:c r="N167" s="8" t="n">
        <x:v>10.0931</x:v>
      </x:c>
    </x:row>
    <x:row r="168" ht="19" customHeight="1">
      <x:c r="A168" s="7" t="n">
        <x:v>37926</x:v>
      </x:c>
      <x:c r="B168" s="8" t="n">
        <x:v>2.82234367182</x:v>
      </x:c>
      <x:c r="C168" s="8" t="n">
        <x:v>2.74345212815</x:v>
      </x:c>
      <x:c r="D168" s="8" t="n">
        <x:v>4.18046902249</x:v>
      </x:c>
      <x:c r="E168" s="8" t="n">
        <x:v>11.178110694</x:v>
      </x:c>
      <x:c r="F168" s="8" t="n">
        <x:v>101.71</x:v>
      </x:c>
      <x:c r="G168" s="8" t="n">
        <x:v>35.6249</x:v>
      </x:c>
      <x:c r="H168" s="8" t="n">
        <x:v>22.0938</x:v>
      </x:c>
      <x:c r="I168" s="8" t="n">
        <x:v>22.4986</x:v>
      </x:c>
      <x:c r="J168" s="8" t="n">
        <x:v>3.1159</x:v>
      </x:c>
      <x:c r="K168" s="8" t="n">
        <x:v>4.2936</x:v>
      </x:c>
      <x:c r="L168" s="8" t="n">
        <x:v>1.7911</x:v>
      </x:c>
      <x:c r="M168" s="8" t="n">
        <x:v>2.0609</x:v>
      </x:c>
      <x:c r="N168" s="8" t="n">
        <x:v>10.2311</x:v>
      </x:c>
    </x:row>
    <x:row r="169" ht="19" customHeight="1">
      <x:c r="A169" s="7" t="n">
        <x:v>37956</x:v>
      </x:c>
      <x:c r="B169" s="8" t="n">
        <x:v>2.85190547707</x:v>
      </x:c>
      <x:c r="C169" s="8" t="n">
        <x:v>2.77695921163</x:v>
      </x:c>
      <x:c r="D169" s="8" t="n">
        <x:v>4.19073907058</x:v>
      </x:c>
      <x:c r="E169" s="8" t="n">
        <x:v>11.1863145077</x:v>
      </x:c>
      <x:c r="F169" s="8" t="n">
        <x:v>109.31</x:v>
      </x:c>
      <x:c r="G169" s="8" t="n">
        <x:v>32.2049</x:v>
      </x:c>
      <x:c r="H169" s="8" t="n">
        <x:v>27.2303</x:v>
      </x:c>
      <x:c r="I169" s="8" t="n">
        <x:v>27.4117</x:v>
      </x:c>
      <x:c r="J169" s="8" t="n">
        <x:v>2.6427</x:v>
      </x:c>
      <x:c r="K169" s="8" t="n">
        <x:v>5.0782</x:v>
      </x:c>
      <x:c r="L169" s="8" t="n">
        <x:v>0.5441</x:v>
      </x:c>
      <x:c r="M169" s="8" t="n">
        <x:v>1.2436</x:v>
      </x:c>
      <x:c r="N169" s="8" t="n">
        <x:v>12.9545</x:v>
      </x:c>
    </x:row>
    <x:row r="170" ht="19" customHeight="1">
      <x:c r="A170" s="7" t="n">
        <x:v>37987</x:v>
      </x:c>
      <x:c r="B170" s="8" t="n">
        <x:v>2.91324876525</x:v>
      </x:c>
      <x:c r="C170" s="8" t="n">
        <x:v>2.82079082406</x:v>
      </x:c>
      <x:c r="D170" s="8" t="n">
        <x:v>4.19220333821</x:v>
      </x:c>
      <x:c r="E170" s="8" t="n">
        <x:v>11.1798544297</x:v>
      </x:c>
      <x:c r="F170" s="8" t="n">
        <x:v>85.5</x:v>
      </x:c>
      <x:c r="G170" s="8" t="n">
        <x:v>23.2735</x:v>
      </x:c>
      <x:c r="H170" s="8" t="n">
        <x:v>24.6375</x:v>
      </x:c>
      <x:c r="I170" s="8" t="n">
        <x:v>17.6825</x:v>
      </x:c>
      <x:c r="J170" s="8" t="n">
        <x:v>3.1457</x:v>
      </x:c>
      <x:c r="K170" s="8" t="n">
        <x:v>5.5296</x:v>
      </x:c>
      <x:c r="L170" s="8" t="n">
        <x:v>0.4669</x:v>
      </x:c>
      <x:c r="M170" s="8" t="n">
        <x:v>0.7127</x:v>
      </x:c>
      <x:c r="N170" s="8" t="n">
        <x:v>10.0516</x:v>
      </x:c>
    </x:row>
    <x:row r="171" ht="19" customHeight="1">
      <x:c r="A171" s="7" t="n">
        <x:v>38018</x:v>
      </x:c>
      <x:c r="B171" s="8" t="n">
        <x:v>2.92211859642</x:v>
      </x:c>
      <x:c r="C171" s="8" t="n">
        <x:v>2.80512798238</x:v>
      </x:c>
      <x:c r="D171" s="8" t="n">
        <x:v>4.19893126434</x:v>
      </x:c>
      <x:c r="E171" s="8" t="n">
        <x:v>11.1790792374</x:v>
      </x:c>
      <x:c r="F171" s="8" t="n">
        <x:v>92.3</x:v>
      </x:c>
      <x:c r="G171" s="8" t="n">
        <x:v>19.2657</x:v>
      </x:c>
      <x:c r="H171" s="8" t="n">
        <x:v>22.0679</x:v>
      </x:c>
      <x:c r="I171" s="8" t="n">
        <x:v>19.9912</x:v>
      </x:c>
      <x:c r="J171" s="8" t="n">
        <x:v>8.8322</x:v>
      </x:c>
      <x:c r="K171" s="8" t="n">
        <x:v>9.7829</x:v>
      </x:c>
      <x:c r="L171" s="8" t="n">
        <x:v>0.9758</x:v>
      </x:c>
      <x:c r="M171" s="8" t="n">
        <x:v>0.8007</x:v>
      </x:c>
      <x:c r="N171" s="8" t="n">
        <x:v>10.5836</x:v>
      </x:c>
    </x:row>
    <x:row r="172" ht="19" customHeight="1">
      <x:c r="A172" s="7" t="n">
        <x:v>38047</x:v>
      </x:c>
      <x:c r="B172" s="8" t="n">
        <x:v>2.9773930325</x:v>
      </x:c>
      <x:c r="C172" s="8" t="n">
        <x:v>2.88894547846</x:v>
      </x:c>
      <x:c r="D172" s="8" t="n">
        <x:v>4.20020179627</x:v>
      </x:c>
      <x:c r="E172" s="8" t="n">
        <x:v>11.1864018245</x:v>
      </x:c>
      <x:c r="F172" s="8" t="n">
        <x:v>103.7</x:v>
      </x:c>
      <x:c r="G172" s="8" t="n">
        <x:v>26.2473</x:v>
      </x:c>
      <x:c r="H172" s="8" t="n">
        <x:v>20.8227</x:v>
      </x:c>
      <x:c r="I172" s="8" t="n">
        <x:v>31.0638</x:v>
      </x:c>
      <x:c r="J172" s="8" t="n">
        <x:v>5.0354</x:v>
      </x:c>
      <x:c r="K172" s="8" t="n">
        <x:v>4.9138</x:v>
      </x:c>
      <x:c r="L172" s="8" t="n">
        <x:v>4.9624</x:v>
      </x:c>
      <x:c r="M172" s="8" t="n">
        <x:v>1.0217</x:v>
      </x:c>
      <x:c r="N172" s="8" t="n">
        <x:v>9.6329</x:v>
      </x:c>
    </x:row>
    <x:row r="173" ht="19" customHeight="1">
      <x:c r="A173" s="7" t="n">
        <x:v>38078</x:v>
      </x:c>
      <x:c r="B173" s="8" t="n">
        <x:v>2.97606304184</x:v>
      </x:c>
      <x:c r="C173" s="8" t="n">
        <x:v>2.88615321981</x:v>
      </x:c>
      <x:c r="D173" s="8" t="n">
        <x:v>4.20581217383</x:v>
      </x:c>
      <x:c r="E173" s="8" t="n">
        <x:v>11.1807716207</x:v>
      </x:c>
      <x:c r="F173" s="8" t="n">
        <x:v>116.01</x:v>
      </x:c>
      <x:c r="G173" s="8" t="n">
        <x:v>51.445</x:v>
      </x:c>
      <x:c r="H173" s="8" t="n">
        <x:v>19.9328</x:v>
      </x:c>
      <x:c r="I173" s="8" t="n">
        <x:v>26.0475</x:v>
      </x:c>
      <x:c r="J173" s="8" t="n">
        <x:v>3.6832</x:v>
      </x:c>
      <x:c r="K173" s="8" t="n">
        <x:v>3.1295</x:v>
      </x:c>
      <x:c r="L173" s="8" t="n">
        <x:v>0.6741</x:v>
      </x:c>
      <x:c r="M173" s="8" t="n">
        <x:v>0.7222</x:v>
      </x:c>
      <x:c r="N173" s="8" t="n">
        <x:v>10.3757</x:v>
      </x:c>
    </x:row>
    <x:row r="174" ht="19" customHeight="1">
      <x:c r="A174" s="7" t="n">
        <x:v>38108</x:v>
      </x:c>
      <x:c r="B174" s="8" t="n">
        <x:v>3.06352002669</x:v>
      </x:c>
      <x:c r="C174" s="8" t="n">
        <x:v>2.99387081842</x:v>
      </x:c>
      <x:c r="D174" s="8" t="n">
        <x:v>4.210531566</x:v>
      </x:c>
      <x:c r="E174" s="8" t="n">
        <x:v>11.186731159</x:v>
      </x:c>
      <x:c r="F174" s="8" t="n">
        <x:v>120.21</x:v>
      </x:c>
      <x:c r="G174" s="8" t="n">
        <x:v>48.6927</x:v>
      </x:c>
      <x:c r="H174" s="8" t="n">
        <x:v>22.0393</x:v>
      </x:c>
      <x:c r="I174" s="8" t="n">
        <x:v>24.2236</x:v>
      </x:c>
      <x:c r="J174" s="8" t="n">
        <x:v>4.8717</x:v>
      </x:c>
      <x:c r="K174" s="8" t="n">
        <x:v>3.0924</x:v>
      </x:c>
      <x:c r="L174" s="8" t="n">
        <x:v>0.7363</x:v>
      </x:c>
      <x:c r="M174" s="8" t="n">
        <x:v>1.1044</x:v>
      </x:c>
      <x:c r="N174" s="8" t="n">
        <x:v>15.4496</x:v>
      </x:c>
    </x:row>
    <x:row r="175" ht="19" customHeight="1">
      <x:c r="A175" s="7" t="n">
        <x:v>38139</x:v>
      </x:c>
      <x:c r="B175" s="8" t="n">
        <x:v>3.00232773342</x:v>
      </x:c>
      <x:c r="C175" s="8" t="n">
        <x:v>2.92443015079</x:v>
      </x:c>
      <x:c r="D175" s="8" t="n">
        <x:v>4.21413592045</x:v>
      </x:c>
      <x:c r="E175" s="8" t="n">
        <x:v>11.2062856106</x:v>
      </x:c>
      <x:c r="F175" s="8" t="n">
        <x:v>110.56</x:v>
      </x:c>
      <x:c r="G175" s="8" t="n">
        <x:v>33.3343</x:v>
      </x:c>
      <x:c r="H175" s="8" t="n">
        <x:v>23.3567</x:v>
      </x:c>
      <x:c r="I175" s="8" t="n">
        <x:v>28.4211</x:v>
      </x:c>
      <x:c r="J175" s="8" t="n">
        <x:v>3.1495</x:v>
      </x:c>
      <x:c r="K175" s="8" t="n">
        <x:v>5.2156</x:v>
      </x:c>
      <x:c r="L175" s="8" t="n">
        <x:v>0.8063</x:v>
      </x:c>
      <x:c r="M175" s="8" t="n">
        <x:v>0.3275</x:v>
      </x:c>
      <x:c r="N175" s="8" t="n">
        <x:v>15.9491</x:v>
      </x:c>
    </x:row>
    <x:row r="176" ht="19" customHeight="1">
      <x:c r="A176" s="7" t="n">
        <x:v>38169</x:v>
      </x:c>
      <x:c r="B176" s="8" t="n">
        <x:v>3.07108597547</x:v>
      </x:c>
      <x:c r="C176" s="8" t="n">
        <x:v>3.00625314914</x:v>
      </x:c>
      <x:c r="D176" s="8" t="n">
        <x:v>4.2182286542</x:v>
      </x:c>
      <x:c r="E176" s="8" t="n">
        <x:v>11.2106932778</x:v>
      </x:c>
      <x:c r="F176" s="8" t="n">
        <x:v>97.74</x:v>
      </x:c>
      <x:c r="G176" s="8" t="n">
        <x:v>24.4039</x:v>
      </x:c>
      <x:c r="H176" s="8" t="n">
        <x:v>20.7931</x:v>
      </x:c>
      <x:c r="I176" s="8" t="n">
        <x:v>26.9688</x:v>
      </x:c>
      <x:c r="J176" s="8" t="n">
        <x:v>4.7563</x:v>
      </x:c>
      <x:c r="K176" s="8" t="n">
        <x:v>2.7392</x:v>
      </x:c>
      <x:c r="L176" s="8" t="n">
        <x:v>0.3237</x:v>
      </x:c>
      <x:c r="M176" s="8" t="n">
        <x:v>1.6684</x:v>
      </x:c>
      <x:c r="N176" s="8" t="n">
        <x:v>16.0866</x:v>
      </x:c>
    </x:row>
    <x:row r="177" ht="19" customHeight="1">
      <x:c r="A177" s="7" t="n">
        <x:v>38200</x:v>
      </x:c>
      <x:c r="B177" s="8" t="n">
        <x:v>3.16680332412</x:v>
      </x:c>
      <x:c r="C177" s="8" t="n">
        <x:v>3.11750077926</x:v>
      </x:c>
      <x:c r="D177" s="8" t="n">
        <x:v>4.21470039327</x:v>
      </x:c>
      <x:c r="E177" s="8" t="n">
        <x:v>11.1969140116</x:v>
      </x:c>
      <x:c r="F177" s="8" t="n">
        <x:v>110.78</x:v>
      </x:c>
      <x:c r="G177" s="8" t="n">
        <x:v>30.3634</x:v>
      </x:c>
      <x:c r="H177" s="8" t="n">
        <x:v>16.5055</x:v>
      </x:c>
      <x:c r="I177" s="8" t="n">
        <x:v>36.9704</x:v>
      </x:c>
      <x:c r="J177" s="8" t="n">
        <x:v>5.3667</x:v>
      </x:c>
      <x:c r="K177" s="8" t="n">
        <x:v>3.5062</x:v>
      </x:c>
      <x:c r="L177" s="8" t="n">
        <x:v>1.0018</x:v>
      </x:c>
      <x:c r="M177" s="8" t="n">
        <x:v>0.5247</x:v>
      </x:c>
      <x:c r="N177" s="8" t="n">
        <x:v>16.5413</x:v>
      </x:c>
    </x:row>
    <x:row r="178" ht="19" customHeight="1">
      <x:c r="A178" s="7" t="n">
        <x:v>38231</x:v>
      </x:c>
      <x:c r="B178" s="8" t="n">
        <x:v>3.18653549707</x:v>
      </x:c>
      <x:c r="C178" s="8" t="n">
        <x:v>3.12503979506</x:v>
      </x:c>
      <x:c r="D178" s="8" t="n">
        <x:v>4.22234573942</x:v>
      </x:c>
      <x:c r="E178" s="8" t="n">
        <x:v>11.2028977513</x:v>
      </x:c>
      <x:c r="F178" s="8" t="n">
        <x:v>107.09</x:v>
      </x:c>
      <x:c r="G178" s="8" t="n">
        <x:v>33.1294</x:v>
      </x:c>
      <x:c r="H178" s="8" t="n">
        <x:v>16.7236</x:v>
      </x:c>
      <x:c r="I178" s="8" t="n">
        <x:v>30.8801</x:v>
      </x:c>
      <x:c r="J178" s="8" t="n">
        <x:v>3.2274</x:v>
      </x:c>
      <x:c r="K178" s="8" t="n">
        <x:v>8.753</x:v>
      </x:c>
      <x:c r="L178" s="8" t="n">
        <x:v>0.7579</x:v>
      </x:c>
      <x:c r="M178" s="8" t="n">
        <x:v>1.6626</x:v>
      </x:c>
      <x:c r="N178" s="8" t="n">
        <x:v>11.9559</x:v>
      </x:c>
    </x:row>
    <x:row r="179" ht="19" customHeight="1">
      <x:c r="A179" s="7" t="n">
        <x:v>38261</x:v>
      </x:c>
      <x:c r="B179" s="8" t="n">
        <x:v>3.32950545321</x:v>
      </x:c>
      <x:c r="C179" s="8" t="n">
        <x:v>3.26155772391</x:v>
      </x:c>
      <x:c r="D179" s="8" t="n">
        <x:v>4.22739499297</x:v>
      </x:c>
      <x:c r="E179" s="8" t="n">
        <x:v>11.212489135</x:v>
      </x:c>
      <x:c r="F179" s="8" t="n">
        <x:v>91.02</x:v>
      </x:c>
      <x:c r="G179" s="8" t="n">
        <x:v>31.9612</x:v>
      </x:c>
      <x:c r="H179" s="8" t="n">
        <x:v>16.197</x:v>
      </x:c>
      <x:c r="I179" s="8" t="n">
        <x:v>20.457</x:v>
      </x:c>
      <x:c r="J179" s="8" t="n">
        <x:v>4.8978</x:v>
      </x:c>
      <x:c r="K179" s="8" t="n">
        <x:v>4.5789</x:v>
      </x:c>
      <x:c r="L179" s="8" t="n">
        <x:v>0.2961</x:v>
      </x:c>
      <x:c r="M179" s="8" t="n">
        <x:v>0.7745</x:v>
      </x:c>
      <x:c r="N179" s="8" t="n">
        <x:v>11.8573</x:v>
      </x:c>
    </x:row>
    <x:row r="180" ht="19" customHeight="1">
      <x:c r="A180" s="7" t="n">
        <x:v>38292</x:v>
      </x:c>
      <x:c r="B180" s="8" t="n">
        <x:v>3.23018358579</x:v>
      </x:c>
      <x:c r="C180" s="8" t="n">
        <x:v>3.1129935247</x:v>
      </x:c>
      <x:c r="D180" s="8" t="n">
        <x:v>4.22456496507</x:v>
      </x:c>
      <x:c r="E180" s="8" t="n">
        <x:v>11.2131245484</x:v>
      </x:c>
      <x:c r="F180" s="8" t="n">
        <x:v>101.95</x:v>
      </x:c>
      <x:c r="G180" s="8" t="n">
        <x:v>36.3153</x:v>
      </x:c>
      <x:c r="H180" s="8" t="n">
        <x:v>23.2095</x:v>
      </x:c>
      <x:c r="I180" s="8" t="n">
        <x:v>17.1658</x:v>
      </x:c>
      <x:c r="J180" s="8" t="n">
        <x:v>6.4802</x:v>
      </x:c>
      <x:c r="K180" s="8" t="n">
        <x:v>7.1678</x:v>
      </x:c>
      <x:c r="L180" s="8" t="n">
        <x:v>0.5554</x:v>
      </x:c>
      <x:c r="M180" s="8" t="n">
        <x:v>1.0051</x:v>
      </x:c>
      <x:c r="N180" s="8" t="n">
        <x:v>10.0508</x:v>
      </x:c>
    </x:row>
    <x:row r="181" ht="19" customHeight="1">
      <x:c r="A181" s="7" t="n">
        <x:v>38322</x:v>
      </x:c>
      <x:c r="B181" s="8" t="n">
        <x:v>3.11392095347</x:v>
      </x:c>
      <x:c r="C181" s="8" t="n">
        <x:v>3.0280676542</x:v>
      </x:c>
      <x:c r="D181" s="8" t="n">
        <x:v>4.23040380005</x:v>
      </x:c>
      <x:c r="E181" s="8" t="n">
        <x:v>11.2082483108</x:v>
      </x:c>
      <x:c r="F181" s="8" t="n">
        <x:v>90.35</x:v>
      </x:c>
      <x:c r="G181" s="8" t="n">
        <x:v>27.9687</x:v>
      </x:c>
      <x:c r="H181" s="8" t="n">
        <x:v>23.1389</x:v>
      </x:c>
      <x:c r="I181" s="8" t="n">
        <x:v>18.0133</x:v>
      </x:c>
      <x:c r="J181" s="8" t="n">
        <x:v>4.0659</x:v>
      </x:c>
      <x:c r="K181" s="8" t="n">
        <x:v>2.686</x:v>
      </x:c>
      <x:c r="L181" s="8" t="n">
        <x:v>0.5914</x:v>
      </x:c>
      <x:c r="M181" s="8" t="n">
        <x:v>0.5914</x:v>
      </x:c>
      <x:c r="N181" s="8" t="n">
        <x:v>13.2944</x:v>
      </x:c>
    </x:row>
    <x:row r="182" ht="19" customHeight="1">
      <x:c r="A182" s="7" t="n">
        <x:v>38353</x:v>
      </x:c>
      <x:c r="B182" s="8" t="n">
        <x:v>3.19649785918</x:v>
      </x:c>
      <x:c r="C182" s="8" t="n">
        <x:v>3.14547420348</x:v>
      </x:c>
      <x:c r="D182" s="8" t="n">
        <x:v>4.23844078497</x:v>
      </x:c>
      <x:c r="E182" s="8" t="n">
        <x:v>11.2009198525</x:v>
      </x:c>
      <x:c r="F182" s="8" t="n">
        <x:v>82.01</x:v>
      </x:c>
      <x:c r="G182" s="8" t="n">
        <x:v>23.2838</x:v>
      </x:c>
      <x:c r="H182" s="8" t="n">
        <x:v>17.4689</x:v>
      </x:c>
      <x:c r="I182" s="8" t="n">
        <x:v>15.7148</x:v>
      </x:c>
      <x:c r="J182" s="8" t="n">
        <x:v>4.8057</x:v>
      </x:c>
      <x:c r="K182" s="8" t="n">
        <x:v>2.6912</x:v>
      </x:c>
      <x:c r="L182" s="8" t="n">
        <x:v>0.2643</x:v>
      </x:c>
      <x:c r="M182" s="8" t="n">
        <x:v>0.6968</x:v>
      </x:c>
      <x:c r="N182" s="8" t="n">
        <x:v>17.0844</x:v>
      </x:c>
    </x:row>
    <x:row r="183" ht="19" customHeight="1">
      <x:c r="A183" s="7" t="n">
        <x:v>38384</x:v>
      </x:c>
      <x:c r="B183" s="8" t="n">
        <x:v>3.219914786</x:v>
      </x:c>
      <x:c r="C183" s="8" t="n">
        <x:v>3.16286631664</x:v>
      </x:c>
      <x:c r="D183" s="8" t="n">
        <x:v>4.2409776632</x:v>
      </x:c>
      <x:c r="E183" s="8" t="n">
        <x:v>11.2117983314</x:v>
      </x:c>
      <x:c r="F183" s="8" t="n">
        <x:v>77.8</x:v>
      </x:c>
      <x:c r="G183" s="8" t="n">
        <x:v>15.0264</x:v>
      </x:c>
      <x:c r="H183" s="8" t="n">
        <x:v>22.8222</x:v>
      </x:c>
      <x:c r="I183" s="8" t="n">
        <x:v>13.7798</x:v>
      </x:c>
      <x:c r="J183" s="8" t="n">
        <x:v>3.3909</x:v>
      </x:c>
      <x:c r="K183" s="8" t="n">
        <x:v>7.1143</x:v>
      </x:c>
      <x:c r="L183" s="8" t="n">
        <x:v>2.2939</x:v>
      </x:c>
      <x:c r="M183" s="8" t="n">
        <x:v>0.9641</x:v>
      </x:c>
      <x:c r="N183" s="8" t="n">
        <x:v>12.4084</x:v>
      </x:c>
    </x:row>
    <x:row r="184" ht="19" customHeight="1">
      <x:c r="A184" s="7" t="n">
        <x:v>38412</x:v>
      </x:c>
      <x:c r="B184" s="8" t="n">
        <x:v>3.33445838613</x:v>
      </x:c>
      <x:c r="C184" s="8" t="n">
        <x:v>3.3141389248</x:v>
      </x:c>
      <x:c r="D184" s="8" t="n">
        <x:v>4.24246770089</x:v>
      </x:c>
      <x:c r="E184" s="8" t="n">
        <x:v>11.211279334</x:v>
      </x:c>
      <x:c r="F184" s="8" t="n">
        <x:v>75.08</x:v>
      </x:c>
      <x:c r="G184" s="8" t="n">
        <x:v>14.6591</x:v>
      </x:c>
      <x:c r="H184" s="8" t="n">
        <x:v>26.8325</x:v>
      </x:c>
      <x:c r="I184" s="8" t="n">
        <x:v>13.2569</x:v>
      </x:c>
      <x:c r="J184" s="8" t="n">
        <x:v>3.1797</x:v>
      </x:c>
      <x:c r="K184" s="8" t="n">
        <x:v>4.0366</x:v>
      </x:c>
      <x:c r="L184" s="8" t="n">
        <x:v>1.7563</x:v>
      </x:c>
      <x:c r="M184" s="8" t="n">
        <x:v>0.5665</x:v>
      </x:c>
      <x:c r="N184" s="8" t="n">
        <x:v>10.7925</x:v>
      </x:c>
    </x:row>
    <x:row r="185" ht="19" customHeight="1">
      <x:c r="A185" s="7" t="n">
        <x:v>38443</x:v>
      </x:c>
      <x:c r="B185" s="8" t="n">
        <x:v>3.30877409942</x:v>
      </x:c>
      <x:c r="C185" s="8" t="n">
        <x:v>3.28779297502</x:v>
      </x:c>
      <x:c r="D185" s="8" t="n">
        <x:v>4.25092311383</x:v>
      </x:c>
      <x:c r="E185" s="8" t="n">
        <x:v>11.2186348172</x:v>
      </x:c>
      <x:c r="F185" s="8" t="n">
        <x:v>62.75</x:v>
      </x:c>
      <x:c r="G185" s="8" t="n">
        <x:v>11.5955</x:v>
      </x:c>
      <x:c r="H185" s="8" t="n">
        <x:v>21.9359</x:v>
      </x:c>
      <x:c r="I185" s="8" t="n">
        <x:v>12.0844</x:v>
      </x:c>
      <x:c r="J185" s="8" t="n">
        <x:v>3.313</x:v>
      </x:c>
      <x:c r="K185" s="8" t="n">
        <x:v>3.2108</x:v>
      </x:c>
      <x:c r="L185" s="8" t="n">
        <x:v>0.9778</x:v>
      </x:c>
      <x:c r="M185" s="8" t="n">
        <x:v>0.5692</x:v>
      </x:c>
      <x:c r="N185" s="8" t="n">
        <x:v>9.0633</x:v>
      </x:c>
    </x:row>
    <x:row r="186" ht="19" customHeight="1">
      <x:c r="A186" s="7" t="n">
        <x:v>38473</x:v>
      </x:c>
      <x:c r="B186" s="8" t="n">
        <x:v>3.24799322344</x:v>
      </x:c>
      <x:c r="C186" s="8" t="n">
        <x:v>3.22402781978</x:v>
      </x:c>
      <x:c r="D186" s="8" t="n">
        <x:v>4.24880431695</x:v>
      </x:c>
      <x:c r="E186" s="8" t="n">
        <x:v>11.221932036</x:v>
      </x:c>
      <x:c r="F186" s="8" t="n">
        <x:v>78.13</x:v>
      </x:c>
      <x:c r="G186" s="8" t="n">
        <x:v>16.0161</x:v>
      </x:c>
      <x:c r="H186" s="8" t="n">
        <x:v>25.9595</x:v>
      </x:c>
      <x:c r="I186" s="8" t="n">
        <x:v>13.4941</x:v>
      </x:c>
      <x:c r="J186" s="8" t="n">
        <x:v>4.6022</x:v>
      </x:c>
      <x:c r="K186" s="8" t="n">
        <x:v>7.0404</x:v>
      </x:c>
      <x:c r="L186" s="8" t="n">
        <x:v>0.3657</x:v>
      </x:c>
      <x:c r="M186" s="8" t="n">
        <x:v>0.4724</x:v>
      </x:c>
      <x:c r="N186" s="8" t="n">
        <x:v>10.1796</x:v>
      </x:c>
    </x:row>
    <x:row r="187" ht="19" customHeight="1">
      <x:c r="A187" s="7" t="n">
        <x:v>38504</x:v>
      </x:c>
      <x:c r="B187" s="8" t="n">
        <x:v>3.37044185606</x:v>
      </x:c>
      <x:c r="C187" s="8" t="n">
        <x:v>3.33430422914</x:v>
      </x:c>
      <x:c r="D187" s="8" t="n">
        <x:v>4.25053400384</x:v>
      </x:c>
      <x:c r="E187" s="8" t="n">
        <x:v>11.213753489</x:v>
      </x:c>
      <x:c r="F187" s="8" t="n">
        <x:v>72.47</x:v>
      </x:c>
      <x:c r="G187" s="8" t="n">
        <x:v>19.5569</x:v>
      </x:c>
      <x:c r="H187" s="8" t="n">
        <x:v>22.299</x:v>
      </x:c>
      <x:c r="I187" s="8" t="n">
        <x:v>13.6884</x:v>
      </x:c>
      <x:c r="J187" s="8" t="n">
        <x:v>3.3851</x:v>
      </x:c>
      <x:c r="K187" s="8" t="n">
        <x:v>3.3851</x:v>
      </x:c>
      <x:c r="L187" s="8" t="n">
        <x:v>0.34</x:v>
      </x:c>
      <x:c r="M187" s="8" t="n">
        <x:v>0.1626</x:v>
      </x:c>
      <x:c r="N187" s="8" t="n">
        <x:v>9.6528</x:v>
      </x:c>
    </x:row>
    <x:row r="188" ht="19" customHeight="1">
      <x:c r="A188" s="7" t="n">
        <x:v>38534</x:v>
      </x:c>
      <x:c r="B188" s="8" t="n">
        <x:v>3.41022102338</x:v>
      </x:c>
      <x:c r="C188" s="8" t="n">
        <x:v>3.38481629289</x:v>
      </x:c>
      <x:c r="D188" s="8" t="n">
        <x:v>4.25207838905</x:v>
      </x:c>
      <x:c r="E188" s="8" t="n">
        <x:v>11.2147480014</x:v>
      </x:c>
      <x:c r="F188" s="8" t="n">
        <x:v>99.25</x:v>
      </x:c>
      <x:c r="G188" s="8" t="n">
        <x:v>16.0503</x:v>
      </x:c>
      <x:c r="H188" s="8" t="n">
        <x:v>21.65</x:v>
      </x:c>
      <x:c r="I188" s="8" t="n">
        <x:v>44.2827</x:v>
      </x:c>
      <x:c r="J188" s="8" t="n">
        <x:v>2.9792</x:v>
      </x:c>
      <x:c r="K188" s="8" t="n">
        <x:v>2.6829</x:v>
      </x:c>
      <x:c r="L188" s="8" t="n">
        <x:v>0.1248</x:v>
      </x:c>
      <x:c r="M188" s="8" t="n">
        <x:v>0.4835</x:v>
      </x:c>
      <x:c r="N188" s="8" t="n">
        <x:v>10.9966</x:v>
      </x:c>
    </x:row>
    <x:row r="189" ht="19" customHeight="1">
      <x:c r="A189" s="7" t="n">
        <x:v>38565</x:v>
      </x:c>
      <x:c r="B189" s="8" t="n">
        <x:v>3.50077886469</x:v>
      </x:c>
      <x:c r="C189" s="8" t="n">
        <x:v>3.48511598731</x:v>
      </x:c>
      <x:c r="D189" s="8" t="n">
        <x:v>4.25663616287</x:v>
      </x:c>
      <x:c r="E189" s="8" t="n">
        <x:v>11.2160319236</x:v>
      </x:c>
      <x:c r="F189" s="8" t="n">
        <x:v>87.08</x:v>
      </x:c>
      <x:c r="G189" s="8" t="n">
        <x:v>21.7397</x:v>
      </x:c>
      <x:c r="H189" s="8" t="n">
        <x:v>22.2892</x:v>
      </x:c>
      <x:c r="I189" s="8" t="n">
        <x:v>19.5253</x:v>
      </x:c>
      <x:c r="J189" s="8" t="n">
        <x:v>5.843</x:v>
      </x:c>
      <x:c r="K189" s="8" t="n">
        <x:v>5.4147</x:v>
      </x:c>
      <x:c r="L189" s="8" t="n">
        <x:v>0.6304</x:v>
      </x:c>
      <x:c r="M189" s="8" t="n">
        <x:v>0.194</x:v>
      </x:c>
      <x:c r="N189" s="8" t="n">
        <x:v>11.4436</x:v>
      </x:c>
    </x:row>
    <x:row r="190" ht="19" customHeight="1">
      <x:c r="A190" s="7" t="n">
        <x:v>38596</x:v>
      </x:c>
      <x:c r="B190" s="8" t="n">
        <x:v>3.49629413707</x:v>
      </x:c>
      <x:c r="C190" s="8" t="n">
        <x:v>3.45457602535</x:v>
      </x:c>
      <x:c r="D190" s="8" t="n">
        <x:v>4.25653167894</x:v>
      </x:c>
      <x:c r="E190" s="8" t="n">
        <x:v>11.1986067392</x:v>
      </x:c>
      <x:c r="F190" s="8" t="n">
        <x:v>59.23</x:v>
      </x:c>
      <x:c r="G190" s="8" t="n">
        <x:v>14.0147</x:v>
      </x:c>
      <x:c r="H190" s="8" t="n">
        <x:v>15.5507</x:v>
      </x:c>
      <x:c r="I190" s="8" t="n">
        <x:v>11.6365</x:v>
      </x:c>
      <x:c r="J190" s="8" t="n">
        <x:v>3.6382</x:v>
      </x:c>
      <x:c r="K190" s="8" t="n">
        <x:v>4.3035</x:v>
      </x:c>
      <x:c r="L190" s="8" t="n">
        <x:v>0.0142</x:v>
      </x:c>
      <x:c r="M190" s="8" t="n">
        <x:v>0.184</x:v>
      </x:c>
      <x:c r="N190" s="8" t="n">
        <x:v>9.8882</x:v>
      </x:c>
    </x:row>
    <x:row r="191" ht="19" customHeight="1">
      <x:c r="A191" s="7" t="n">
        <x:v>38626</x:v>
      </x:c>
      <x:c r="B191" s="8" t="n">
        <x:v>3.44268213993</x:v>
      </x:c>
      <x:c r="C191" s="8" t="n">
        <x:v>3.38107325618</x:v>
      </x:c>
      <x:c r="D191" s="8" t="n">
        <x:v>4.26218365933</x:v>
      </x:c>
      <x:c r="E191" s="8" t="n">
        <x:v>11.2076410971</x:v>
      </x:c>
      <x:c r="F191" s="8" t="n">
        <x:v>64.8</x:v>
      </x:c>
      <x:c r="G191" s="8" t="n">
        <x:v>14.0952</x:v>
      </x:c>
      <x:c r="H191" s="8" t="n">
        <x:v>17.743</x:v>
      </x:c>
      <x:c r="I191" s="8" t="n">
        <x:v>14.3141</x:v>
      </x:c>
      <x:c r="J191" s="8" t="n">
        <x:v>3.6478</x:v>
      </x:c>
      <x:c r="K191" s="8" t="n">
        <x:v>1.3424</x:v>
      </x:c>
      <x:c r="L191" s="8" t="n">
        <x:v>0.2043</x:v>
      </x:c>
      <x:c r="M191" s="8" t="n">
        <x:v>1.0943</x:v>
      </x:c>
      <x:c r="N191" s="8" t="n">
        <x:v>12.3588</x:v>
      </x:c>
    </x:row>
    <x:row r="192" ht="19" customHeight="1">
      <x:c r="A192" s="7" t="n">
        <x:v>38657</x:v>
      </x:c>
      <x:c r="B192" s="8" t="n">
        <x:v>3.38234331998</x:v>
      </x:c>
      <x:c r="C192" s="8" t="n">
        <x:v>3.32808556082</x:v>
      </x:c>
      <x:c r="D192" s="8" t="n">
        <x:v>4.27200794672</x:v>
      </x:c>
      <x:c r="E192" s="8" t="n">
        <x:v>11.2168831294</x:v>
      </x:c>
      <x:c r="F192" s="8" t="n">
        <x:v>71.81</x:v>
      </x:c>
      <x:c r="G192" s="8" t="n">
        <x:v>16.0393</x:v>
      </x:c>
      <x:c r="H192" s="8" t="n">
        <x:v>20.931</x:v>
      </x:c>
      <x:c r="I192" s="8" t="n">
        <x:v>16.4862</x:v>
      </x:c>
      <x:c r="J192" s="8" t="n">
        <x:v>6.2242</x:v>
      </x:c>
      <x:c r="K192" s="8" t="n">
        <x:v>2.5376</x:v>
      </x:c>
      <x:c r="L192" s="8" t="n">
        <x:v>0</x:v>
      </x:c>
      <x:c r="M192" s="8" t="n">
        <x:v>0.4628</x:v>
      </x:c>
      <x:c r="N192" s="8" t="n">
        <x:v>9.1289</x:v>
      </x:c>
    </x:row>
    <x:row r="193" ht="19" customHeight="1">
      <x:c r="A193" s="7" t="n">
        <x:v>38687</x:v>
      </x:c>
      <x:c r="B193" s="8" t="n">
        <x:v>3.40086079465</x:v>
      </x:c>
      <x:c r="C193" s="8" t="n">
        <x:v>3.35699033851</x:v>
      </x:c>
      <x:c r="D193" s="8" t="n">
        <x:v>4.27688470998</x:v>
      </x:c>
      <x:c r="E193" s="8" t="n">
        <x:v>11.2184906708</x:v>
      </x:c>
      <x:c r="F193" s="8" t="n">
        <x:v>81.18</x:v>
      </x:c>
      <x:c r="G193" s="8" t="n">
        <x:v>20.7535</x:v>
      </x:c>
      <x:c r="H193" s="8" t="n">
        <x:v>23.4108</x:v>
      </x:c>
      <x:c r="I193" s="8" t="n">
        <x:v>14.4095</x:v>
      </x:c>
      <x:c r="J193" s="8" t="n">
        <x:v>6.082</x:v>
      </x:c>
      <x:c r="K193" s="8" t="n">
        <x:v>1.5532</x:v>
      </x:c>
      <x:c r="L193" s="8" t="n">
        <x:v>0.0187</x:v>
      </x:c>
      <x:c r="M193" s="8" t="n">
        <x:v>0.3181</x:v>
      </x:c>
      <x:c r="N193" s="8" t="n">
        <x:v>14.6341</x:v>
      </x:c>
    </x:row>
    <x:row r="194" ht="19" customHeight="1">
      <x:c r="A194" s="7" t="n">
        <x:v>38718</x:v>
      </x:c>
      <x:c r="B194" s="8" t="n">
        <x:v>3.492256418</x:v>
      </x:c>
      <x:c r="C194" s="8" t="n">
        <x:v>3.4533349424</x:v>
      </x:c>
      <x:c r="D194" s="8" t="n">
        <x:v>4.28072354824</x:v>
      </x:c>
      <x:c r="E194" s="8" t="n">
        <x:v>11.2137835115</x:v>
      </x:c>
      <x:c r="F194" s="8" t="n">
        <x:v>73.17</x:v>
      </x:c>
      <x:c r="G194" s="8" t="n">
        <x:v>14.3403</x:v>
      </x:c>
      <x:c r="H194" s="8" t="n">
        <x:v>25.2427</x:v>
      </x:c>
      <x:c r="I194" s="8" t="n">
        <x:v>11.9919</x:v>
      </x:c>
      <x:c r="J194" s="8" t="n">
        <x:v>3.5185</x:v>
      </x:c>
      <x:c r="K194" s="8" t="n">
        <x:v>7.9247</x:v>
      </x:c>
      <x:c r="L194" s="8" t="n">
        <x:v>0.1453</x:v>
      </x:c>
      <x:c r="M194" s="8" t="n">
        <x:v>0.694</x:v>
      </x:c>
      <x:c r="N194" s="8" t="n">
        <x:v>9.3127</x:v>
      </x:c>
    </x:row>
    <x:row r="195" ht="19" customHeight="1">
      <x:c r="A195" s="7" t="n">
        <x:v>38749</x:v>
      </x:c>
      <x:c r="B195" s="8" t="n">
        <x:v>3.43100609343</x:v>
      </x:c>
      <x:c r="C195" s="8" t="n">
        <x:v>3.40769577994</x:v>
      </x:c>
      <x:c r="D195" s="8" t="n">
        <x:v>4.28269966257</x:v>
      </x:c>
      <x:c r="E195" s="8" t="n">
        <x:v>11.2201501774</x:v>
      </x:c>
      <x:c r="F195" s="8" t="n">
        <x:v>81.69</x:v>
      </x:c>
      <x:c r="G195" s="8" t="n">
        <x:v>12.054</x:v>
      </x:c>
      <x:c r="H195" s="8" t="n">
        <x:v>33.2904</x:v>
      </x:c>
      <x:c r="I195" s="8" t="n">
        <x:v>11.7535</x:v>
      </x:c>
      <x:c r="J195" s="8" t="n">
        <x:v>7.8468</x:v>
      </x:c>
      <x:c r="K195" s="8" t="n">
        <x:v>5.6263</x:v>
      </x:c>
      <x:c r="L195" s="8" t="n">
        <x:v>0.6511</x:v>
      </x:c>
      <x:c r="M195" s="8" t="n">
        <x:v>1.3356</x:v>
      </x:c>
      <x:c r="N195" s="8" t="n">
        <x:v>9.1323</x:v>
      </x:c>
    </x:row>
    <x:row r="196" ht="19" customHeight="1">
      <x:c r="A196" s="7" t="n">
        <x:v>38777</x:v>
      </x:c>
      <x:c r="B196" s="8" t="n">
        <x:v>3.44655589085</x:v>
      </x:c>
      <x:c r="C196" s="8" t="n">
        <x:v>3.43645560459</x:v>
      </x:c>
      <x:c r="D196" s="8" t="n">
        <x:v>4.28802067447</x:v>
      </x:c>
      <x:c r="E196" s="8" t="n">
        <x:v>11.2218003922</x:v>
      </x:c>
      <x:c r="F196" s="8" t="n">
        <x:v>75.78</x:v>
      </x:c>
      <x:c r="G196" s="8" t="n">
        <x:v>14.2939</x:v>
      </x:c>
      <x:c r="H196" s="8" t="n">
        <x:v>25.1871</x:v>
      </x:c>
      <x:c r="I196" s="8" t="n">
        <x:v>13.2638</x:v>
      </x:c>
      <x:c r="J196" s="8" t="n">
        <x:v>7.5279</x:v>
      </x:c>
      <x:c r="K196" s="8" t="n">
        <x:v>5.0515</x:v>
      </x:c>
      <x:c r="L196" s="8" t="n">
        <x:v>0.4798</x:v>
      </x:c>
      <x:c r="M196" s="8" t="n">
        <x:v>1.1571</x:v>
      </x:c>
      <x:c r="N196" s="8" t="n">
        <x:v>8.819</x:v>
      </x:c>
    </x:row>
    <x:row r="197" ht="19" customHeight="1">
      <x:c r="A197" s="7" t="n">
        <x:v>38808</x:v>
      </x:c>
      <x:c r="B197" s="8" t="n">
        <x:v>3.54382200054</x:v>
      </x:c>
      <x:c r="C197" s="8" t="n">
        <x:v>3.55556157702</x:v>
      </x:c>
      <x:c r="D197" s="8" t="n">
        <x:v>4.28862953439</x:v>
      </x:c>
      <x:c r="E197" s="8" t="n">
        <x:v>11.2119786029</x:v>
      </x:c>
      <x:c r="F197" s="8" t="n">
        <x:v>76.69</x:v>
      </x:c>
      <x:c r="G197" s="8" t="n">
        <x:v>16.005</x:v>
      </x:c>
      <x:c r="H197" s="8" t="n">
        <x:v>20.083</x:v>
      </x:c>
      <x:c r="I197" s="8" t="n">
        <x:v>13.0495</x:v>
      </x:c>
      <x:c r="J197" s="8" t="n">
        <x:v>9.125</x:v>
      </x:c>
      <x:c r="K197" s="8" t="n">
        <x:v>8.1075</x:v>
      </x:c>
      <x:c r="L197" s="8" t="n">
        <x:v>0.4845</x:v>
      </x:c>
      <x:c r="M197" s="8" t="n">
        <x:v>1.3405</x:v>
      </x:c>
      <x:c r="N197" s="8" t="n">
        <x:v>8.4951</x:v>
      </x:c>
    </x:row>
    <x:row r="198" ht="19" customHeight="1">
      <x:c r="A198" s="7" t="n">
        <x:v>38838</x:v>
      </x:c>
      <x:c r="B198" s="8" t="n">
        <x:v>3.56079766626</x:v>
      </x:c>
      <x:c r="C198" s="8" t="n">
        <x:v>3.5457212891</x:v>
      </x:c>
      <x:c r="D198" s="8" t="n">
        <x:v>4.2939362219</x:v>
      </x:c>
      <x:c r="E198" s="8" t="n">
        <x:v>11.2074424653</x:v>
      </x:c>
      <x:c r="F198" s="8" t="n">
        <x:v>79.25</x:v>
      </x:c>
      <x:c r="G198" s="8" t="n">
        <x:v>18.493</x:v>
      </x:c>
      <x:c r="H198" s="8" t="n">
        <x:v>22.3026</x:v>
      </x:c>
      <x:c r="I198" s="8" t="n">
        <x:v>10.7026</x:v>
      </x:c>
      <x:c r="J198" s="8" t="n">
        <x:v>10.8821</x:v>
      </x:c>
      <x:c r="K198" s="8" t="n">
        <x:v>5.6939</x:v>
      </x:c>
      <x:c r="L198" s="8" t="n">
        <x:v>0.6689</x:v>
      </x:c>
      <x:c r="M198" s="8" t="n">
        <x:v>1.3052</x:v>
      </x:c>
      <x:c r="N198" s="8" t="n">
        <x:v>9.2016</x:v>
      </x:c>
    </x:row>
    <x:row r="199" ht="19" customHeight="1">
      <x:c r="A199" s="7" t="n">
        <x:v>38869</x:v>
      </x:c>
      <x:c r="B199" s="8" t="n">
        <x:v>3.55986848167</x:v>
      </x:c>
      <x:c r="C199" s="8" t="n">
        <x:v>3.52560235236</x:v>
      </x:c>
      <x:c r="D199" s="8" t="n">
        <x:v>4.29803339597</x:v>
      </x:c>
      <x:c r="E199" s="8" t="n">
        <x:v>11.2130968274</x:v>
      </x:c>
      <x:c r="F199" s="8" t="n">
        <x:v>85.79</x:v>
      </x:c>
      <x:c r="G199" s="8" t="n">
        <x:v>29.5064</x:v>
      </x:c>
      <x:c r="H199" s="8" t="n">
        <x:v>19.8997</x:v>
      </x:c>
      <x:c r="I199" s="8" t="n">
        <x:v>13.2872</x:v>
      </x:c>
      <x:c r="J199" s="8" t="n">
        <x:v>7.3298</x:v>
      </x:c>
      <x:c r="K199" s="8" t="n">
        <x:v>6.8931</x:v>
      </x:c>
      <x:c r="L199" s="8" t="n">
        <x:v>0</x:v>
      </x:c>
      <x:c r="M199" s="8" t="n">
        <x:v>0.3587</x:v>
      </x:c>
      <x:c r="N199" s="8" t="n">
        <x:v>8.5151</x:v>
      </x:c>
    </x:row>
    <x:row r="200" ht="19" customHeight="1">
      <x:c r="A200" s="7" t="n">
        <x:v>38899</x:v>
      </x:c>
      <x:c r="B200" s="8" t="n">
        <x:v>3.60204728057</x:v>
      </x:c>
      <x:c r="C200" s="8" t="n">
        <x:v>3.59205259985</x:v>
      </x:c>
      <x:c r="D200" s="8" t="n">
        <x:v>4.30001819689</x:v>
      </x:c>
      <x:c r="E200" s="8" t="n">
        <x:v>11.226463661</x:v>
      </x:c>
      <x:c r="F200" s="8" t="n">
        <x:v>118.35</x:v>
      </x:c>
      <x:c r="G200" s="8" t="n">
        <x:v>63.656</x:v>
      </x:c>
      <x:c r="H200" s="8" t="n">
        <x:v>19.0898</x:v>
      </x:c>
      <x:c r="I200" s="8" t="n">
        <x:v>13.6518</x:v>
      </x:c>
      <x:c r="J200" s="8" t="n">
        <x:v>5.9775</x:v>
      </x:c>
      <x:c r="K200" s="8" t="n">
        <x:v>5.6208</x:v>
      </x:c>
      <x:c r="L200" s="8" t="n">
        <x:v>0.2784</x:v>
      </x:c>
      <x:c r="M200" s="8" t="n">
        <x:v>0.7483</x:v>
      </x:c>
      <x:c r="N200" s="8" t="n">
        <x:v>9.3274</x:v>
      </x:c>
    </x:row>
    <x:row r="201" ht="19" customHeight="1">
      <x:c r="A201" s="7" t="n">
        <x:v>38930</x:v>
      </x:c>
      <x:c r="B201" s="8" t="n">
        <x:v>3.57903830149</x:v>
      </x:c>
      <x:c r="C201" s="8" t="n">
        <x:v>3.58163623827</x:v>
      </x:c>
      <x:c r="D201" s="8" t="n">
        <x:v>4.30363057699</x:v>
      </x:c>
      <x:c r="E201" s="8" t="n">
        <x:v>11.2133998674</x:v>
      </x:c>
      <x:c r="F201" s="8" t="n">
        <x:v>122.28</x:v>
      </x:c>
      <x:c r="G201" s="8" t="n">
        <x:v>53.664</x:v>
      </x:c>
      <x:c r="H201" s="8" t="n">
        <x:v>15.7595</x:v>
      </x:c>
      <x:c r="I201" s="8" t="n">
        <x:v>30.0154</x:v>
      </x:c>
      <x:c r="J201" s="8" t="n">
        <x:v>6.8403</x:v>
      </x:c>
      <x:c r="K201" s="8" t="n">
        <x:v>5.2346</x:v>
      </x:c>
      <x:c r="L201" s="8" t="n">
        <x:v>0.0742</x:v>
      </x:c>
      <x:c r="M201" s="8" t="n">
        <x:v>1.188</x:v>
      </x:c>
      <x:c r="N201" s="8" t="n">
        <x:v>9.504</x:v>
      </x:c>
    </x:row>
    <x:row r="202" ht="19" customHeight="1">
      <x:c r="A202" s="7" t="n">
        <x:v>38961</x:v>
      </x:c>
      <x:c r="B202" s="8" t="n">
        <x:v>3.44870310462</x:v>
      </x:c>
      <x:c r="C202" s="8" t="n">
        <x:v>3.41943892982</x:v>
      </x:c>
      <x:c r="D202" s="8" t="n">
        <x:v>4.30654396083</x:v>
      </x:c>
      <x:c r="E202" s="8" t="n">
        <x:v>11.2124761436</x:v>
      </x:c>
      <x:c r="F202" s="8" t="n">
        <x:v>97.05</x:v>
      </x:c>
      <x:c r="G202" s="8" t="n">
        <x:v>29.6654</x:v>
      </x:c>
      <x:c r="H202" s="8" t="n">
        <x:v>28.6329</x:v>
      </x:c>
      <x:c r="I202" s="8" t="n">
        <x:v>16.9097</x:v>
      </x:c>
      <x:c r="J202" s="8" t="n">
        <x:v>5.9093</x:v>
      </x:c>
      <x:c r="K202" s="8" t="n">
        <x:v>3.9872</x:v>
      </x:c>
      <x:c r="L202" s="8" t="n">
        <x:v>1.6203</x:v>
      </x:c>
      <x:c r="M202" s="8" t="n">
        <x:v>1.382</x:v>
      </x:c>
      <x:c r="N202" s="8" t="n">
        <x:v>8.9433</x:v>
      </x:c>
    </x:row>
    <x:row r="203" ht="19" customHeight="1">
      <x:c r="A203" s="7" t="n">
        <x:v>38991</x:v>
      </x:c>
      <x:c r="B203" s="8" t="n">
        <x:v>3.37306895763</x:v>
      </x:c>
      <x:c r="C203" s="8" t="n">
        <x:v>3.35455943176</x:v>
      </x:c>
      <x:c r="D203" s="8" t="n">
        <x:v>4.30707840126</x:v>
      </x:c>
      <x:c r="E203" s="8" t="n">
        <x:v>11.2147393241</x:v>
      </x:c>
      <x:c r="F203" s="8" t="n">
        <x:v>90.43</x:v>
      </x:c>
      <x:c r="G203" s="8" t="n">
        <x:v>26.5371</x:v>
      </x:c>
      <x:c r="H203" s="8" t="n">
        <x:v>18.6536</x:v>
      </x:c>
      <x:c r="I203" s="8" t="n">
        <x:v>12.1123</x:v>
      </x:c>
      <x:c r="J203" s="8" t="n">
        <x:v>8.3848</x:v>
      </x:c>
      <x:c r="K203" s="8" t="n">
        <x:v>13.2928</x:v>
      </x:c>
      <x:c r="L203" s="8" t="n">
        <x:v>0.5013</x:v>
      </x:c>
      <x:c r="M203" s="8" t="n">
        <x:v>3.8326</x:v>
      </x:c>
      <x:c r="N203" s="8" t="n">
        <x:v>7.1154</x:v>
      </x:c>
    </x:row>
    <x:row r="204" ht="19" customHeight="1">
      <x:c r="A204" s="7" t="n">
        <x:v>39022</x:v>
      </x:c>
      <x:c r="B204" s="8" t="n">
        <x:v>3.37579494625</x:v>
      </x:c>
      <x:c r="C204" s="8" t="n">
        <x:v>3.37036383989</x:v>
      </x:c>
      <x:c r="D204" s="8" t="n">
        <x:v>4.31552121274</x:v>
      </x:c>
      <x:c r="E204" s="8" t="n">
        <x:v>11.2130780539</x:v>
      </x:c>
      <x:c r="F204" s="8" t="n">
        <x:v>90.63</x:v>
      </x:c>
      <x:c r="G204" s="8" t="n">
        <x:v>27.5436</x:v>
      </x:c>
      <x:c r="H204" s="8" t="n">
        <x:v>26.0917</x:v>
      </x:c>
      <x:c r="I204" s="8" t="n">
        <x:v>11.0879</x:v>
      </x:c>
      <x:c r="J204" s="8" t="n">
        <x:v>9.9439</x:v>
      </x:c>
      <x:c r="K204" s="8" t="n">
        <x:v>4.7343</x:v>
      </x:c>
      <x:c r="L204" s="8" t="n">
        <x:v>1.0032</x:v>
      </x:c>
      <x:c r="M204" s="8" t="n">
        <x:v>0.6688</x:v>
      </x:c>
      <x:c r="N204" s="8" t="n">
        <x:v>9.5567</x:v>
      </x:c>
    </x:row>
    <x:row r="205" ht="19" customHeight="1">
      <x:c r="A205" s="7" t="n">
        <x:v>39052</x:v>
      </x:c>
      <x:c r="B205" s="8" t="n">
        <x:v>3.41796073295</x:v>
      </x:c>
      <x:c r="C205" s="8" t="n">
        <x:v>3.42615815891</x:v>
      </x:c>
      <x:c r="D205" s="8" t="n">
        <x:v>4.32192972963</x:v>
      </x:c>
      <x:c r="E205" s="8" t="n">
        <x:v>11.2073227324</x:v>
      </x:c>
      <x:c r="F205" s="8" t="n">
        <x:v>99.78</x:v>
      </x:c>
      <x:c r="G205" s="8" t="n">
        <x:v>32.4511</x:v>
      </x:c>
      <x:c r="H205" s="8" t="n">
        <x:v>28.0989</x:v>
      </x:c>
      <x:c r="I205" s="8" t="n">
        <x:v>10.5496</x:v>
      </x:c>
      <x:c r="J205" s="8" t="n">
        <x:v>9.6872</x:v>
      </x:c>
      <x:c r="K205" s="8" t="n">
        <x:v>3.55</x:v>
      </x:c>
      <x:c r="L205" s="8" t="n">
        <x:v>1.9053</x:v>
      </x:c>
      <x:c r="M205" s="8" t="n">
        <x:v>1.6246</x:v>
      </x:c>
      <x:c r="N205" s="8" t="n">
        <x:v>11.9134</x:v>
      </x:c>
    </x:row>
    <x:row r="206" ht="19" customHeight="1">
      <x:c r="A206" s="7" t="n">
        <x:v>39083</x:v>
      </x:c>
      <x:c r="B206" s="8" t="n">
        <x:v>3.28819798242</x:v>
      </x:c>
      <x:c r="C206" s="8" t="n">
        <x:v>3.27285430401</x:v>
      </x:c>
      <x:c r="D206" s="8" t="n">
        <x:v>4.32518824706</x:v>
      </x:c>
      <x:c r="E206" s="8" t="n">
        <x:v>11.2113794236</x:v>
      </x:c>
      <x:c r="F206" s="8" t="n">
        <x:v>93.93</x:v>
      </x:c>
      <x:c r="G206" s="8" t="n">
        <x:v>39.591</x:v>
      </x:c>
      <x:c r="H206" s="8" t="n">
        <x:v>21.259</x:v>
      </x:c>
      <x:c r="I206" s="8" t="n">
        <x:v>12.6091</x:v>
      </x:c>
      <x:c r="J206" s="8" t="n">
        <x:v>6.0231</x:v>
      </x:c>
      <x:c r="K206" s="8" t="n">
        <x:v>3.9216</x:v>
      </x:c>
      <x:c r="L206" s="8" t="n">
        <x:v>0.5066</x:v>
      </x:c>
      <x:c r="M206" s="8" t="n">
        <x:v>0.5629</x:v>
      </x:c>
      <x:c r="N206" s="8" t="n">
        <x:v>9.4568</x:v>
      </x:c>
    </x:row>
    <x:row r="207" ht="19" customHeight="1">
      <x:c r="A207" s="7" t="n">
        <x:v>39114</x:v>
      </x:c>
      <x:c r="B207" s="8" t="n">
        <x:v>3.3682149432</x:v>
      </x:c>
      <x:c r="C207" s="8" t="n">
        <x:v>3.33877084423</x:v>
      </x:c>
      <x:c r="D207" s="8" t="n">
        <x:v>4.32920172502</x:v>
      </x:c>
      <x:c r="E207" s="8" t="n">
        <x:v>11.2175817436</x:v>
      </x:c>
      <x:c r="F207" s="8" t="n">
        <x:v>88.82</x:v>
      </x:c>
      <x:c r="G207" s="8" t="n">
        <x:v>28.0901</x:v>
      </x:c>
      <x:c r="H207" s="8" t="n">
        <x:v>24.8831</x:v>
      </x:c>
      <x:c r="I207" s="8" t="n">
        <x:v>13.6007</x:v>
      </x:c>
      <x:c r="J207" s="8" t="n">
        <x:v>5.0037</x:v>
      </x:c>
      <x:c r="K207" s="8" t="n">
        <x:v>5.7185</x:v>
      </x:c>
      <x:c r="L207" s="8" t="n">
        <x:v>0.3284</x:v>
      </x:c>
      <x:c r="M207" s="8" t="n">
        <x:v>1.0336</x:v>
      </x:c>
      <x:c r="N207" s="8" t="n">
        <x:v>10.1619</x:v>
      </x:c>
    </x:row>
    <x:row r="208" ht="19" customHeight="1">
      <x:c r="A208" s="7" t="n">
        <x:v>39142</x:v>
      </x:c>
      <x:c r="B208" s="8" t="n">
        <x:v>3.38240745212</x:v>
      </x:c>
      <x:c r="C208" s="8" t="n">
        <x:v>3.40869682637</x:v>
      </x:c>
      <x:c r="D208" s="8" t="n">
        <x:v>4.33419194978</x:v>
      </x:c>
      <x:c r="E208" s="8" t="n">
        <x:v>11.2148806981</x:v>
      </x:c>
      <x:c r="F208" s="8" t="n">
        <x:v>78.28</x:v>
      </x:c>
      <x:c r="G208" s="8" t="n">
        <x:v>21.3428</x:v>
      </x:c>
      <x:c r="H208" s="8" t="n">
        <x:v>27.5191</x:v>
      </x:c>
      <x:c r="I208" s="8" t="n">
        <x:v>11.2202</x:v>
      </x:c>
      <x:c r="J208" s="8" t="n">
        <x:v>5.462</x:v>
      </x:c>
      <x:c r="K208" s="8" t="n">
        <x:v>3.049</x:v>
      </x:c>
      <x:c r="L208" s="8" t="n">
        <x:v>0.1568</x:v>
      </x:c>
      <x:c r="M208" s="8" t="n">
        <x:v>1.9688</x:v>
      </x:c>
      <x:c r="N208" s="8" t="n">
        <x:v>7.5614</x:v>
      </x:c>
    </x:row>
    <x:row r="209" ht="19" customHeight="1">
      <x:c r="A209" s="7" t="n">
        <x:v>39173</x:v>
      </x:c>
      <x:c r="B209" s="8" t="n">
        <x:v>3.43633067976</x:v>
      </x:c>
      <x:c r="C209" s="8" t="n">
        <x:v>3.48973958399</x:v>
      </x:c>
      <x:c r="D209" s="8" t="n">
        <x:v>4.33486632013</x:v>
      </x:c>
      <x:c r="E209" s="8" t="n">
        <x:v>11.2153946794</x:v>
      </x:c>
      <x:c r="F209" s="8" t="n">
        <x:v>85.3</x:v>
      </x:c>
      <x:c r="G209" s="8" t="n">
        <x:v>29.0701</x:v>
      </x:c>
      <x:c r="H209" s="8" t="n">
        <x:v>25.8186</x:v>
      </x:c>
      <x:c r="I209" s="8" t="n">
        <x:v>14.2353</x:v>
      </x:c>
      <x:c r="J209" s="8" t="n">
        <x:v>3.9018</x:v>
      </x:c>
      <x:c r="K209" s="8" t="n">
        <x:v>3.0279</x:v>
      </x:c>
      <x:c r="L209" s="8" t="n">
        <x:v>0.2439</x:v>
      </x:c>
      <x:c r="M209" s="8" t="n">
        <x:v>1.4428</x:v>
      </x:c>
      <x:c r="N209" s="8" t="n">
        <x:v>7.5596</x:v>
      </x:c>
    </x:row>
    <x:row r="210" ht="19" customHeight="1">
      <x:c r="A210" s="7" t="n">
        <x:v>39203</x:v>
      </x:c>
      <x:c r="B210" s="8" t="n">
        <x:v>3.42404545473</x:v>
      </x:c>
      <x:c r="C210" s="8" t="n">
        <x:v>3.48145771456</x:v>
      </x:c>
      <x:c r="D210" s="8" t="n">
        <x:v>4.3423509693</x:v>
      </x:c>
      <x:c r="E210" s="8" t="n">
        <x:v>11.2100297159</x:v>
      </x:c>
      <x:c r="F210" s="8" t="n">
        <x:v>98.17</x:v>
      </x:c>
      <x:c r="G210" s="8" t="n">
        <x:v>35.6697</x:v>
      </x:c>
      <x:c r="H210" s="8" t="n">
        <x:v>26.4978</x:v>
      </x:c>
      <x:c r="I210" s="8" t="n">
        <x:v>14.5459</x:v>
      </x:c>
      <x:c r="J210" s="8" t="n">
        <x:v>5.7851</x:v>
      </x:c>
      <x:c r="K210" s="8" t="n">
        <x:v>1.9773</x:v>
      </x:c>
      <x:c r="L210" s="8" t="n">
        <x:v>0.5286</x:v>
      </x:c>
      <x:c r="M210" s="8" t="n">
        <x:v>2.2514</x:v>
      </x:c>
      <x:c r="N210" s="8" t="n">
        <x:v>10.9143</x:v>
      </x:c>
    </x:row>
    <x:row r="211" ht="19" customHeight="1">
      <x:c r="A211" s="7" t="n">
        <x:v>39234</x:v>
      </x:c>
      <x:c r="B211" s="8" t="n">
        <x:v>3.48330103516</x:v>
      </x:c>
      <x:c r="C211" s="8" t="n">
        <x:v>3.53470545094</x:v>
      </x:c>
      <x:c r="D211" s="8" t="n">
        <x:v>4.3435133372</x:v>
      </x:c>
      <x:c r="E211" s="8" t="n">
        <x:v>11.2067806264</x:v>
      </x:c>
      <x:c r="F211" s="8" t="n">
        <x:v>91</x:v>
      </x:c>
      <x:c r="G211" s="8" t="n">
        <x:v>30.4106</x:v>
      </x:c>
      <x:c r="H211" s="8" t="n">
        <x:v>23.803</x:v>
      </x:c>
      <x:c r="I211" s="8" t="n">
        <x:v>14.9348</x:v>
      </x:c>
      <x:c r="J211" s="8" t="n">
        <x:v>7.7862</x:v>
      </x:c>
      <x:c r="K211" s="8" t="n">
        <x:v>3.072</x:v>
      </x:c>
      <x:c r="L211" s="8" t="n">
        <x:v>1.0626</x:v>
      </x:c>
      <x:c r="M211" s="8" t="n">
        <x:v>1.1786</x:v>
      </x:c>
      <x:c r="N211" s="8" t="n">
        <x:v>8.7522</x:v>
      </x:c>
    </x:row>
    <x:row r="212" ht="19" customHeight="1">
      <x:c r="A212" s="7" t="n">
        <x:v>39264</x:v>
      </x:c>
      <x:c r="B212" s="8" t="n">
        <x:v>3.57522798535</x:v>
      </x:c>
      <x:c r="C212" s="8" t="n">
        <x:v>3.6124385014</x:v>
      </x:c>
      <x:c r="D212" s="8" t="n">
        <x:v>4.34815632147</x:v>
      </x:c>
      <x:c r="E212" s="8" t="n">
        <x:v>11.2175141051</x:v>
      </x:c>
      <x:c r="F212" s="8" t="n">
        <x:v>95.08</x:v>
      </x:c>
      <x:c r="G212" s="8" t="n">
        <x:v>31.0078</x:v>
      </x:c>
      <x:c r="H212" s="8" t="n">
        <x:v>21.4945</x:v>
      </x:c>
      <x:c r="I212" s="8" t="n">
        <x:v>23.9519</x:v>
      </x:c>
      <x:c r="J212" s="8" t="n">
        <x:v>3.6492</x:v>
      </x:c>
      <x:c r="K212" s="8" t="n">
        <x:v>3.6914</x:v>
      </x:c>
      <x:c r="L212" s="8" t="n">
        <x:v>0.3375</x:v>
      </x:c>
      <x:c r="M212" s="8" t="n">
        <x:v>0.8859</x:v>
      </x:c>
      <x:c r="N212" s="8" t="n">
        <x:v>10.0617</x:v>
      </x:c>
    </x:row>
    <x:row r="213" ht="19" customHeight="1">
      <x:c r="A213" s="7" t="n">
        <x:v>39295</x:v>
      </x:c>
      <x:c r="B213" s="8" t="n">
        <x:v>3.55088801126</x:v>
      </x:c>
      <x:c r="C213" s="8" t="n">
        <x:v>3.52852822003</x:v>
      </x:c>
      <x:c r="D213" s="8" t="n">
        <x:v>4.35442268775</x:v>
      </x:c>
      <x:c r="E213" s="8" t="n">
        <x:v>11.2049478101</x:v>
      </x:c>
      <x:c r="F213" s="8" t="n">
        <x:v>73.13</x:v>
      </x:c>
      <x:c r="G213" s="8" t="n">
        <x:v>21.7352</x:v>
      </x:c>
      <x:c r="H213" s="8" t="n">
        <x:v>21.9205</x:v>
      </x:c>
      <x:c r="I213" s="8" t="n">
        <x:v>12.8641</x:v>
      </x:c>
      <x:c r="J213" s="8" t="n">
        <x:v>4.5693</x:v>
      </x:c>
      <x:c r="K213" s="8" t="n">
        <x:v>1.8524</x:v>
      </x:c>
      <x:c r="L213" s="8" t="n">
        <x:v>0.3911</x:v>
      </x:c>
      <x:c r="M213" s="8" t="n">
        <x:v>1.3379</x:v>
      </x:c>
      <x:c r="N213" s="8" t="n">
        <x:v>8.4595</x:v>
      </x:c>
    </x:row>
    <x:row r="214" ht="19" customHeight="1">
      <x:c r="A214" s="7" t="n">
        <x:v>39326</x:v>
      </x:c>
      <x:c r="B214" s="8" t="n">
        <x:v>3.64603188483</x:v>
      </x:c>
      <x:c r="C214" s="8" t="n">
        <x:v>3.61101653096</x:v>
      </x:c>
      <x:c r="D214" s="8" t="n">
        <x:v>4.35500200961</x:v>
      </x:c>
      <x:c r="E214" s="8" t="n">
        <x:v>11.2098624567</x:v>
      </x:c>
      <x:c r="F214" s="8" t="n">
        <x:v>83.58</x:v>
      </x:c>
      <x:c r="G214" s="8" t="n">
        <x:v>27.5893</x:v>
      </x:c>
      <x:c r="H214" s="8" t="n">
        <x:v>22.2511</x:v>
      </x:c>
      <x:c r="I214" s="8" t="n">
        <x:v>13.2678</x:v>
      </x:c>
      <x:c r="J214" s="8" t="n">
        <x:v>5.7528</x:v>
      </x:c>
      <x:c r="K214" s="8" t="n">
        <x:v>3.5761</x:v>
      </x:c>
      <x:c r="L214" s="8" t="n">
        <x:v>0.1037</x:v>
      </x:c>
      <x:c r="M214" s="8" t="n">
        <x:v>2.0213</x:v>
      </x:c>
      <x:c r="N214" s="8" t="n">
        <x:v>9.0179</x:v>
      </x:c>
    </x:row>
    <x:row r="215" ht="19" customHeight="1">
      <x:c r="A215" s="7" t="n">
        <x:v>39356</x:v>
      </x:c>
      <x:c r="B215" s="8" t="n">
        <x:v>3.71394626258</x:v>
      </x:c>
      <x:c r="C215" s="8" t="n">
        <x:v>3.67278427243</x:v>
      </x:c>
      <x:c r="D215" s="8" t="n">
        <x:v>4.36379709337</x:v>
      </x:c>
      <x:c r="E215" s="8" t="n">
        <x:v>11.2261316512</x:v>
      </x:c>
      <x:c r="F215" s="8" t="n">
        <x:v>77.13</x:v>
      </x:c>
      <x:c r="G215" s="8" t="n">
        <x:v>22.8973</x:v>
      </x:c>
      <x:c r="H215" s="8" t="n">
        <x:v>27.1774</x:v>
      </x:c>
      <x:c r="I215" s="8" t="n">
        <x:v>8.6984</x:v>
      </x:c>
      <x:c r="J215" s="8" t="n">
        <x:v>3.3036</x:v>
      </x:c>
      <x:c r="K215" s="8" t="n">
        <x:v>4.1498</x:v>
      </x:c>
      <x:c r="L215" s="8" t="n">
        <x:v>0.1302</x:v>
      </x:c>
      <x:c r="M215" s="8" t="n">
        <x:v>2.4574</x:v>
      </x:c>
      <x:c r="N215" s="8" t="n">
        <x:v>8.3159</x:v>
      </x:c>
    </x:row>
    <x:row r="216" ht="19" customHeight="1">
      <x:c r="A216" s="7" t="n">
        <x:v>39387</x:v>
      </x:c>
      <x:c r="B216" s="8" t="n">
        <x:v>3.80555199549</x:v>
      </x:c>
      <x:c r="C216" s="8" t="n">
        <x:v>3.7803342899</x:v>
      </x:c>
      <x:c r="D216" s="8" t="n">
        <x:v>4.36517434451</x:v>
      </x:c>
      <x:c r="E216" s="8" t="n">
        <x:v>11.2189336345</x:v>
      </x:c>
      <x:c r="F216" s="8" t="n">
        <x:v>77.63</x:v>
      </x:c>
      <x:c r="G216" s="8" t="n">
        <x:v>16.1222</x:v>
      </x:c>
      <x:c r="H216" s="8" t="n">
        <x:v>31.2879</x:v>
      </x:c>
      <x:c r="I216" s="8" t="n">
        <x:v>9.5099</x:v>
      </x:c>
      <x:c r="J216" s="8" t="n">
        <x:v>5.405</x:v>
      </x:c>
      <x:c r="K216" s="8" t="n">
        <x:v>3.5105</x:v>
      </x:c>
      <x:c r="L216" s="8" t="n">
        <x:v>3.1019</x:v>
      </x:c>
      <x:c r="M216" s="8" t="n">
        <x:v>1.3559</x:v>
      </x:c>
      <x:c r="N216" s="8" t="n">
        <x:v>7.3367</x:v>
      </x:c>
    </x:row>
    <x:row r="217" ht="19" customHeight="1">
      <x:c r="A217" s="7" t="n">
        <x:v>39417</x:v>
      </x:c>
      <x:c r="B217" s="8" t="n">
        <x:v>3.76961859066</x:v>
      </x:c>
      <x:c r="C217" s="8" t="n">
        <x:v>3.76129524834</x:v>
      </x:c>
      <x:c r="D217" s="8" t="n">
        <x:v>4.37083182231</x:v>
      </x:c>
      <x:c r="E217" s="8" t="n">
        <x:v>11.2244555089</x:v>
      </x:c>
      <x:c r="F217" s="8" t="n">
        <x:v>80.53</x:v>
      </x:c>
      <x:c r="G217" s="8" t="n">
        <x:v>15.6878</x:v>
      </x:c>
      <x:c r="H217" s="8" t="n">
        <x:v>22.7565</x:v>
      </x:c>
      <x:c r="I217" s="8" t="n">
        <x:v>18.8702</x:v>
      </x:c>
      <x:c r="J217" s="8" t="n">
        <x:v>4.4677</x:v>
      </x:c>
      <x:c r="K217" s="8" t="n">
        <x:v>7.5685</x:v>
      </x:c>
      <x:c r="L217" s="8" t="n">
        <x:v>0.612</x:v>
      </x:c>
      <x:c r="M217" s="8" t="n">
        <x:v>1.428</x:v>
      </x:c>
      <x:c r="N217" s="8" t="n">
        <x:v>9.1393</x:v>
      </x:c>
    </x:row>
    <x:row r="218" ht="19" customHeight="1">
      <x:c r="A218" s="7" t="n">
        <x:v>39448</x:v>
      </x:c>
      <x:c r="B218" s="8" t="n">
        <x:v>3.7800403537</x:v>
      </x:c>
      <x:c r="C218" s="8" t="n">
        <x:v>3.77150668053</x:v>
      </x:c>
      <x:c r="D218" s="8" t="n">
        <x:v>4.37650395869</x:v>
      </x:c>
      <x:c r="E218" s="8" t="n">
        <x:v>11.2216187381</x:v>
      </x:c>
      <x:c r="F218" s="8" t="n">
        <x:v>81.59</x:v>
      </x:c>
      <x:c r="G218" s="8" t="n">
        <x:v>17.7197</x:v>
      </x:c>
      <x:c r="H218" s="8" t="n">
        <x:v>23.2296</x:v>
      </x:c>
      <x:c r="I218" s="8" t="n">
        <x:v>14.4358</x:v>
      </x:c>
      <x:c r="J218" s="8" t="n">
        <x:v>10.6671</x:v>
      </x:c>
      <x:c r="K218" s="8" t="n">
        <x:v>2.8872</x:v>
      </x:c>
      <x:c r="L218" s="8" t="n">
        <x:v>0.3967</x:v>
      </x:c>
      <x:c r="M218" s="8" t="n">
        <x:v>1.8734</x:v>
      </x:c>
      <x:c r="N218" s="8" t="n">
        <x:v>10.3806</x:v>
      </x:c>
    </x:row>
    <x:row r="219" ht="19" customHeight="1">
      <x:c r="A219" s="7" t="n">
        <x:v>39479</x:v>
      </x:c>
      <x:c r="B219" s="8" t="n">
        <x:v>3.80332233575</x:v>
      </x:c>
      <x:c r="C219" s="8" t="n">
        <x:v>3.7991202075</x:v>
      </x:c>
      <x:c r="D219" s="8" t="n">
        <x:v>4.37749507859</x:v>
      </x:c>
      <x:c r="E219" s="8" t="n">
        <x:v>11.2228896647</x:v>
      </x:c>
      <x:c r="F219" s="8" t="n">
        <x:v>87.03</x:v>
      </x:c>
      <x:c r="G219" s="8" t="n">
        <x:v>21.3923</x:v>
      </x:c>
      <x:c r="H219" s="8" t="n">
        <x:v>27.3058</x:v>
      </x:c>
      <x:c r="I219" s="8" t="n">
        <x:v>16.0678</x:v>
      </x:c>
      <x:c r="J219" s="8" t="n">
        <x:v>6.0078</x:v>
      </x:c>
      <x:c r="K219" s="8" t="n">
        <x:v>3.6989</x:v>
      </x:c>
      <x:c r="L219" s="8" t="n">
        <x:v>1.5078</x:v>
      </x:c>
      <x:c r="M219" s="8" t="n">
        <x:v>1.0838</x:v>
      </x:c>
      <x:c r="N219" s="8" t="n">
        <x:v>9.9658</x:v>
      </x:c>
    </x:row>
    <x:row r="220" ht="19" customHeight="1">
      <x:c r="A220" s="7" t="n">
        <x:v>39508</x:v>
      </x:c>
      <x:c r="B220" s="8" t="n">
        <x:v>3.90001384963</x:v>
      </x:c>
      <x:c r="C220" s="8" t="n">
        <x:v>3.8827002984</x:v>
      </x:c>
      <x:c r="D220" s="8" t="n">
        <x:v>4.37359790771</x:v>
      </x:c>
      <x:c r="E220" s="8" t="n">
        <x:v>11.2258499952</x:v>
      </x:c>
      <x:c r="F220" s="8" t="n">
        <x:v>84.04</x:v>
      </x:c>
      <x:c r="G220" s="8" t="n">
        <x:v>23.4141</x:v>
      </x:c>
      <x:c r="H220" s="8" t="n">
        <x:v>28.8097</x:v>
      </x:c>
      <x:c r="I220" s="8" t="n">
        <x:v>12.384</x:v>
      </x:c>
      <x:c r="J220" s="8" t="n">
        <x:v>6.5504</x:v>
      </x:c>
      <x:c r="K220" s="8" t="n">
        <x:v>2.9865</x:v>
      </x:c>
      <x:c r="L220" s="8" t="n">
        <x:v>0.1593</x:v>
      </x:c>
      <x:c r="M220" s="8" t="n">
        <x:v>0.5575</x:v>
      </x:c>
      <x:c r="N220" s="8" t="n">
        <x:v>9.1785</x:v>
      </x:c>
    </x:row>
    <x:row r="221" ht="19" customHeight="1">
      <x:c r="A221" s="7" t="n">
        <x:v>39539</x:v>
      </x:c>
      <x:c r="B221" s="8" t="n">
        <x:v>3.96312931577</x:v>
      </x:c>
      <x:c r="C221" s="8" t="n">
        <x:v>3.93145511368</x:v>
      </x:c>
      <x:c r="D221" s="8" t="n">
        <x:v>4.37668060313</x:v>
      </x:c>
      <x:c r="E221" s="8" t="n">
        <x:v>11.2183682662</x:v>
      </x:c>
      <x:c r="F221" s="8" t="n">
        <x:v>80.14</x:v>
      </x:c>
      <x:c r="G221" s="8" t="n">
        <x:v>23.1661</x:v>
      </x:c>
      <x:c r="H221" s="8" t="n">
        <x:v>26.5422</x:v>
      </x:c>
      <x:c r="I221" s="8" t="n">
        <x:v>8.597</x:v>
      </x:c>
      <x:c r="J221" s="8" t="n">
        <x:v>5.4777</x:v>
      </x:c>
      <x:c r="K221" s="8" t="n">
        <x:v>3.6518</x:v>
      </x:c>
      <x:c r="L221" s="8" t="n">
        <x:v>0.5706</x:v>
      </x:c>
      <x:c r="M221" s="8" t="n">
        <x:v>0.3994</x:v>
      </x:c>
      <x:c r="N221" s="8" t="n">
        <x:v>11.7352</x:v>
      </x:c>
    </x:row>
    <x:row r="222" ht="19" customHeight="1">
      <x:c r="A222" s="7" t="n">
        <x:v>39569</x:v>
      </x:c>
      <x:c r="B222" s="8" t="n">
        <x:v>4.06507381187</x:v>
      </x:c>
      <x:c r="C222" s="8" t="n">
        <x:v>4.04412219938</x:v>
      </x:c>
      <x:c r="D222" s="8" t="n">
        <x:v>4.36979355723</x:v>
      </x:c>
      <x:c r="E222" s="8" t="n">
        <x:v>11.222449052</x:v>
      </x:c>
      <x:c r="F222" s="8" t="n">
        <x:v>75.71</x:v>
      </x:c>
      <x:c r="G222" s="8" t="n">
        <x:v>16.7646</x:v>
      </x:c>
      <x:c r="H222" s="8" t="n">
        <x:v>22.8949</x:v>
      </x:c>
      <x:c r="I222" s="8" t="n">
        <x:v>9.951</x:v>
      </x:c>
      <x:c r="J222" s="8" t="n">
        <x:v>7.1023</x:v>
      </x:c>
      <x:c r="K222" s="8" t="n">
        <x:v>3.1758</x:v>
      </x:c>
      <x:c r="L222" s="8" t="n">
        <x:v>0.8276</x:v>
      </x:c>
      <x:c r="M222" s="8" t="n">
        <x:v>0.1925</x:v>
      </x:c>
      <x:c r="N222" s="8" t="n">
        <x:v>14.8013</x:v>
      </x:c>
    </x:row>
    <x:row r="223" ht="19" customHeight="1">
      <x:c r="A223" s="7" t="n">
        <x:v>39600</x:v>
      </x:c>
      <x:c r="B223" s="8" t="n">
        <x:v>4.12008534122</x:v>
      </x:c>
      <x:c r="C223" s="8" t="n">
        <x:v>4.10836469615</x:v>
      </x:c>
      <x:c r="D223" s="8" t="n">
        <x:v>4.36849132996</x:v>
      </x:c>
      <x:c r="E223" s="8" t="n">
        <x:v>11.2227338329</x:v>
      </x:c>
      <x:c r="F223" s="8" t="n">
        <x:v>80.42</x:v>
      </x:c>
      <x:c r="G223" s="8" t="n">
        <x:v>20.0726</x:v>
      </x:c>
      <x:c r="H223" s="8" t="n">
        <x:v>27.2902</x:v>
      </x:c>
      <x:c r="I223" s="8" t="n">
        <x:v>9.9773</x:v>
      </x:c>
      <x:c r="J223" s="8" t="n">
        <x:v>4.2928</x:v>
      </x:c>
      <x:c r="K223" s="8" t="n">
        <x:v>5.0005</x:v>
      </x:c>
      <x:c r="L223" s="8" t="n">
        <x:v>0.2359</x:v>
      </x:c>
      <x:c r="M223" s="8" t="n">
        <x:v>1.8162</x:v>
      </x:c>
      <x:c r="N223" s="8" t="n">
        <x:v>11.7346</x:v>
      </x:c>
    </x:row>
    <x:row r="224" ht="19" customHeight="1">
      <x:c r="A224" s="7" t="n">
        <x:v>39630</x:v>
      </x:c>
      <x:c r="B224" s="8" t="n">
        <x:v>4.10915262011</x:v>
      </x:c>
      <x:c r="C224" s="8" t="n">
        <x:v>4.10426704536</x:v>
      </x:c>
      <x:c r="D224" s="8" t="n">
        <x:v>4.365303565</x:v>
      </x:c>
      <x:c r="E224" s="8" t="n">
        <x:v>11.2328070359</x:v>
      </x:c>
      <x:c r="F224" s="8" t="n">
        <x:v>88.09</x:v>
      </x:c>
      <x:c r="G224" s="8" t="n">
        <x:v>20.0322</x:v>
      </x:c>
      <x:c r="H224" s="8" t="n">
        <x:v>29.6982</x:v>
      </x:c>
      <x:c r="I224" s="8" t="n">
        <x:v>15.496</x:v>
      </x:c>
      <x:c r="J224" s="8" t="n">
        <x:v>3.5924</x:v>
      </x:c>
      <x:c r="K224" s="8" t="n">
        <x:v>4.5971</x:v>
      </x:c>
      <x:c r="L224" s="8" t="n">
        <x:v>0.6089</x:v>
      </x:c>
      <x:c r="M224" s="8" t="n">
        <x:v>2.0093</x:v>
      </x:c>
      <x:c r="N224" s="8" t="n">
        <x:v>12.0559</x:v>
      </x:c>
    </x:row>
    <x:row r="225" ht="19" customHeight="1">
      <x:c r="A225" s="7" t="n">
        <x:v>39661</x:v>
      </x:c>
      <x:c r="B225" s="8" t="n">
        <x:v>3.97686442092</x:v>
      </x:c>
      <x:c r="C225" s="8" t="n">
        <x:v>3.94702444433</x:v>
      </x:c>
      <x:c r="D225" s="8" t="n">
        <x:v>4.35665856468</x:v>
      </x:c>
      <x:c r="E225" s="8" t="n">
        <x:v>11.2183157853</x:v>
      </x:c>
      <x:c r="F225" s="8" t="n">
        <x:v>98.92</x:v>
      </x:c>
      <x:c r="G225" s="8" t="n">
        <x:v>43.0135</x:v>
      </x:c>
      <x:c r="H225" s="8" t="n">
        <x:v>20.7866</x:v>
      </x:c>
      <x:c r="I225" s="8" t="n">
        <x:v>16.6736</x:v>
      </x:c>
      <x:c r="J225" s="8" t="n">
        <x:v>4.8747</x:v>
      </x:c>
      <x:c r="K225" s="8" t="n">
        <x:v>2.7974</x:v>
      </x:c>
      <x:c r="L225" s="8" t="n">
        <x:v>1.4679</x:v>
      </x:c>
      <x:c r="M225" s="8" t="n">
        <x:v>0.8309</x:v>
      </x:c>
      <x:c r="N225" s="8" t="n">
        <x:v>8.4753</x:v>
      </x:c>
    </x:row>
    <x:row r="226" ht="19" customHeight="1">
      <x:c r="A226" s="7" t="n">
        <x:v>39692</x:v>
      </x:c>
      <x:c r="B226" s="8" t="n">
        <x:v>3.86210829027</x:v>
      </x:c>
      <x:c r="C226" s="8" t="n">
        <x:v>3.79373956361</x:v>
      </x:c>
      <x:c r="D226" s="8" t="n">
        <x:v>4.34564052989</x:v>
      </x:c>
      <x:c r="E226" s="8" t="n">
        <x:v>11.2048542461</x:v>
      </x:c>
      <x:c r="F226" s="8" t="n">
        <x:v>80.21</x:v>
      </x:c>
      <x:c r="G226" s="8" t="n">
        <x:v>29.2709</x:v>
      </x:c>
      <x:c r="H226" s="8" t="n">
        <x:v>16.902</x:v>
      </x:c>
      <x:c r="I226" s="8" t="n">
        <x:v>14.5318</x:v>
      </x:c>
      <x:c r="J226" s="8" t="n">
        <x:v>2.9012</x:v>
      </x:c>
      <x:c r="K226" s="8" t="n">
        <x:v>5.4656</x:v>
      </x:c>
      <x:c r="L226" s="8" t="n">
        <x:v>0.6476</x:v>
      </x:c>
      <x:c r="M226" s="8" t="n">
        <x:v>0.6994</x:v>
      </x:c>
      <x:c r="N226" s="8" t="n">
        <x:v>9.7915</x:v>
      </x:c>
    </x:row>
    <x:row r="227" ht="19" customHeight="1">
      <x:c r="A227" s="7" t="n">
        <x:v>39722</x:v>
      </x:c>
      <x:c r="B227" s="8" t="n">
        <x:v>3.56402349072</x:v>
      </x:c>
      <x:c r="C227" s="8" t="n">
        <x:v>3.49611157953</x:v>
      </x:c>
      <x:c r="D227" s="8" t="n">
        <x:v>4.33418317665</x:v>
      </x:c>
      <x:c r="E227" s="8" t="n">
        <x:v>11.2182380188</x:v>
      </x:c>
      <x:c r="F227" s="8" t="n">
        <x:v>64.95</x:v>
      </x:c>
      <x:c r="G227" s="8" t="n">
        <x:v>19.4406</x:v>
      </x:c>
      <x:c r="H227" s="8" t="n">
        <x:v>18.2333</x:v>
      </x:c>
      <x:c r="I227" s="8" t="n">
        <x:v>9.6341</x:v>
      </x:c>
      <x:c r="J227" s="8" t="n">
        <x:v>2.8089</x:v>
      </x:c>
      <x:c r="K227" s="8" t="n">
        <x:v>1.8972</x:v>
      </x:c>
      <x:c r="L227" s="8" t="n">
        <x:v>0.1971</x:v>
      </x:c>
      <x:c r="M227" s="8" t="n">
        <x:v>0.616</x:v>
      </x:c>
      <x:c r="N227" s="8" t="n">
        <x:v>12.1227</x:v>
      </x:c>
    </x:row>
    <x:row r="228" ht="19" customHeight="1">
      <x:c r="A228" s="7" t="n">
        <x:v>39753</x:v>
      </x:c>
      <x:c r="B228" s="8" t="n">
        <x:v>3.29163509684</x:v>
      </x:c>
      <x:c r="C228" s="8" t="n">
        <x:v>3.20302030312</x:v>
      </x:c>
      <x:c r="D228" s="8" t="n">
        <x:v>4.3037577801</x:v>
      </x:c>
      <x:c r="E228" s="8" t="n">
        <x:v>11.216133409</x:v>
      </x:c>
      <x:c r="F228" s="8" t="n">
        <x:v>76.68</x:v>
      </x:c>
      <x:c r="G228" s="8" t="n">
        <x:v>20.9679</x:v>
      </x:c>
      <x:c r="H228" s="8" t="n">
        <x:v>21.6426</x:v>
      </x:c>
      <x:c r="I228" s="8" t="n">
        <x:v>16.2319</x:v>
      </x:c>
      <x:c r="J228" s="8" t="n">
        <x:v>4.1558</x:v>
      </x:c>
      <x:c r="K228" s="8" t="n">
        <x:v>2.0779</x:v>
      </x:c>
      <x:c r="L228" s="8" t="n">
        <x:v>0.1619</x:v>
      </x:c>
      <x:c r="M228" s="8" t="n">
        <x:v>0.3508</x:v>
      </x:c>
      <x:c r="N228" s="8" t="n">
        <x:v>11.0911</x:v>
      </x:c>
    </x:row>
    <x:row r="229" ht="19" customHeight="1">
      <x:c r="A229" s="7" t="n">
        <x:v>39783</x:v>
      </x:c>
      <x:c r="B229" s="8" t="n">
        <x:v>2.96792219448</x:v>
      </x:c>
      <x:c r="C229" s="8" t="n">
        <x:v>2.93905624555</x:v>
      </x:c>
      <x:c r="D229" s="8" t="n">
        <x:v>4.2727487797</x:v>
      </x:c>
      <x:c r="E229" s="8" t="n">
        <x:v>11.2057277416</x:v>
      </x:c>
      <x:c r="F229" s="8" t="n">
        <x:v>92.53</x:v>
      </x:c>
      <x:c r="G229" s="8" t="n">
        <x:v>23.3741</x:v>
      </x:c>
      <x:c r="H229" s="8" t="n">
        <x:v>22.4968</x:v>
      </x:c>
      <x:c r="I229" s="8" t="n">
        <x:v>25.0989</x:v>
      </x:c>
      <x:c r="J229" s="8" t="n">
        <x:v>4.4012</x:v>
      </x:c>
      <x:c r="K229" s="8" t="n">
        <x:v>3.0035</x:v>
      </x:c>
      <x:c r="L229" s="8" t="n">
        <x:v>2.3196</x:v>
      </x:c>
      <x:c r="M229" s="8" t="n">
        <x:v>0.7435</x:v>
      </x:c>
      <x:c r="N229" s="8" t="n">
        <x:v>11.0923</x:v>
      </x:c>
    </x:row>
    <x:row r="230" ht="19" customHeight="1">
      <x:c r="A230" s="7" t="n">
        <x:v>39814</x:v>
      </x:c>
      <x:c r="B230" s="8" t="n">
        <x:v>2.97964090721</x:v>
      </x:c>
      <x:c r="C230" s="8" t="n">
        <x:v>3.02028067463</x:v>
      </x:c>
      <x:c r="D230" s="8" t="n">
        <x:v>4.24392114175</x:v>
      </x:c>
      <x:c r="E230" s="8" t="n">
        <x:v>11.1911381649</x:v>
      </x:c>
      <x:c r="F230" s="8" t="n">
        <x:v>85.32</x:v>
      </x:c>
      <x:c r="G230" s="8" t="n">
        <x:v>42.1166</x:v>
      </x:c>
      <x:c r="H230" s="8" t="n">
        <x:v>18.7386</x:v>
      </x:c>
      <x:c r="I230" s="8" t="n">
        <x:v>9.7803</x:v>
      </x:c>
      <x:c r="J230" s="8" t="n">
        <x:v>2.257</x:v>
      </x:c>
      <x:c r="K230" s="8" t="n">
        <x:v>1.7833</x:v>
      </x:c>
      <x:c r="L230" s="8" t="n">
        <x:v>0.3065</x:v>
      </x:c>
      <x:c r="M230" s="8" t="n">
        <x:v>0.5016</x:v>
      </x:c>
      <x:c r="N230" s="8" t="n">
        <x:v>9.836</x:v>
      </x:c>
    </x:row>
    <x:row r="231" ht="19" customHeight="1">
      <x:c r="A231" s="7" t="n">
        <x:v>39845</x:v>
      </x:c>
      <x:c r="B231" s="8" t="n">
        <x:v>2.91113063658</x:v>
      </x:c>
      <x:c r="C231" s="8" t="n">
        <x:v>3.0138783789</x:v>
      </x:c>
      <x:c r="D231" s="8" t="n">
        <x:v>4.2403630918</x:v>
      </x:c>
      <x:c r="E231" s="8" t="n">
        <x:v>11.1965078259</x:v>
      </x:c>
      <x:c r="F231" s="8" t="n">
        <x:v>77.27</x:v>
      </x:c>
      <x:c r="G231" s="8" t="n">
        <x:v>19.0718</x:v>
      </x:c>
      <x:c r="H231" s="8" t="n">
        <x:v>26.1222</x:v>
      </x:c>
      <x:c r="I231" s="8" t="n">
        <x:v>10.597</x:v>
      </x:c>
      <x:c r="J231" s="8" t="n">
        <x:v>4.8142</x:v>
      </x:c>
      <x:c r="K231" s="8" t="n">
        <x:v>5.1561</x:v>
      </x:c>
      <x:c r="L231" s="8" t="n">
        <x:v>0.3703</x:v>
      </x:c>
      <x:c r="M231" s="8" t="n">
        <x:v>0.3134</x:v>
      </x:c>
      <x:c r="N231" s="8" t="n">
        <x:v>10.8249</x:v>
      </x:c>
    </x:row>
    <x:row r="232" ht="19" customHeight="1">
      <x:c r="A232" s="7" t="n">
        <x:v>39873</x:v>
      </x:c>
      <x:c r="B232" s="8" t="n">
        <x:v>3.11620195632</x:v>
      </x:c>
      <x:c r="C232" s="8" t="n">
        <x:v>3.08656388519</x:v>
      </x:c>
      <x:c r="D232" s="8" t="n">
        <x:v>4.2401063867</x:v>
      </x:c>
      <x:c r="E232" s="8" t="n">
        <x:v>11.1942291444</x:v>
      </x:c>
      <x:c r="F232" s="8" t="n">
        <x:v>80.42</x:v>
      </x:c>
      <x:c r="G232" s="8" t="n">
        <x:v>17.4725</x:v>
      </x:c>
      <x:c r="H232" s="8" t="n">
        <x:v>31.1383</x:v>
      </x:c>
      <x:c r="I232" s="8" t="n">
        <x:v>11.0552</x:v>
      </x:c>
      <x:c r="J232" s="8" t="n">
        <x:v>3.967</x:v>
      </x:c>
      <x:c r="K232" s="8" t="n">
        <x:v>2.5377</x:v>
      </x:c>
      <x:c r="L232" s="8" t="n">
        <x:v>1.8668</x:v>
      </x:c>
      <x:c r="M232" s="8" t="n">
        <x:v>0.7146</x:v>
      </x:c>
      <x:c r="N232" s="8" t="n">
        <x:v>11.6678</x:v>
      </x:c>
    </x:row>
    <x:row r="233" ht="19" customHeight="1">
      <x:c r="A233" s="7" t="n">
        <x:v>39904</x:v>
      </x:c>
      <x:c r="B233" s="8" t="n">
        <x:v>3.15024354205</x:v>
      </x:c>
      <x:c r="C233" s="8" t="n">
        <x:v>3.1608616925</x:v>
      </x:c>
      <x:c r="D233" s="8" t="n">
        <x:v>4.24627409343</x:v>
      </x:c>
      <x:c r="E233" s="8" t="n">
        <x:v>11.1981345936</x:v>
      </x:c>
      <x:c r="F233" s="8" t="n">
        <x:v>81.18</x:v>
      </x:c>
      <x:c r="G233" s="8" t="n">
        <x:v>17.1276</x:v>
      </x:c>
      <x:c r="H233" s="8" t="n">
        <x:v>24.7416</x:v>
      </x:c>
      <x:c r="I233" s="8" t="n">
        <x:v>12.6542</x:v>
      </x:c>
      <x:c r="J233" s="8" t="n">
        <x:v>4.9636</x:v>
      </x:c>
      <x:c r="K233" s="8" t="n">
        <x:v>6.3424</x:v>
      </x:c>
      <x:c r="L233" s="8" t="n">
        <x:v>0.5822</x:v>
      </x:c>
      <x:c r="M233" s="8" t="n">
        <x:v>0.7047</x:v>
      </x:c>
      <x:c r="N233" s="8" t="n">
        <x:v>14.0636</x:v>
      </x:c>
    </x:row>
    <x:row r="234" ht="19" customHeight="1">
      <x:c r="A234" s="7" t="n">
        <x:v>39934</x:v>
      </x:c>
      <x:c r="B234" s="8" t="n">
        <x:v>3.32182052848</x:v>
      </x:c>
      <x:c r="C234" s="8" t="n">
        <x:v>3.29207536295</x:v>
      </x:c>
      <x:c r="D234" s="8" t="n">
        <x:v>4.25341718932</x:v>
      </x:c>
      <x:c r="E234" s="8" t="n">
        <x:v>11.1926537936</x:v>
      </x:c>
      <x:c r="F234" s="8" t="n">
        <x:v>84.84</x:v>
      </x:c>
      <x:c r="G234" s="8" t="n">
        <x:v>25.3269</x:v>
      </x:c>
      <x:c r="H234" s="8" t="n">
        <x:v>24.1434</x:v>
      </x:c>
      <x:c r="I234" s="8" t="n">
        <x:v>10.4824</x:v>
      </x:c>
      <x:c r="J234" s="8" t="n">
        <x:v>5.8499</x:v>
      </x:c>
      <x:c r="K234" s="8" t="n">
        <x:v>8.6226</x:v>
      </x:c>
      <x:c r="L234" s="8" t="n">
        <x:v>0.3043</x:v>
      </x:c>
      <x:c r="M234" s="8" t="n">
        <x:v>0.1014</x:v>
      </x:c>
      <x:c r="N234" s="8" t="n">
        <x:v>10.009</x:v>
      </x:c>
    </x:row>
    <x:row r="235" ht="19" customHeight="1">
      <x:c r="A235" s="7" t="n">
        <x:v>39965</x:v>
      </x:c>
      <x:c r="B235" s="8" t="n">
        <x:v>3.47884849427</x:v>
      </x:c>
      <x:c r="C235" s="8" t="n">
        <x:v>3.46394767607</x:v>
      </x:c>
      <x:c r="D235" s="8" t="n">
        <x:v>4.2617368546</x:v>
      </x:c>
      <x:c r="E235" s="8" t="n">
        <x:v>11.1944639001</x:v>
      </x:c>
      <x:c r="F235" s="8" t="n">
        <x:v>96.27</x:v>
      </x:c>
      <x:c r="G235" s="8" t="n">
        <x:v>18.0344</x:v>
      </x:c>
      <x:c r="H235" s="8" t="n">
        <x:v>32.0156</x:v>
      </x:c>
      <x:c r="I235" s="8" t="n">
        <x:v>13.6838</x:v>
      </x:c>
      <x:c r="J235" s="8" t="n">
        <x:v>10.4116</x:v>
      </x:c>
      <x:c r="K235" s="8" t="n">
        <x:v>7.2509</x:v>
      </x:c>
      <x:c r="L235" s="8" t="n">
        <x:v>2.1567</x:v>
      </x:c>
      <x:c r="M235" s="8" t="n">
        <x:v>2.4913</x:v>
      </x:c>
      <x:c r="N235" s="8" t="n">
        <x:v>10.2257</x:v>
      </x:c>
    </x:row>
    <x:row r="236" ht="19" customHeight="1">
      <x:c r="A236" s="7" t="n">
        <x:v>39995</x:v>
      </x:c>
      <x:c r="B236" s="8" t="n">
        <x:v>3.39703148029</x:v>
      </x:c>
      <x:c r="C236" s="8" t="n">
        <x:v>3.40154194754</x:v>
      </x:c>
      <x:c r="D236" s="8" t="n">
        <x:v>4.27104746836</x:v>
      </x:c>
      <x:c r="E236" s="8" t="n">
        <x:v>11.2075837753</x:v>
      </x:c>
      <x:c r="F236" s="8" t="n">
        <x:v>88.88</x:v>
      </x:c>
      <x:c r="G236" s="8" t="n">
        <x:v>21.35</x:v>
      </x:c>
      <x:c r="H236" s="8" t="n">
        <x:v>23.7424</x:v>
      </x:c>
      <x:c r="I236" s="8" t="n">
        <x:v>12.868</x:v>
      </x:c>
      <x:c r="J236" s="8" t="n">
        <x:v>10.1132</x:v>
      </x:c>
      <x:c r="K236" s="8" t="n">
        <x:v>3.0086</x:v>
      </x:c>
      <x:c r="L236" s="8" t="n">
        <x:v>6.1984</x:v>
      </x:c>
      <x:c r="M236" s="8" t="n">
        <x:v>1.0874</x:v>
      </x:c>
      <x:c r="N236" s="8" t="n">
        <x:v>10.5119</x:v>
      </x:c>
    </x:row>
    <x:row r="237" ht="19" customHeight="1">
      <x:c r="A237" s="7" t="n">
        <x:v>40026</x:v>
      </x:c>
      <x:c r="B237" s="8" t="n">
        <x:v>3.49584838398</x:v>
      </x:c>
      <x:c r="C237" s="8" t="n">
        <x:v>3.51618901282</x:v>
      </x:c>
      <x:c r="D237" s="8" t="n">
        <x:v>4.2789995221</x:v>
      </x:c>
      <x:c r="E237" s="8" t="n">
        <x:v>11.200206434</x:v>
      </x:c>
      <x:c r="F237" s="8" t="n">
        <x:v>86.3</x:v>
      </x:c>
      <x:c r="G237" s="8" t="n">
        <x:v>22.0434</x:v>
      </x:c>
      <x:c r="H237" s="8" t="n">
        <x:v>26.4521</x:v>
      </x:c>
      <x:c r="I237" s="8" t="n">
        <x:v>16.2019</x:v>
      </x:c>
      <x:c r="J237" s="8" t="n">
        <x:v>4.8496</x:v>
      </x:c>
      <x:c r="K237" s="8" t="n">
        <x:v>2.0206</x:v>
      </x:c>
      <x:c r="L237" s="8" t="n">
        <x:v>1.4696</x:v>
      </x:c>
      <x:c r="M237" s="8" t="n">
        <x:v>0.7348</x:v>
      </x:c>
      <x:c r="N237" s="8" t="n">
        <x:v>12.528</x:v>
      </x:c>
    </x:row>
    <x:row r="238" ht="19" customHeight="1">
      <x:c r="A238" s="7" t="n">
        <x:v>40057</x:v>
      </x:c>
      <x:c r="B238" s="8" t="n">
        <x:v>3.47056645332</x:v>
      </x:c>
      <x:c r="C238" s="8" t="n">
        <x:v>3.44488285859</x:v>
      </x:c>
      <x:c r="D238" s="8" t="n">
        <x:v>4.29278394478</x:v>
      </x:c>
      <x:c r="E238" s="8" t="n">
        <x:v>11.2061906496</x:v>
      </x:c>
      <x:c r="F238" s="8" t="n">
        <x:v>91.3</x:v>
      </x:c>
      <x:c r="G238" s="8" t="n">
        <x:v>25.6534</x:v>
      </x:c>
      <x:c r="H238" s="8" t="n">
        <x:v>26.7343</x:v>
      </x:c>
      <x:c r="I238" s="8" t="n">
        <x:v>15.1326</x:v>
      </x:c>
      <x:c r="J238" s="8" t="n">
        <x:v>2.6662</x:v>
      </x:c>
      <x:c r="K238" s="8" t="n">
        <x:v>7.8185</x:v>
      </x:c>
      <x:c r="L238" s="8" t="n">
        <x:v>2.2339</x:v>
      </x:c>
      <x:c r="M238" s="8" t="n">
        <x:v>2.1618</x:v>
      </x:c>
      <x:c r="N238" s="8" t="n">
        <x:v>8.8994</x:v>
      </x:c>
    </x:row>
    <x:row r="239" ht="19" customHeight="1">
      <x:c r="A239" s="7" t="n">
        <x:v>40087</x:v>
      </x:c>
      <x:c r="B239" s="8" t="n">
        <x:v>3.55458039531</x:v>
      </x:c>
      <x:c r="C239" s="8" t="n">
        <x:v>3.51484185133</x:v>
      </x:c>
      <x:c r="D239" s="8" t="n">
        <x:v>4.29921561536</x:v>
      </x:c>
      <x:c r="E239" s="8" t="n">
        <x:v>11.2123821738</x:v>
      </x:c>
      <x:c r="F239" s="8" t="n">
        <x:v>88.44</x:v>
      </x:c>
      <x:c r="G239" s="8" t="n">
        <x:v>26.2142</x:v>
      </x:c>
      <x:c r="H239" s="8" t="n">
        <x:v>23.4479</x:v>
      </x:c>
      <x:c r="I239" s="8" t="n">
        <x:v>16.565</x:v>
      </x:c>
      <x:c r="J239" s="8" t="n">
        <x:v>2.2065</x:v>
      </x:c>
      <x:c r="K239" s="8" t="n">
        <x:v>7.0475</x:v>
      </x:c>
      <x:c r="L239" s="8" t="n">
        <x:v>2.0747</x:v>
      </x:c>
      <x:c r="M239" s="8" t="n">
        <x:v>1.5149</x:v>
      </x:c>
      <x:c r="N239" s="8" t="n">
        <x:v>9.3693</x:v>
      </x:c>
    </x:row>
    <x:row r="240" ht="19" customHeight="1">
      <x:c r="A240" s="7" t="n">
        <x:v>40118</x:v>
      </x:c>
      <x:c r="B240" s="8" t="n">
        <x:v>3.58077568577</x:v>
      </x:c>
      <x:c r="C240" s="8" t="n">
        <x:v>3.56357513238</x:v>
      </x:c>
      <x:c r="D240" s="8" t="n">
        <x:v>4.30852523039</x:v>
      </x:c>
      <x:c r="E240" s="8" t="n">
        <x:v>11.2140548873</x:v>
      </x:c>
      <x:c r="F240" s="8" t="n">
        <x:v>86.8</x:v>
      </x:c>
      <x:c r="G240" s="8" t="n">
        <x:v>18.4197</x:v>
      </x:c>
      <x:c r="H240" s="8" t="n">
        <x:v>26.7405</x:v>
      </x:c>
      <x:c r="I240" s="8" t="n">
        <x:v>21.5133</x:v>
      </x:c>
      <x:c r="J240" s="8" t="n">
        <x:v>2.3113</x:v>
      </x:c>
      <x:c r="K240" s="8" t="n">
        <x:v>4.4093</x:v>
      </x:c>
      <x:c r="L240" s="8" t="n">
        <x:v>1.778</x:v>
      </x:c>
      <x:c r="M240" s="8" t="n">
        <x:v>0.7467</x:v>
      </x:c>
      <x:c r="N240" s="8" t="n">
        <x:v>10.8811</x:v>
      </x:c>
    </x:row>
    <x:row r="241" ht="19" customHeight="1">
      <x:c r="A241" s="7" t="n">
        <x:v>40148</x:v>
      </x:c>
      <x:c r="B241" s="8" t="n">
        <x:v>3.53407139099</x:v>
      </x:c>
      <x:c r="C241" s="8" t="n">
        <x:v>3.53393709972</x:v>
      </x:c>
      <x:c r="D241" s="8" t="n">
        <x:v>4.31429857903</x:v>
      </x:c>
      <x:c r="E241" s="8" t="n">
        <x:v>11.2099548223</x:v>
      </x:c>
      <x:c r="F241" s="8" t="n">
        <x:v>100.79</x:v>
      </x:c>
      <x:c r="G241" s="8" t="n">
        <x:v>25.7776</x:v>
      </x:c>
      <x:c r="H241" s="8" t="n">
        <x:v>23.5298</x:v>
      </x:c>
      <x:c r="I241" s="8" t="n">
        <x:v>26.3214</x:v>
      </x:c>
      <x:c r="J241" s="8" t="n">
        <x:v>4.7495</x:v>
      </x:c>
      <x:c r="K241" s="8" t="n">
        <x:v>5.0395</x:v>
      </x:c>
      <x:c r="L241" s="8" t="n">
        <x:v>1.2689</x:v>
      </x:c>
      <x:c r="M241" s="8" t="n">
        <x:v>1.6315</x:v>
      </x:c>
      <x:c r="N241" s="8" t="n">
        <x:v>12.4719</x:v>
      </x:c>
    </x:row>
    <x:row r="242" ht="19" customHeight="1">
      <x:c r="A242" s="7" t="n">
        <x:v>40179</x:v>
      </x:c>
      <x:c r="B242" s="8" t="n">
        <x:v>3.58395718077</x:v>
      </x:c>
      <x:c r="C242" s="8" t="n">
        <x:v>3.55599419378</x:v>
      </x:c>
      <x:c r="D242" s="8" t="n">
        <x:v>4.32535496924</x:v>
      </x:c>
      <x:c r="E242" s="8" t="n">
        <x:v>11.2124356686</x:v>
      </x:c>
      <x:c r="F242" s="8" t="n">
        <x:v>104.68</x:v>
      </x:c>
      <x:c r="G242" s="8" t="n">
        <x:v>16.7758</x:v>
      </x:c>
      <x:c r="H242" s="8" t="n">
        <x:v>27.5829</x:v>
      </x:c>
      <x:c r="I242" s="8" t="n">
        <x:v>35.6931</x:v>
      </x:c>
      <x:c r="J242" s="8" t="n">
        <x:v>3.609</x:v>
      </x:c>
      <x:c r="K242" s="8" t="n">
        <x:v>1.9036</x:v>
      </x:c>
      <x:c r="L242" s="8" t="n">
        <x:v>0.7139</x:v>
      </x:c>
      <x:c r="M242" s="8" t="n">
        <x:v>1.9433</x:v>
      </x:c>
      <x:c r="N242" s="8" t="n">
        <x:v>16.4585</x:v>
      </x:c>
    </x:row>
    <x:row r="243" ht="19" customHeight="1">
      <x:c r="A243" s="7" t="n">
        <x:v>40210</x:v>
      </x:c>
      <x:c r="B243" s="8" t="n">
        <x:v>3.55983053683</x:v>
      </x:c>
      <x:c r="C243" s="8" t="n">
        <x:v>3.52465973449</x:v>
      </x:c>
      <x:c r="D243" s="8" t="n">
        <x:v>4.32924791863</x:v>
      </x:c>
      <x:c r="E243" s="8" t="n">
        <x:v>11.2166774083</x:v>
      </x:c>
      <x:c r="F243" s="8" t="n">
        <x:v>95.17</x:v>
      </x:c>
      <x:c r="G243" s="8" t="n">
        <x:v>20.8411</x:v>
      </x:c>
      <x:c r="H243" s="8" t="n">
        <x:v>31.0272</x:v>
      </x:c>
      <x:c r="I243" s="8" t="n">
        <x:v>16.7922</x:v>
      </x:c>
      <x:c r="J243" s="8" t="n">
        <x:v>3.4096</x:v>
      </x:c>
      <x:c r="K243" s="8" t="n">
        <x:v>6.9044</x:v>
      </x:c>
      <x:c r="L243" s="8" t="n">
        <x:v>1.6622</x:v>
      </x:c>
      <x:c r="M243" s="8" t="n">
        <x:v>1.6622</x:v>
      </x:c>
      <x:c r="N243" s="8" t="n">
        <x:v>12.8712</x:v>
      </x:c>
    </x:row>
    <x:row r="244" ht="19" customHeight="1">
      <x:c r="A244" s="7" t="n">
        <x:v>40238</x:v>
      </x:c>
      <x:c r="B244" s="8" t="n">
        <x:v>3.62056267319</x:v>
      </x:c>
      <x:c r="C244" s="8" t="n">
        <x:v>3.5909410611</x:v>
      </x:c>
      <x:c r="D244" s="8" t="n">
        <x:v>4.33957269249</x:v>
      </x:c>
      <x:c r="E244" s="8" t="n">
        <x:v>11.2199863176</x:v>
      </x:c>
      <x:c r="F244" s="8" t="n">
        <x:v>93.46</x:v>
      </x:c>
      <x:c r="G244" s="8" t="n">
        <x:v>14.9488</x:v>
      </x:c>
      <x:c r="H244" s="8" t="n">
        <x:v>35.2904</x:v>
      </x:c>
      <x:c r="I244" s="8" t="n">
        <x:v>20.1829</x:v>
      </x:c>
      <x:c r="J244" s="8" t="n">
        <x:v>3.8463</x:v>
      </x:c>
      <x:c r="K244" s="8" t="n">
        <x:v>2.6963</x:v>
      </x:c>
      <x:c r="L244" s="8" t="n">
        <x:v>0.3172</x:v>
      </x:c>
      <x:c r="M244" s="8" t="n">
        <x:v>2.6963</x:v>
      </x:c>
      <x:c r="N244" s="8" t="n">
        <x:v>13.4817</x:v>
      </x:c>
    </x:row>
    <x:row r="245" ht="19" customHeight="1">
      <x:c r="A245" s="7" t="n">
        <x:v>40269</x:v>
      </x:c>
      <x:c r="B245" s="8" t="n">
        <x:v>3.65768064596</x:v>
      </x:c>
      <x:c r="C245" s="8" t="n">
        <x:v>3.66394877599</x:v>
      </x:c>
      <x:c r="D245" s="8" t="n">
        <x:v>4.34573958766</x:v>
      </x:c>
      <x:c r="E245" s="8" t="n">
        <x:v>11.2166713432</x:v>
      </x:c>
      <x:c r="F245" s="8" t="n">
        <x:v>91.49</x:v>
      </x:c>
      <x:c r="G245" s="8" t="n">
        <x:v>15.4538</x:v>
      </x:c>
      <x:c r="H245" s="8" t="n">
        <x:v>26.8798</x:v>
      </x:c>
      <x:c r="I245" s="8" t="n">
        <x:v>17.2623</x:v>
      </x:c>
      <x:c r="J245" s="8" t="n">
        <x:v>4.2745</x:v>
      </x:c>
      <x:c r="K245" s="8" t="n">
        <x:v>7.5625</x:v>
      </x:c>
      <x:c r="L245" s="8" t="n">
        <x:v>4.3567</x:v>
      </x:c>
      <x:c r="M245" s="8" t="n">
        <x:v>2.3016</x:v>
      </x:c>
      <x:c r="N245" s="8" t="n">
        <x:v>13.3988</x:v>
      </x:c>
    </x:row>
    <x:row r="246" ht="19" customHeight="1">
      <x:c r="A246" s="7" t="n">
        <x:v>40299</x:v>
      </x:c>
      <x:c r="B246" s="8" t="n">
        <x:v>3.52448271192</x:v>
      </x:c>
      <x:c r="C246" s="8" t="n">
        <x:v>3.55401254815</x:v>
      </x:c>
      <x:c r="D246" s="8" t="n">
        <x:v>4.35193162894</x:v>
      </x:c>
      <x:c r="E246" s="8" t="n">
        <x:v>11.2164005959</x:v>
      </x:c>
      <x:c r="F246" s="8" t="n">
        <x:v>109.31</x:v>
      </x:c>
      <x:c r="G246" s="8" t="n">
        <x:v>21.3689</x:v>
      </x:c>
      <x:c r="H246" s="8" t="n">
        <x:v>28.1005</x:v>
      </x:c>
      <x:c r="I246" s="8" t="n">
        <x:v>28.1396</x:v>
      </x:c>
      <x:c r="J246" s="8" t="n">
        <x:v>7.2012</x:v>
      </x:c>
      <x:c r="K246" s="8" t="n">
        <x:v>3.8354</x:v>
      </x:c>
      <x:c r="L246" s="8" t="n">
        <x:v>0.7827</x:v>
      </x:c>
      <x:c r="M246" s="8" t="n">
        <x:v>1.6829</x:v>
      </x:c>
      <x:c r="N246" s="8" t="n">
        <x:v>18.1988</x:v>
      </x:c>
    </x:row>
    <x:row r="247" ht="19" customHeight="1">
      <x:c r="A247" s="7" t="n">
        <x:v>40330</x:v>
      </x:c>
      <x:c r="B247" s="8" t="n">
        <x:v>3.54636740425</x:v>
      </x:c>
      <x:c r="C247" s="8" t="n">
        <x:v>3.53863918458</x:v>
      </x:c>
      <x:c r="D247" s="8" t="n">
        <x:v>4.35125796748</x:v>
      </x:c>
      <x:c r="E247" s="8" t="n">
        <x:v>11.2114780832</x:v>
      </x:c>
      <x:c r="F247" s="8" t="n">
        <x:v>106.34</x:v>
      </x:c>
      <x:c r="G247" s="8" t="n">
        <x:v>30.6655</x:v>
      </x:c>
      <x:c r="H247" s="8" t="n">
        <x:v>30.4182</x:v>
      </x:c>
      <x:c r="I247" s="8" t="n">
        <x:v>14.4672</x:v>
      </x:c>
      <x:c r="J247" s="8" t="n">
        <x:v>7.0893</x:v>
      </x:c>
      <x:c r="K247" s="8" t="n">
        <x:v>2.1021</x:v>
      </x:c>
      <x:c r="L247" s="8" t="n">
        <x:v>0.1649</x:v>
      </x:c>
      <x:c r="M247" s="8" t="n">
        <x:v>4.946</x:v>
      </x:c>
      <x:c r="N247" s="8" t="n">
        <x:v>16.4868</x:v>
      </x:c>
    </x:row>
    <x:row r="248" ht="19" customHeight="1">
      <x:c r="A248" s="7" t="n">
        <x:v>40360</x:v>
      </x:c>
      <x:c r="B248" s="8" t="n">
        <x:v>3.55742372047</x:v>
      </x:c>
      <x:c r="C248" s="8" t="n">
        <x:v>3.54768039125</x:v>
      </x:c>
      <x:c r="D248" s="8" t="n">
        <x:v>4.3541943307</x:v>
      </x:c>
      <x:c r="E248" s="8" t="n">
        <x:v>11.2148506539</x:v>
      </x:c>
      <x:c r="F248" s="8" t="n">
        <x:v>97.73</x:v>
      </x:c>
      <x:c r="G248" s="8" t="n">
        <x:v>24.6219</x:v>
      </x:c>
      <x:c r="H248" s="8" t="n">
        <x:v>31.1457</x:v>
      </x:c>
      <x:c r="I248" s="8" t="n">
        <x:v>19.4239</x:v>
      </x:c>
      <x:c r="J248" s="8" t="n">
        <x:v>3.5355</x:v>
      </x:c>
      <x:c r="K248" s="8" t="n">
        <x:v>2.7358</x:v>
      </x:c>
      <x:c r="L248" s="8" t="n">
        <x:v>0.1684</x:v>
      </x:c>
      <x:c r="M248" s="8" t="n">
        <x:v>2.4411</x:v>
      </x:c>
      <x:c r="N248" s="8" t="n">
        <x:v>13.6578</x:v>
      </x:c>
    </x:row>
    <x:row r="249" ht="19" customHeight="1">
      <x:c r="A249" s="7" t="n">
        <x:v>40391</x:v>
      </x:c>
      <x:c r="B249" s="8" t="n">
        <x:v>3.55962547335</x:v>
      </x:c>
      <x:c r="C249" s="8" t="n">
        <x:v>3.56535316409</x:v>
      </x:c>
      <x:c r="D249" s="8" t="n">
        <x:v>4.35856583645</x:v>
      </x:c>
      <x:c r="E249" s="8" t="n">
        <x:v>11.2131524028</x:v>
      </x:c>
      <x:c r="F249" s="8" t="n">
        <x:v>96.3</x:v>
      </x:c>
      <x:c r="G249" s="8" t="n">
        <x:v>26.7692</x:v>
      </x:c>
      <x:c r="H249" s="8" t="n">
        <x:v>28.2348</x:v>
      </x:c>
      <x:c r="I249" s="8" t="n">
        <x:v>15.5184</x:v>
      </x:c>
      <x:c r="J249" s="8" t="n">
        <x:v>2.5002</x:v>
      </x:c>
      <x:c r="K249" s="8" t="n">
        <x:v>3.2761</x:v>
      </x:c>
      <x:c r="L249" s="8" t="n">
        <x:v>0</x:v>
      </x:c>
      <x:c r="M249" s="8" t="n">
        <x:v>2.2846</x:v>
      </x:c>
      <x:c r="N249" s="8" t="n">
        <x:v>17.7168</x:v>
      </x:c>
    </x:row>
    <x:row r="250" ht="19" customHeight="1">
      <x:c r="A250" s="7" t="n">
        <x:v>40422</x:v>
      </x:c>
      <x:c r="B250" s="8" t="n">
        <x:v>3.54009745472</x:v>
      </x:c>
      <x:c r="C250" s="8" t="n">
        <x:v>3.57406988817</x:v>
      </x:c>
      <x:c r="D250" s="8" t="n">
        <x:v>4.36220723226</x:v>
      </x:c>
      <x:c r="E250" s="8" t="n">
        <x:v>11.2173405935</x:v>
      </x:c>
      <x:c r="F250" s="8" t="n">
        <x:v>91.95</x:v>
      </x:c>
      <x:c r="G250" s="8" t="n">
        <x:v>18.6799</x:v>
      </x:c>
      <x:c r="H250" s="8" t="n">
        <x:v>35.0404</x:v>
      </x:c>
      <x:c r="I250" s="8" t="n">
        <x:v>17.2303</x:v>
      </x:c>
      <x:c r="J250" s="8" t="n">
        <x:v>2.8579</x:v>
      </x:c>
      <x:c r="K250" s="8" t="n">
        <x:v>3.1893</x:v>
      </x:c>
      <x:c r="L250" s="8" t="n">
        <x:v>0.1657</x:v>
      </x:c>
      <x:c r="M250" s="8" t="n">
        <x:v>1.8224</x:v>
      </x:c>
      <x:c r="N250" s="8" t="n">
        <x:v>12.9641</x:v>
      </x:c>
    </x:row>
    <x:row r="251" ht="19" customHeight="1">
      <x:c r="A251" s="7" t="n">
        <x:v>40452</x:v>
      </x:c>
      <x:c r="B251" s="8" t="n">
        <x:v>3.62131553487</x:v>
      </x:c>
      <x:c r="C251" s="8" t="n">
        <x:v>3.63079543085</x:v>
      </x:c>
      <x:c r="D251" s="8" t="n">
        <x:v>4.36858340992</x:v>
      </x:c>
      <x:c r="E251" s="8" t="n">
        <x:v>11.2218326485</x:v>
      </x:c>
      <x:c r="F251" s="8" t="n">
        <x:v>85.75</x:v>
      </x:c>
      <x:c r="G251" s="8" t="n">
        <x:v>14.8878</x:v>
      </x:c>
      <x:c r="H251" s="8" t="n">
        <x:v>31.1484</x:v>
      </x:c>
      <x:c r="I251" s="8" t="n">
        <x:v>20.2629</x:v>
      </x:c>
      <x:c r="J251" s="8" t="n">
        <x:v>1.7015</x:v>
      </x:c>
      <x:c r="K251" s="8" t="n">
        <x:v>3.2869</x:v>
      </x:c>
      <x:c r="L251" s="8" t="n">
        <x:v>1.5468</x:v>
      </x:c>
      <x:c r="M251" s="8" t="n">
        <x:v>1.5081</x:v>
      </x:c>
      <x:c r="N251" s="8" t="n">
        <x:v>11.4076</x:v>
      </x:c>
    </x:row>
    <x:row r="252" ht="19" customHeight="1">
      <x:c r="A252" s="7" t="n">
        <x:v>40483</x:v>
      </x:c>
      <x:c r="B252" s="8" t="n">
        <x:v>3.64719658396</x:v>
      </x:c>
      <x:c r="C252" s="8" t="n">
        <x:v>3.65934797515</x:v>
      </x:c>
      <x:c r="D252" s="8" t="n">
        <x:v>4.37502897771</x:v>
      </x:c>
      <x:c r="E252" s="8" t="n">
        <x:v>11.226208739</x:v>
      </x:c>
      <x:c r="F252" s="8" t="n">
        <x:v>105.44</x:v>
      </x:c>
      <x:c r="G252" s="8" t="n">
        <x:v>19.3337</x:v>
      </x:c>
      <x:c r="H252" s="8" t="n">
        <x:v>36.7429</x:v>
      </x:c>
      <x:c r="I252" s="8" t="n">
        <x:v>23.4958</x:v>
      </x:c>
      <x:c r="J252" s="8" t="n">
        <x:v>3.0433</x:v>
      </x:c>
      <x:c r="K252" s="8" t="n">
        <x:v>6.4446</x:v>
      </x:c>
      <x:c r="L252" s="8" t="n">
        <x:v>0.358</x:v>
      </x:c>
      <x:c r="M252" s="8" t="n">
        <x:v>0.537</x:v>
      </x:c>
      <x:c r="N252" s="8" t="n">
        <x:v>15.4848</x:v>
      </x:c>
    </x:row>
    <x:row r="253" ht="19" customHeight="1">
      <x:c r="A253" s="7" t="n">
        <x:v>40513</x:v>
      </x:c>
      <x:c r="B253" s="8" t="n">
        <x:v>3.6997198276</x:v>
      </x:c>
      <x:c r="C253" s="8" t="n">
        <x:v>3.72519185813</x:v>
      </x:c>
      <x:c r="D253" s="8" t="n">
        <x:v>4.38248309563</x:v>
      </x:c>
      <x:c r="E253" s="8" t="n">
        <x:v>11.22742058</x:v>
      </x:c>
      <x:c r="F253" s="8" t="n">
        <x:v>102.88</x:v>
      </x:c>
      <x:c r="G253" s="8" t="n">
        <x:v>23.5179</x:v>
      </x:c>
      <x:c r="H253" s="8" t="n">
        <x:v>36.8823</x:v>
      </x:c>
      <x:c r="I253" s="8" t="n">
        <x:v>16.5754</x:v>
      </x:c>
      <x:c r="J253" s="8" t="n">
        <x:v>4.6862</x:v>
      </x:c>
      <x:c r="K253" s="8" t="n">
        <x:v>4.5561</x:v>
      </x:c>
      <x:c r="L253" s="8" t="n">
        <x:v>0.0868</x:v>
      </x:c>
      <x:c r="M253" s="8" t="n">
        <x:v>1.6489</x:v>
      </x:c>
      <x:c r="N253" s="8" t="n">
        <x:v>14.9265</x:v>
      </x:c>
    </x:row>
    <x:row r="254" ht="19" customHeight="1">
      <x:c r="A254" s="7" t="n">
        <x:v>40544</x:v>
      </x:c>
      <x:c r="B254" s="8" t="n">
        <x:v>3.69670634856</x:v>
      </x:c>
      <x:c r="C254" s="8" t="n">
        <x:v>3.77591192917</x:v>
      </x:c>
      <x:c r="D254" s="8" t="n">
        <x:v>4.39065740519</x:v>
      </x:c>
      <x:c r="E254" s="8" t="n">
        <x:v>11.2375067382</x:v>
      </x:c>
      <x:c r="F254" s="8" t="n">
        <x:v>104.25</x:v>
      </x:c>
      <x:c r="G254" s="8" t="n">
        <x:v>10.8278</x:v>
      </x:c>
      <x:c r="H254" s="8" t="n">
        <x:v>38.5036</x:v>
      </x:c>
      <x:c r="I254" s="8" t="n">
        <x:v>19.2302</x:v>
      </x:c>
      <x:c r="J254" s="8" t="n">
        <x:v>12.8634</x:v>
      </x:c>
      <x:c r="K254" s="8" t="n">
        <x:v>2.7719</x:v>
      </x:c>
      <x:c r="L254" s="8" t="n">
        <x:v>1.949</x:v>
      </x:c>
      <x:c r="M254" s="8" t="n">
        <x:v>1.5592</x:v>
      </x:c>
      <x:c r="N254" s="8" t="n">
        <x:v>16.5449</x:v>
      </x:c>
    </x:row>
    <x:row r="255" ht="19" customHeight="1">
      <x:c r="A255" s="7" t="n">
        <x:v>40575</x:v>
      </x:c>
      <x:c r="B255" s="8" t="n">
        <x:v>3.68685846765</x:v>
      </x:c>
      <x:c r="C255" s="8" t="n">
        <x:v>3.84464732983</x:v>
      </x:c>
      <x:c r="D255" s="8" t="n">
        <x:v>4.38986092558</x:v>
      </x:c>
      <x:c r="E255" s="8" t="n">
        <x:v>11.2317467155</x:v>
      </x:c>
      <x:c r="F255" s="8" t="n">
        <x:v>132.47</x:v>
      </x:c>
      <x:c r="G255" s="8" t="n">
        <x:v>12.1623</x:v>
      </x:c>
      <x:c r="H255" s="8" t="n">
        <x:v>37.4259</x:v>
      </x:c>
      <x:c r="I255" s="8" t="n">
        <x:v>13.1484</x:v>
      </x:c>
      <x:c r="J255" s="8" t="n">
        <x:v>38.0364</x:v>
      </x:c>
      <x:c r="K255" s="8" t="n">
        <x:v>2.0192</x:v>
      </x:c>
      <x:c r="L255" s="8" t="n">
        <x:v>3.5219</x:v>
      </x:c>
      <x:c r="M255" s="8" t="n">
        <x:v>2.301</x:v>
      </x:c>
      <x:c r="N255" s="8" t="n">
        <x:v>23.8549</x:v>
      </x:c>
    </x:row>
    <x:row r="256" ht="19" customHeight="1">
      <x:c r="A256" s="7" t="n">
        <x:v>40603</x:v>
      </x:c>
      <x:c r="B256" s="8" t="n">
        <x:v>3.83116099812</x:v>
      </x:c>
      <x:c r="C256" s="8" t="n">
        <x:v>3.93958894129</x:v>
      </x:c>
      <x:c r="D256" s="8" t="n">
        <x:v>4.38458665176</x:v>
      </x:c>
      <x:c r="E256" s="8" t="n">
        <x:v>11.2177670967</x:v>
      </x:c>
      <x:c r="F256" s="8" t="n">
        <x:v>143.18</x:v>
      </x:c>
      <x:c r="G256" s="8" t="n">
        <x:v>46.7617</x:v>
      </x:c>
      <x:c r="H256" s="8" t="n">
        <x:v>18.5225</x:v>
      </x:c>
      <x:c r="I256" s="8" t="n">
        <x:v>11.0933</x:v>
      </x:c>
      <x:c r="J256" s="8" t="n">
        <x:v>34.7778</x:v>
      </x:c>
      <x:c r="K256" s="8" t="n">
        <x:v>12.9961</x:v>
      </x:c>
      <x:c r="L256" s="8" t="n">
        <x:v>0.4858</x:v>
      </x:c>
      <x:c r="M256" s="8" t="n">
        <x:v>1.6195</x:v>
      </x:c>
      <x:c r="N256" s="8" t="n">
        <x:v>16.9233</x:v>
      </x:c>
    </x:row>
    <x:row r="257" ht="19" customHeight="1">
      <x:c r="A257" s="7" t="n">
        <x:v>40634</x:v>
      </x:c>
      <x:c r="B257" s="8" t="n">
        <x:v>3.88930752606</x:v>
      </x:c>
      <x:c r="C257" s="8" t="n">
        <x:v>4.00740498726</x:v>
      </x:c>
      <x:c r="D257" s="8" t="n">
        <x:v>4.38337348044</x:v>
      </x:c>
      <x:c r="E257" s="8" t="n">
        <x:v>11.2156867619</x:v>
      </x:c>
      <x:c r="F257" s="8" t="n">
        <x:v>123</x:v>
      </x:c>
      <x:c r="G257" s="8" t="n">
        <x:v>34.2993</x:v>
      </x:c>
      <x:c r="H257" s="8" t="n">
        <x:v>22.7287</x:v>
      </x:c>
      <x:c r="I257" s="8" t="n">
        <x:v>15.1091</x:v>
      </x:c>
      <x:c r="J257" s="8" t="n">
        <x:v>31.7594</x:v>
      </x:c>
      <x:c r="K257" s="8" t="n">
        <x:v>4.3417</x:v>
      </x:c>
      <x:c r="L257" s="8" t="n">
        <x:v>0.6947</x:v>
      </x:c>
      <x:c r="M257" s="8" t="n">
        <x:v>0.9552</x:v>
      </x:c>
      <x:c r="N257" s="8" t="n">
        <x:v>13.1119</x:v>
      </x:c>
    </x:row>
    <x:row r="258" ht="19" customHeight="1">
      <x:c r="A258" s="7" t="n">
        <x:v>40664</x:v>
      </x:c>
      <x:c r="B258" s="8" t="n">
        <x:v>3.80406230529</x:v>
      </x:c>
      <x:c r="C258" s="8" t="n">
        <x:v>3.93477754599</x:v>
      </x:c>
      <x:c r="D258" s="8" t="n">
        <x:v>4.3903427127</x:v>
      </x:c>
      <x:c r="E258" s="8" t="n">
        <x:v>11.2071653606</x:v>
      </x:c>
      <x:c r="F258" s="8" t="n">
        <x:v>125.6</x:v>
      </x:c>
      <x:c r="G258" s="8" t="n">
        <x:v>38.5437</x:v>
      </x:c>
      <x:c r="H258" s="8" t="n">
        <x:v>32.3131</x:v>
      </x:c>
      <x:c r="I258" s="8" t="n">
        <x:v>19.5941</x:v>
      </x:c>
      <x:c r="J258" s="8" t="n">
        <x:v>17.3167</x:v>
      </x:c>
      <x:c r="K258" s="8" t="n">
        <x:v>2.3204</x:v>
      </x:c>
      <x:c r="L258" s="8" t="n">
        <x:v>0.6445</x:v>
      </x:c>
      <x:c r="M258" s="8" t="n">
        <x:v>1.9336</x:v>
      </x:c>
      <x:c r="N258" s="8" t="n">
        <x:v>12.9338</x:v>
      </x:c>
    </x:row>
    <x:row r="259" ht="19" customHeight="1">
      <x:c r="A259" s="7" t="n">
        <x:v>40695</x:v>
      </x:c>
      <x:c r="B259" s="8" t="n">
        <x:v>3.75698524181</x:v>
      </x:c>
      <x:c r="C259" s="8" t="n">
        <x:v>3.92463848527</x:v>
      </x:c>
      <x:c r="D259" s="8" t="n">
        <x:v>4.39709985261</x:v>
      </x:c>
      <x:c r="E259" s="8" t="n">
        <x:v>11.2178248586</x:v>
      </x:c>
      <x:c r="F259" s="8" t="n">
        <x:v>117.71</x:v>
      </x:c>
      <x:c r="G259" s="8" t="n">
        <x:v>37.2763</x:v>
      </x:c>
      <x:c r="H259" s="8" t="n">
        <x:v>26.1626</x:v>
      </x:c>
      <x:c r="I259" s="8" t="n">
        <x:v>14.357</x:v>
      </x:c>
      <x:c r="J259" s="8" t="n">
        <x:v>18.2922</x:v>
      </x:c>
      <x:c r="K259" s="8" t="n">
        <x:v>1.6433</x:v>
      </x:c>
      <x:c r="L259" s="8" t="n">
        <x:v>0.4757</x:v>
      </x:c>
      <x:c r="M259" s="8" t="n">
        <x:v>1.6865</x:v>
      </x:c>
      <x:c r="N259" s="8" t="n">
        <x:v>17.8165</x:v>
      </x:c>
    </x:row>
    <x:row r="260" ht="19" customHeight="1">
      <x:c r="A260" s="7" t="n">
        <x:v>40725</x:v>
      </x:c>
      <x:c r="B260" s="8" t="n">
        <x:v>3.76511475661</x:v>
      </x:c>
      <x:c r="C260" s="8" t="n">
        <x:v>3.94923325908</x:v>
      </x:c>
      <x:c r="D260" s="8" t="n">
        <x:v>4.40192273883</x:v>
      </x:c>
      <x:c r="E260" s="8" t="n">
        <x:v>11.2231082836</x:v>
      </x:c>
      <x:c r="F260" s="8" t="n">
        <x:v>100.63</x:v>
      </x:c>
      <x:c r="G260" s="8" t="n">
        <x:v>16.6446</x:v>
      </x:c>
      <x:c r="H260" s="8" t="n">
        <x:v>27.5812</x:v>
      </x:c>
      <x:c r="I260" s="8" t="n">
        <x:v>18.0389</x:v>
      </x:c>
      <x:c r="J260" s="8" t="n">
        <x:v>14.8799</x:v>
      </x:c>
      <x:c r="K260" s="8" t="n">
        <x:v>1.4379</x:v>
      </x:c>
      <x:c r="L260" s="8" t="n">
        <x:v>0.61</x:v>
      </x:c>
      <x:c r="M260" s="8" t="n">
        <x:v>1.4379</x:v>
      </x:c>
      <x:c r="N260" s="8" t="n">
        <x:v>19.9996</x:v>
      </x:c>
    </x:row>
    <x:row r="261" ht="19" customHeight="1">
      <x:c r="A261" s="7" t="n">
        <x:v>40756</x:v>
      </x:c>
      <x:c r="B261" s="8" t="n">
        <x:v>3.64234343237</x:v>
      </x:c>
      <x:c r="C261" s="8" t="n">
        <x:v>3.88664463858</x:v>
      </x:c>
      <x:c r="D261" s="8" t="n">
        <x:v>4.40694972563</x:v>
      </x:c>
      <x:c r="E261" s="8" t="n">
        <x:v>11.2292568168</x:v>
      </x:c>
      <x:c r="F261" s="8" t="n">
        <x:v>101.45</x:v>
      </x:c>
      <x:c r="G261" s="8" t="n">
        <x:v>26.2635</x:v>
      </x:c>
      <x:c r="H261" s="8" t="n">
        <x:v>21.3081</x:v>
      </x:c>
      <x:c r="I261" s="8" t="n">
        <x:v>11.4875</x:v>
      </x:c>
      <x:c r="J261" s="8" t="n">
        <x:v>21.8487</x:v>
      </x:c>
      <x:c r="K261" s="8" t="n">
        <x:v>0.9911</x:v>
      </x:c>
      <x:c r="L261" s="8" t="n">
        <x:v>0.4505</x:v>
      </x:c>
      <x:c r="M261" s="8" t="n">
        <x:v>1.802</x:v>
      </x:c>
      <x:c r="N261" s="8" t="n">
        <x:v>17.2988</x:v>
      </x:c>
    </x:row>
    <x:row r="262" ht="19" customHeight="1">
      <x:c r="A262" s="7" t="n">
        <x:v>40787</x:v>
      </x:c>
      <x:c r="B262" s="8" t="n">
        <x:v>3.63074734339</x:v>
      </x:c>
      <x:c r="C262" s="8" t="n">
        <x:v>3.90787933782</x:v>
      </x:c>
      <x:c r="D262" s="8" t="n">
        <x:v>4.40701644097</x:v>
      </x:c>
      <x:c r="E262" s="8" t="n">
        <x:v>11.2209894327</x:v>
      </x:c>
      <x:c r="F262" s="8" t="n">
        <x:v>111.15</x:v>
      </x:c>
      <x:c r="G262" s="8" t="n">
        <x:v>17.7525</x:v>
      </x:c>
      <x:c r="H262" s="8" t="n">
        <x:v>37.0354</x:v>
      </x:c>
      <x:c r="I262" s="8" t="n">
        <x:v>20.4198</x:v>
      </x:c>
      <x:c r="J262" s="8" t="n">
        <x:v>16.3096</x:v>
      </x:c>
      <x:c r="K262" s="8" t="n">
        <x:v>2.5798</x:v>
      </x:c>
      <x:c r="L262" s="8" t="n">
        <x:v>0.1312</x:v>
      </x:c>
      <x:c r="M262" s="8" t="n">
        <x:v>1.2243</x:v>
      </x:c>
      <x:c r="N262" s="8" t="n">
        <x:v>15.6974</x:v>
      </x:c>
    </x:row>
    <x:row r="263" ht="19" customHeight="1">
      <x:c r="A263" s="7" t="n">
        <x:v>40817</x:v>
      </x:c>
      <x:c r="B263" s="8" t="n">
        <x:v>3.63938341794</x:v>
      </x:c>
      <x:c r="C263" s="8" t="n">
        <x:v>3.87770316303</x:v>
      </x:c>
      <x:c r="D263" s="8" t="n">
        <x:v>4.40513589116</x:v>
      </x:c>
      <x:c r="E263" s="8" t="n">
        <x:v>11.2286778302</x:v>
      </x:c>
      <x:c r="F263" s="8" t="n">
        <x:v>99.51</x:v>
      </x:c>
      <x:c r="G263" s="8" t="n">
        <x:v>22.5355</x:v>
      </x:c>
      <x:c r="H263" s="8" t="n">
        <x:v>31.7741</x:v>
      </x:c>
      <x:c r="I263" s="8" t="n">
        <x:v>13.4695</x:v>
      </x:c>
      <x:c r="J263" s="8" t="n">
        <x:v>13.599</x:v>
      </x:c>
      <x:c r="K263" s="8" t="n">
        <x:v>1.3383</x:v>
      </x:c>
      <x:c r="L263" s="8" t="n">
        <x:v>0.259</x:v>
      </x:c>
      <x:c r="M263" s="8" t="n">
        <x:v>1.6837</x:v>
      </x:c>
      <x:c r="N263" s="8" t="n">
        <x:v>14.851</x:v>
      </x:c>
    </x:row>
    <x:row r="264" ht="19" customHeight="1">
      <x:c r="A264" s="7" t="n">
        <x:v>40848</x:v>
      </x:c>
      <x:c r="B264" s="8" t="n">
        <x:v>3.75583505625</x:v>
      </x:c>
      <x:c r="C264" s="8" t="n">
        <x:v>3.88693193164</x:v>
      </x:c>
      <x:c r="D264" s="8" t="n">
        <x:v>4.40765890902</x:v>
      </x:c>
      <x:c r="E264" s="8" t="n">
        <x:v>11.2416274336</x:v>
      </x:c>
      <x:c r="F264" s="8" t="n">
        <x:v>100.94</x:v>
      </x:c>
      <x:c r="G264" s="8" t="n">
        <x:v>15.8312</x:v>
      </x:c>
      <x:c r="H264" s="8" t="n">
        <x:v>33.6467</x:v>
      </x:c>
      <x:c r="I264" s="8" t="n">
        <x:v>8.843</x:v>
      </x:c>
      <x:c r="J264" s="8" t="n">
        <x:v>13.89</x:v>
      </x:c>
      <x:c r="K264" s="8" t="n">
        <x:v>7.247</x:v>
      </x:c>
      <x:c r="L264" s="8" t="n">
        <x:v>0.4314</x:v>
      </x:c>
      <x:c r="M264" s="8" t="n">
        <x:v>3.4941</x:v>
      </x:c>
      <x:c r="N264" s="8" t="n">
        <x:v>17.5567</x:v>
      </x:c>
    </x:row>
    <x:row r="265" ht="19" customHeight="1">
      <x:c r="A265" s="7" t="n">
        <x:v>40878</x:v>
      </x:c>
      <x:c r="B265" s="8" t="n">
        <x:v>3.76990377166</x:v>
      </x:c>
      <x:c r="C265" s="8" t="n">
        <x:v>3.86016507026</x:v>
      </x:c>
      <x:c r="D265" s="8" t="n">
        <x:v>4.41316919669</x:v>
      </x:c>
      <x:c r="E265" s="8" t="n">
        <x:v>11.2462932112</x:v>
      </x:c>
      <x:c r="F265" s="8" t="n">
        <x:v>107.82</x:v>
      </x:c>
      <x:c r="G265" s="8" t="n">
        <x:v>13.8849</x:v>
      </x:c>
      <x:c r="H265" s="8" t="n">
        <x:v>42.4583</x:v>
      </x:c>
      <x:c r="I265" s="8" t="n">
        <x:v>10.849</x:v>
      </x:c>
      <x:c r="J265" s="8" t="n">
        <x:v>14.7778</x:v>
      </x:c>
      <x:c r="K265" s="8" t="n">
        <x:v>5.8486</x:v>
      </x:c>
      <x:c r="L265" s="8" t="n">
        <x:v>0.8483</x:v>
      </x:c>
      <x:c r="M265" s="8" t="n">
        <x:v>3.9288</x:v>
      </x:c>
      <x:c r="N265" s="8" t="n">
        <x:v>15.2243</x:v>
      </x:c>
    </x:row>
    <x:row r="266" ht="19" customHeight="1">
      <x:c r="A266" s="7" t="n">
        <x:v>40909</x:v>
      </x:c>
      <x:c r="B266" s="8" t="n">
        <x:v>3.78438432725</x:v>
      </x:c>
      <x:c r="C266" s="8" t="n">
        <x:v>3.88325128111</x:v>
      </x:c>
      <x:c r="D266" s="8" t="n">
        <x:v>4.41657180827</x:v>
      </x:c>
      <x:c r="E266" s="8" t="n">
        <x:v>11.2485080529</x:v>
      </x:c>
      <x:c r="F266" s="8" t="n">
        <x:v>96.3</x:v>
      </x:c>
      <x:c r="G266" s="8" t="n">
        <x:v>12.7189</x:v>
      </x:c>
      <x:c r="H266" s="8" t="n">
        <x:v>33.4411</x:v>
      </x:c>
      <x:c r="I266" s="8" t="n">
        <x:v>11.6806</x:v>
      </x:c>
      <x:c r="J266" s="8" t="n">
        <x:v>13.4111</x:v>
      </x:c>
      <x:c r="K266" s="8" t="n">
        <x:v>4.8453</x:v>
      </x:c>
      <x:c r="L266" s="8" t="n">
        <x:v>1.0383</x:v>
      </x:c>
      <x:c r="M266" s="8" t="n">
        <x:v>5.1914</x:v>
      </x:c>
      <x:c r="N266" s="8" t="n">
        <x:v>13.9735</x:v>
      </x:c>
    </x:row>
    <x:row r="267" ht="19" customHeight="1">
      <x:c r="A267" s="7" t="n">
        <x:v>40940</x:v>
      </x:c>
      <x:c r="B267" s="8" t="n">
        <x:v>3.80131429245</x:v>
      </x:c>
      <x:c r="C267" s="8" t="n">
        <x:v>3.95627537906</x:v>
      </x:c>
      <x:c r="D267" s="8" t="n">
        <x:v>4.42557941171</x:v>
      </x:c>
      <x:c r="E267" s="8" t="n">
        <x:v>11.2514029548</x:v>
      </x:c>
      <x:c r="F267" s="8" t="n">
        <x:v>105.68</x:v>
      </x:c>
      <x:c r="G267" s="8" t="n">
        <x:v>12.7465</x:v>
      </x:c>
      <x:c r="H267" s="8" t="n">
        <x:v>36.6635</x:v>
      </x:c>
      <x:c r="I267" s="8" t="n">
        <x:v>12.9782</x:v>
      </x:c>
      <x:c r="J267" s="8" t="n">
        <x:v>17.3816</x:v>
      </x:c>
      <x:c r="K267" s="8" t="n">
        <x:v>8.1114</x:v>
      </x:c>
      <x:c r="L267" s="8" t="n">
        <x:v>1.4832</x:v>
      </x:c>
      <x:c r="M267" s="8" t="n">
        <x:v>3.3836</x:v>
      </x:c>
      <x:c r="N267" s="8" t="n">
        <x:v>12.9319</x:v>
      </x:c>
    </x:row>
    <x:row r="268" ht="19" customHeight="1">
      <x:c r="A268" s="7" t="n">
        <x:v>40969</x:v>
      </x:c>
      <x:c r="B268" s="8" t="n">
        <x:v>3.83723872257</x:v>
      </x:c>
      <x:c r="C268" s="8" t="n">
        <x:v>4.00419860536</x:v>
      </x:c>
      <x:c r="D268" s="8" t="n">
        <x:v>4.42396565715</x:v>
      </x:c>
      <x:c r="E268" s="8" t="n">
        <x:v>11.25000239</x:v>
      </x:c>
      <x:c r="F268" s="8" t="n">
        <x:v>104.79</x:v>
      </x:c>
      <x:c r="G268" s="8" t="n">
        <x:v>20.5868</x:v>
      </x:c>
      <x:c r="H268" s="8" t="n">
        <x:v>30.1208</x:v>
      </x:c>
      <x:c r="I268" s="8" t="n">
        <x:v>13.4573</x:v>
      </x:c>
      <x:c r="J268" s="8" t="n">
        <x:v>14.5542</x:v>
      </x:c>
      <x:c r="K268" s="8" t="n">
        <x:v>10.0403</x:v>
      </x:c>
      <x:c r="L268" s="8" t="n">
        <x:v>1.6453</x:v>
      </x:c>
      <x:c r="M268" s="8" t="n">
        <x:v>3.1218</x:v>
      </x:c>
      <x:c r="N268" s="8" t="n">
        <x:v>11.2637</x:v>
      </x:c>
    </x:row>
    <x:row r="269" ht="19" customHeight="1">
      <x:c r="A269" s="7" t="n">
        <x:v>41000</x:v>
      </x:c>
      <x:c r="B269" s="8" t="n">
        <x:v>3.80846289001</x:v>
      </x:c>
      <x:c r="C269" s="8" t="n">
        <x:v>3.95603815807</x:v>
      </x:c>
      <x:c r="D269" s="8" t="n">
        <x:v>4.42265450931</x:v>
      </x:c>
      <x:c r="E269" s="8" t="n">
        <x:v>11.2541170994</x:v>
      </x:c>
      <x:c r="F269" s="8" t="n">
        <x:v>91.57</x:v>
      </x:c>
      <x:c r="G269" s="8" t="n">
        <x:v>16.0149</x:v>
      </x:c>
      <x:c r="H269" s="8" t="n">
        <x:v>26.8523</x:v>
      </x:c>
      <x:c r="I269" s="8" t="n">
        <x:v>9.4773</x:v>
      </x:c>
      <x:c r="J269" s="8" t="n">
        <x:v>12.8558</x:v>
      </x:c>
      <x:c r="K269" s="8" t="n">
        <x:v>7.7661</x:v>
      </x:c>
      <x:c r="L269" s="8" t="n">
        <x:v>3.203</x:v>
      </x:c>
      <x:c r="M269" s="8" t="n">
        <x:v>2.1938</x:v>
      </x:c>
      <x:c r="N269" s="8" t="n">
        <x:v>13.2068</x:v>
      </x:c>
    </x:row>
    <x:row r="270" ht="19" customHeight="1">
      <x:c r="A270" s="7" t="n">
        <x:v>41030</x:v>
      </x:c>
      <x:c r="B270" s="8" t="n">
        <x:v>3.72299376803</x:v>
      </x:c>
      <x:c r="C270" s="8" t="n">
        <x:v>3.87626875139</x:v>
      </x:c>
      <x:c r="D270" s="8" t="n">
        <x:v>4.42675799147</x:v>
      </x:c>
      <x:c r="E270" s="8" t="n">
        <x:v>11.2450359611</x:v>
      </x:c>
      <x:c r="F270" s="8" t="n">
        <x:v>104.46</x:v>
      </x:c>
      <x:c r="G270" s="8" t="n">
        <x:v>18.3164</x:v>
      </x:c>
      <x:c r="H270" s="8" t="n">
        <x:v>36.5458</x:v>
      </x:c>
      <x:c r="I270" s="8" t="n">
        <x:v>13.0956</x:v>
      </x:c>
      <x:c r="J270" s="8" t="n">
        <x:v>9.7455</x:v>
      </x:c>
      <x:c r="K270" s="8" t="n">
        <x:v>6.1345</x:v>
      </x:c>
      <x:c r="L270" s="8" t="n">
        <x:v>0.8266</x:v>
      </x:c>
      <x:c r="M270" s="8" t="n">
        <x:v>3.0455</x:v>
      </x:c>
      <x:c r="N270" s="8" t="n">
        <x:v>16.7501</x:v>
      </x:c>
    </x:row>
    <x:row r="271" ht="19" customHeight="1">
      <x:c r="A271" s="7" t="n">
        <x:v>41061</x:v>
      </x:c>
      <x:c r="B271" s="8" t="n">
        <x:v>3.58390005603</x:v>
      </x:c>
      <x:c r="C271" s="8" t="n">
        <x:v>3.72908863378</x:v>
      </x:c>
      <x:c r="D271" s="8" t="n">
        <x:v>4.42454614567</x:v>
      </x:c>
      <x:c r="E271" s="8" t="n">
        <x:v>11.2423645784</x:v>
      </x:c>
      <x:c r="F271" s="8" t="n">
        <x:v>91.42</x:v>
      </x:c>
      <x:c r="G271" s="8" t="n">
        <x:v>14.1355</x:v>
      </x:c>
      <x:c r="H271" s="8" t="n">
        <x:v>28.9846</x:v>
      </x:c>
      <x:c r="I271" s="8" t="n">
        <x:v>10.4059</x:v>
      </x:c>
      <x:c r="J271" s="8" t="n">
        <x:v>14.9642</x:v>
      </x:c>
      <x:c r="K271" s="8" t="n">
        <x:v>3.8677</x:v>
      </x:c>
      <x:c r="L271" s="8" t="n">
        <x:v>1.8878</x:v>
      </x:c>
      <x:c r="M271" s="8" t="n">
        <x:v>1.8878</x:v>
      </x:c>
      <x:c r="N271" s="8" t="n">
        <x:v>15.2865</x:v>
      </x:c>
    </x:row>
    <x:row r="272" ht="19" customHeight="1">
      <x:c r="A272" s="7" t="n">
        <x:v>41091</x:v>
      </x:c>
      <x:c r="B272" s="8" t="n">
        <x:v>3.64943998481</x:v>
      </x:c>
      <x:c r="C272" s="8" t="n">
        <x:v>3.80427302563</x:v>
      </x:c>
      <x:c r="D272" s="8" t="n">
        <x:v>4.42680467048</x:v>
      </x:c>
      <x:c r="E272" s="8" t="n">
        <x:v>11.245691021</x:v>
      </x:c>
      <x:c r="F272" s="8" t="n">
        <x:v>90.63</x:v>
      </x:c>
      <x:c r="G272" s="8" t="n">
        <x:v>12.3565</x:v>
      </x:c>
      <x:c r="H272" s="8" t="n">
        <x:v>26.183</x:v>
      </x:c>
      <x:c r="I272" s="8" t="n">
        <x:v>11.7135</x:v>
      </x:c>
      <x:c r="J272" s="8" t="n">
        <x:v>17.9147</x:v>
      </x:c>
      <x:c r="K272" s="8" t="n">
        <x:v>2.8939</x:v>
      </x:c>
      <x:c r="L272" s="8" t="n">
        <x:v>1.3781</x:v>
      </x:c>
      <x:c r="M272" s="8" t="n">
        <x:v>3.4451</x:v>
      </x:c>
      <x:c r="N272" s="8" t="n">
        <x:v>14.7452</x:v>
      </x:c>
    </x:row>
    <x:row r="273" ht="19" customHeight="1">
      <x:c r="A273" s="7" t="n">
        <x:v>41122</x:v>
      </x:c>
      <x:c r="B273" s="8" t="n">
        <x:v>3.71212426793</x:v>
      </x:c>
      <x:c r="C273" s="8" t="n">
        <x:v>3.89801605776</x:v>
      </x:c>
      <x:c r="D273" s="8" t="n">
        <x:v>4.42548302023</x:v>
      </x:c>
      <x:c r="E273" s="8" t="n">
        <x:v>11.2454242164</x:v>
      </x:c>
      <x:c r="F273" s="8" t="n">
        <x:v>87.34</x:v>
      </x:c>
      <x:c r="G273" s="8" t="n">
        <x:v>16.2043</x:v>
      </x:c>
      <x:c r="H273" s="8" t="n">
        <x:v>21.792</x:v>
      </x:c>
      <x:c r="I273" s="8" t="n">
        <x:v>13.8403</x:v>
      </x:c>
      <x:c r="J273" s="8" t="n">
        <x:v>15.8175</x:v>
      </x:c>
      <x:c r="K273" s="8" t="n">
        <x:v>5.5017</x:v>
      </x:c>
      <x:c r="L273" s="8" t="n">
        <x:v>0.7737</x:v>
      </x:c>
      <x:c r="M273" s="8" t="n">
        <x:v>2.6219</x:v>
      </x:c>
      <x:c r="N273" s="8" t="n">
        <x:v>10.7886</x:v>
      </x:c>
    </x:row>
    <x:row r="274" ht="19" customHeight="1">
      <x:c r="A274" s="7" t="n">
        <x:v>41153</x:v>
      </x:c>
      <x:c r="B274" s="8" t="n">
        <x:v>3.71139319152</x:v>
      </x:c>
      <x:c r="C274" s="8" t="n">
        <x:v>3.88883565505</x:v>
      </x:c>
      <x:c r="D274" s="8" t="n">
        <x:v>4.42195840214</x:v>
      </x:c>
      <x:c r="E274" s="8" t="n">
        <x:v>11.2379000054</x:v>
      </x:c>
      <x:c r="F274" s="8" t="n">
        <x:v>101.94</x:v>
      </x:c>
      <x:c r="G274" s="8" t="n">
        <x:v>12.7636</x:v>
      </x:c>
      <x:c r="H274" s="8" t="n">
        <x:v>38.3332</x:v>
      </x:c>
      <x:c r="I274" s="8" t="n">
        <x:v>19.0187</x:v>
      </x:c>
      <x:c r="J274" s="8" t="n">
        <x:v>10.7772</x:v>
      </x:c>
      <x:c r="K274" s="8" t="n">
        <x:v>7.7765</x:v>
      </x:c>
      <x:c r="L274" s="8" t="n">
        <x:v>0.2958</x:v>
      </x:c>
      <x:c r="M274" s="8" t="n">
        <x:v>1.4792</x:v>
      </x:c>
      <x:c r="N274" s="8" t="n">
        <x:v>11.4957</x:v>
      </x:c>
    </x:row>
    <x:row r="275" ht="19" customHeight="1">
      <x:c r="A275" s="7" t="n">
        <x:v>41183</x:v>
      </x:c>
      <x:c r="B275" s="8" t="n">
        <x:v>3.65412126495</x:v>
      </x:c>
      <x:c r="C275" s="8" t="n">
        <x:v>3.87590060534</x:v>
      </x:c>
      <x:c r="D275" s="8" t="n">
        <x:v>4.42491955047</x:v>
      </x:c>
      <x:c r="E275" s="8" t="n">
        <x:v>11.2459316342</x:v>
      </x:c>
      <x:c r="F275" s="8" t="n">
        <x:v>92.63</x:v>
      </x:c>
      <x:c r="G275" s="8" t="n">
        <x:v>16.8647</x:v>
      </x:c>
      <x:c r="H275" s="8" t="n">
        <x:v>24.6678</x:v>
      </x:c>
      <x:c r="I275" s="8" t="n">
        <x:v>23.0316</x:v>
      </x:c>
      <x:c r="J275" s="8" t="n">
        <x:v>10.8656</x:v>
      </x:c>
      <x:c r="K275" s="8" t="n">
        <x:v>3.7337</x:v>
      </x:c>
      <x:c r="L275" s="8" t="n">
        <x:v>0.0839</x:v>
      </x:c>
      <x:c r="M275" s="8" t="n">
        <x:v>3.2723</x:v>
      </x:c>
      <x:c r="N275" s="8" t="n">
        <x:v>10.1104</x:v>
      </x:c>
    </x:row>
    <x:row r="276" ht="19" customHeight="1">
      <x:c r="A276" s="7" t="n">
        <x:v>41214</x:v>
      </x:c>
      <x:c r="B276" s="8" t="n">
        <x:v>3.62216630855</x:v>
      </x:c>
      <x:c r="C276" s="8" t="n">
        <x:v>3.85357332343</x:v>
      </x:c>
      <x:c r="D276" s="8" t="n">
        <x:v>4.42566728327</x:v>
      </x:c>
      <x:c r="E276" s="8" t="n">
        <x:v>11.2528926253</x:v>
      </x:c>
      <x:c r="F276" s="8" t="n">
        <x:v>79.74</x:v>
      </x:c>
      <x:c r="G276" s="8" t="n">
        <x:v>27.0854</x:v>
      </x:c>
      <x:c r="H276" s="8" t="n">
        <x:v>19.3378</x:v>
      </x:c>
      <x:c r="I276" s="8" t="n">
        <x:v>10.0532</x:v>
      </x:c>
      <x:c r="J276" s="8" t="n">
        <x:v>9.5131</x:v>
      </x:c>
      <x:c r="K276" s="8" t="n">
        <x:v>2.451</x:v>
      </x:c>
      <x:c r="L276" s="8" t="n">
        <x:v>0.2908</x:v>
      </x:c>
      <x:c r="M276" s="8" t="n">
        <x:v>1.6201</x:v>
      </x:c>
      <x:c r="N276" s="8" t="n">
        <x:v>9.3885</x:v>
      </x:c>
    </x:row>
    <x:row r="277" ht="19" customHeight="1">
      <x:c r="A277" s="7" t="n">
        <x:v>41244</x:v>
      </x:c>
      <x:c r="B277" s="8" t="n">
        <x:v>3.63754086141</x:v>
      </x:c>
      <x:c r="C277" s="8" t="n">
        <x:v>3.85762944375</x:v>
      </x:c>
      <x:c r="D277" s="8" t="n">
        <x:v>4.42960286833</x:v>
      </x:c>
      <x:c r="E277" s="8" t="n">
        <x:v>11.2513695074</x:v>
      </x:c>
      <x:c r="F277" s="8" t="n">
        <x:v>84.33</x:v>
      </x:c>
      <x:c r="G277" s="8" t="n">
        <x:v>15.4382</x:v>
      </x:c>
      <x:c r="H277" s="8" t="n">
        <x:v>22.7557</x:v>
      </x:c>
      <x:c r="I277" s="8" t="n">
        <x:v>11.0209</x:v>
      </x:c>
      <x:c r="J277" s="8" t="n">
        <x:v>18.9631</x:v>
      </x:c>
      <x:c r="K277" s="8" t="n">
        <x:v>3.4357</x:v>
      </x:c>
      <x:c r="L277" s="8" t="n">
        <x:v>0.2677</x:v>
      </x:c>
      <x:c r="M277" s="8" t="n">
        <x:v>2.0525</x:v>
      </x:c>
      <x:c r="N277" s="8" t="n">
        <x:v>10.3962</x:v>
      </x:c>
    </x:row>
    <x:row r="278" ht="19" customHeight="1">
      <x:c r="A278" s="7" t="n">
        <x:v>41275</x:v>
      </x:c>
      <x:c r="B278" s="8" t="n">
        <x:v>3.71116477239</x:v>
      </x:c>
      <x:c r="C278" s="8" t="n">
        <x:v>3.88685116684</x:v>
      </x:c>
      <x:c r="D278" s="8" t="n">
        <x:v>4.43177429691</x:v>
      </x:c>
      <x:c r="E278" s="8" t="n">
        <x:v>11.2440064047</x:v>
      </x:c>
      <x:c r="F278" s="8" t="n">
        <x:v>89.21</x:v>
      </x:c>
      <x:c r="G278" s="8" t="n">
        <x:v>24.955</x:v>
      </x:c>
      <x:c r="H278" s="8" t="n">
        <x:v>21.1354</x:v>
      </x:c>
      <x:c r="I278" s="8" t="n">
        <x:v>14.4722</x:v>
      </x:c>
      <x:c r="J278" s="8" t="n">
        <x:v>13.199</x:v>
      </x:c>
      <x:c r="K278" s="8" t="n">
        <x:v>3.4377</x:v>
      </x:c>
      <x:c r="L278" s="8" t="n">
        <x:v>0.5093</x:v>
      </x:c>
      <x:c r="M278" s="8" t="n">
        <x:v>1.5279</x:v>
      </x:c>
      <x:c r="N278" s="8" t="n">
        <x:v>9.9735</x:v>
      </x:c>
    </x:row>
    <x:row r="279" ht="19" customHeight="1">
      <x:c r="A279" s="7" t="n">
        <x:v>41306</x:v>
      </x:c>
      <x:c r="B279" s="8" t="n">
        <x:v>3.7115368922</x:v>
      </x:c>
      <x:c r="C279" s="8" t="n">
        <x:v>3.90842328797</x:v>
      </x:c>
      <x:c r="D279" s="8" t="n">
        <x:v>4.43227972598</x:v>
      </x:c>
      <x:c r="E279" s="8" t="n">
        <x:v>11.2412138206</x:v>
      </x:c>
      <x:c r="F279" s="8" t="n">
        <x:v>86.96</x:v>
      </x:c>
      <x:c r="G279" s="8" t="n">
        <x:v>19.098</x:v>
      </x:c>
      <x:c r="H279" s="8" t="n">
        <x:v>23.8844</x:v>
      </x:c>
      <x:c r="I279" s="8" t="n">
        <x:v>11.9422</x:v>
      </x:c>
      <x:c r="J279" s="8" t="n">
        <x:v>11.9422</x:v>
      </x:c>
      <x:c r="K279" s="8" t="n">
        <x:v>8.388</x:v>
      </x:c>
      <x:c r="L279" s="8" t="n">
        <x:v>0.2369</x:v>
      </x:c>
      <x:c r="M279" s="8" t="n">
        <x:v>0.7108</x:v>
      </x:c>
      <x:c r="N279" s="8" t="n">
        <x:v>10.7574</x:v>
      </x:c>
    </x:row>
    <x:row r="280" ht="19" customHeight="1">
      <x:c r="A280" s="7" t="n">
        <x:v>41334</x:v>
      </x:c>
      <x:c r="B280" s="8" t="n">
        <x:v>3.68917215888</x:v>
      </x:c>
      <x:c r="C280" s="8" t="n">
        <x:v>3.84369167228</x:v>
      </x:c>
      <x:c r="D280" s="8" t="n">
        <x:v>4.43914387916</x:v>
      </x:c>
      <x:c r="E280" s="8" t="n">
        <x:v>11.2439198928</x:v>
      </x:c>
      <x:c r="F280" s="8" t="n">
        <x:v>83.03</x:v>
      </x:c>
      <x:c r="G280" s="8" t="n">
        <x:v>12.5313</x:v>
      </x:c>
      <x:c r="H280" s="8" t="n">
        <x:v>28.0501</x:v>
      </x:c>
      <x:c r="I280" s="8" t="n">
        <x:v>8.0084</x:v>
      </x:c>
      <x:c r="J280" s="8" t="n">
        <x:v>11.2864</x:v>
      </x:c>
      <x:c r="K280" s="8" t="n">
        <x:v>6.2656</x:v>
      </x:c>
      <x:c r="L280" s="8" t="n">
        <x:v>1.1618</x:v>
      </x:c>
      <x:c r="M280" s="8" t="n">
        <x:v>2.2822</x:v>
      </x:c>
      <x:c r="N280" s="8" t="n">
        <x:v>13.4441</x:v>
      </x:c>
    </x:row>
    <x:row r="281" ht="19" customHeight="1">
      <x:c r="A281" s="7" t="n">
        <x:v>41365</x:v>
      </x:c>
      <x:c r="B281" s="8" t="n">
        <x:v>3.68131414209</x:v>
      </x:c>
      <x:c r="C281" s="8" t="n">
        <x:v>3.78672899228</x:v>
      </x:c>
      <x:c r="D281" s="8" t="n">
        <x:v>4.4420702238</x:v>
      </x:c>
      <x:c r="E281" s="8" t="n">
        <x:v>11.2494713739</x:v>
      </x:c>
      <x:c r="F281" s="8" t="n">
        <x:v>109.99</x:v>
      </x:c>
      <x:c r="G281" s="8" t="n">
        <x:v>13.9446</x:v>
      </x:c>
      <x:c r="H281" s="8" t="n">
        <x:v>20.8286</x:v>
      </x:c>
      <x:c r="I281" s="8" t="n">
        <x:v>42.3632</x:v>
      </x:c>
      <x:c r="J281" s="8" t="n">
        <x:v>10.0171</x:v>
      </x:c>
      <x:c r="K281" s="8" t="n">
        <x:v>11.2969</x:v>
      </x:c>
      <x:c r="L281" s="8" t="n">
        <x:v>0.8384</x:v>
      </x:c>
      <x:c r="M281" s="8" t="n">
        <x:v>1.4783</x:v>
      </x:c>
      <x:c r="N281" s="8" t="n">
        <x:v>9.2228</x:v>
      </x:c>
    </x:row>
    <x:row r="282" ht="19" customHeight="1">
      <x:c r="A282" s="7" t="n">
        <x:v>41395</x:v>
      </x:c>
      <x:c r="B282" s="8" t="n">
        <x:v>3.70759977661</x:v>
      </x:c>
      <x:c r="C282" s="8" t="n">
        <x:v>3.78934212078</x:v>
      </x:c>
      <x:c r="D282" s="8" t="n">
        <x:v>4.44438504913</x:v>
      </x:c>
      <x:c r="E282" s="8" t="n">
        <x:v>11.2477124848</x:v>
      </x:c>
      <x:c r="F282" s="8" t="n">
        <x:v>93.34</x:v>
      </x:c>
      <x:c r="G282" s="8" t="n">
        <x:v>19.8322</x:v>
      </x:c>
      <x:c r="H282" s="8" t="n">
        <x:v>24.8629</x:v>
      </x:c>
      <x:c r="I282" s="8" t="n">
        <x:v>23.3246</x:v>
      </x:c>
      <x:c r="J282" s="8" t="n">
        <x:v>9.6042</x:v>
      </x:c>
      <x:c r="K282" s="8" t="n">
        <x:v>2.7025</x:v>
      </x:c>
      <x:c r="L282" s="8" t="n">
        <x:v>0.2079</x:v>
      </x:c>
      <x:c r="M282" s="8" t="n">
        <x:v>1.2473</x:v>
      </x:c>
      <x:c r="N282" s="8" t="n">
        <x:v>11.5584</x:v>
      </x:c>
    </x:row>
    <x:row r="283" ht="19" customHeight="1">
      <x:c r="A283" s="7" t="n">
        <x:v>41426</x:v>
      </x:c>
      <x:c r="B283" s="8" t="n">
        <x:v>3.71846603162</x:v>
      </x:c>
      <x:c r="C283" s="8" t="n">
        <x:v>3.7904685355</x:v>
      </x:c>
      <x:c r="D283" s="8" t="n">
        <x:v>4.44292300583</x:v>
      </x:c>
      <x:c r="E283" s="8" t="n">
        <x:v>11.2484181678</x:v>
      </x:c>
      <x:c r="F283" s="8" t="n">
        <x:v>88.76</x:v>
      </x:c>
      <x:c r="G283" s="8" t="n">
        <x:v>14.2817</x:v>
      </x:c>
      <x:c r="H283" s="8" t="n">
        <x:v>31.7222</x:v>
      </x:c>
      <x:c r="I283" s="8" t="n">
        <x:v>11.8792</x:v>
      </x:c>
      <x:c r="J283" s="8" t="n">
        <x:v>15.3495</x:v>
      </x:c>
      <x:c r="K283" s="8" t="n">
        <x:v>3.2034</x:v>
      </x:c>
      <x:c r="L283" s="8" t="n">
        <x:v>0.1335</x:v>
      </x:c>
      <x:c r="M283" s="8" t="n">
        <x:v>2.0911</x:v>
      </x:c>
      <x:c r="N283" s="8" t="n">
        <x:v>10.0995</x:v>
      </x:c>
    </x:row>
    <x:row r="284" ht="19" customHeight="1">
      <x:c r="A284" s="7" t="n">
        <x:v>41456</x:v>
      </x:c>
      <x:c r="B284" s="8" t="n">
        <x:v>3.80537355296</x:v>
      </x:c>
      <x:c r="C284" s="8" t="n">
        <x:v>3.83604387794</x:v>
      </x:c>
      <x:c r="D284" s="8" t="n">
        <x:v>4.4473875856</x:v>
      </x:c>
      <x:c r="E284" s="8" t="n">
        <x:v>11.2551104808</x:v>
      </x:c>
      <x:c r="F284" s="8" t="n">
        <x:v>81.37</x:v>
      </x:c>
      <x:c r="G284" s="8" t="n">
        <x:v>8.9005</x:v>
      </x:c>
      <x:c r="H284" s="8" t="n">
        <x:v>25.9336</x:v>
      </x:c>
      <x:c r="I284" s="8" t="n">
        <x:v>10.9337</x:v>
      </x:c>
      <x:c r="J284" s="8" t="n">
        <x:v>10.0752</x:v>
      </x:c>
      <x:c r="K284" s="8" t="n">
        <x:v>1.8976</x:v>
      </x:c>
      <x:c r="L284" s="8" t="n">
        <x:v>12.0632</x:v>
      </x:c>
      <x:c r="M284" s="8" t="n">
        <x:v>1.2199</x:v>
      </x:c>
      <x:c r="N284" s="8" t="n">
        <x:v>10.3463</x:v>
      </x:c>
    </x:row>
    <x:row r="285" ht="19" customHeight="1">
      <x:c r="A285" s="7" t="n">
        <x:v>41487</x:v>
      </x:c>
      <x:c r="B285" s="8" t="n">
        <x:v>3.8209786097</x:v>
      </x:c>
      <x:c r="C285" s="8" t="n">
        <x:v>3.86422611108</x:v>
      </x:c>
      <x:c r="D285" s="8" t="n">
        <x:v>4.45246783685</x:v>
      </x:c>
      <x:c r="E285" s="8" t="n">
        <x:v>11.2519282147</x:v>
      </x:c>
      <x:c r="F285" s="8" t="n">
        <x:v>106.65</x:v>
      </x:c>
      <x:c r="G285" s="8" t="n">
        <x:v>28.0559</x:v>
      </x:c>
      <x:c r="H285" s="8" t="n">
        <x:v>22.5759</x:v>
      </x:c>
      <x:c r="I285" s="8" t="n">
        <x:v>19.2504</x:v>
      </x:c>
      <x:c r="J285" s="8" t="n">
        <x:v>12.131</x:v>
      </x:c>
      <x:c r="K285" s="8" t="n">
        <x:v>2.4356</x:v>
      </x:c>
      <x:c r="L285" s="8" t="n">
        <x:v>9.3676</x:v>
      </x:c>
      <x:c r="M285" s="8" t="n">
        <x:v>1.4988</x:v>
      </x:c>
      <x:c r="N285" s="8" t="n">
        <x:v>11.3348</x:v>
      </x:c>
    </x:row>
    <x:row r="286" ht="19" customHeight="1">
      <x:c r="A286" s="7" t="n">
        <x:v>41518</x:v>
      </x:c>
      <x:c r="B286" s="8" t="n">
        <x:v>3.81797089735</x:v>
      </x:c>
      <x:c r="C286" s="8" t="n">
        <x:v>3.86672073975</x:v>
      </x:c>
      <x:c r="D286" s="8" t="n">
        <x:v>4.4559718192</x:v>
      </x:c>
      <x:c r="E286" s="8" t="n">
        <x:v>11.245805898</x:v>
      </x:c>
      <x:c r="F286" s="8" t="n">
        <x:v>118.48</x:v>
      </x:c>
      <x:c r="G286" s="8" t="n">
        <x:v>42.2804</x:v>
      </x:c>
      <x:c r="H286" s="8" t="n">
        <x:v>34.9966</x:v>
      </x:c>
      <x:c r="I286" s="8" t="n">
        <x:v>18.6189</x:v>
      </x:c>
      <x:c r="J286" s="8" t="n">
        <x:v>8.5768</x:v>
      </x:c>
      <x:c r="K286" s="8" t="n">
        <x:v>3.4479</x:v>
      </x:c>
      <x:c r="L286" s="8" t="n">
        <x:v>1.6378</x:v>
      </x:c>
      <x:c r="M286" s="8" t="n">
        <x:v>0.9051</x:v>
      </x:c>
      <x:c r="N286" s="8" t="n">
        <x:v>8.0165</x:v>
      </x:c>
    </x:row>
    <x:row r="287" ht="19" customHeight="1">
      <x:c r="A287" s="7" t="n">
        <x:v>41548</x:v>
      </x:c>
      <x:c r="B287" s="8" t="n">
        <x:v>3.7618202602</x:v>
      </x:c>
      <x:c r="C287" s="8" t="n">
        <x:v>3.84334615991</x:v>
      </x:c>
      <x:c r="D287" s="8" t="n">
        <x:v>4.45703951369</x:v>
      </x:c>
      <x:c r="E287" s="8" t="n">
        <x:v>11.2494540779</x:v>
      </x:c>
      <x:c r="F287" s="8" t="n">
        <x:v>88.12</x:v>
      </x:c>
      <x:c r="G287" s="8" t="n">
        <x:v>9.9448</x:v>
      </x:c>
      <x:c r="H287" s="8" t="n">
        <x:v>32.9477</x:v>
      </x:c>
      <x:c r="I287" s="8" t="n">
        <x:v>15.4794</x:v>
      </x:c>
      <x:c r="J287" s="8" t="n">
        <x:v>9.426</x:v>
      </x:c>
      <x:c r="K287" s="8" t="n">
        <x:v>6.0101</x:v>
      </x:c>
      <x:c r="L287" s="8" t="n">
        <x:v>1.3404</x:v>
      </x:c>
      <x:c r="M287" s="8" t="n">
        <x:v>1.2107</x:v>
      </x:c>
      <x:c r="N287" s="8" t="n">
        <x:v>11.7609</x:v>
      </x:c>
    </x:row>
    <x:row r="288" ht="19" customHeight="1">
      <x:c r="A288" s="7" t="n">
        <x:v>41579</x:v>
      </x:c>
      <x:c r="B288" s="8" t="n">
        <x:v>3.69122612186</x:v>
      </x:c>
      <x:c r="C288" s="8" t="n">
        <x:v>3.82960670128</x:v>
      </x:c>
      <x:c r="D288" s="8" t="n">
        <x:v>4.46221284049</x:v>
      </x:c>
      <x:c r="E288" s="8" t="n">
        <x:v>11.253374662</x:v>
      </x:c>
      <x:c r="F288" s="8" t="n">
        <x:v>89.34</x:v>
      </x:c>
      <x:c r="G288" s="8" t="n">
        <x:v>9.3101</x:v>
      </x:c>
      <x:c r="H288" s="8" t="n">
        <x:v>35.9791</x:v>
      </x:c>
      <x:c r="I288" s="8" t="n">
        <x:v>11.8784</x:v>
      </x:c>
      <x:c r="J288" s="8" t="n">
        <x:v>10.4108</x:v>
      </x:c>
      <x:c r="K288" s="8" t="n">
        <x:v>9.4477</x:v>
      </x:c>
      <x:c r="L288" s="8" t="n">
        <x:v>2.2243</x:v>
      </x:c>
      <x:c r="M288" s="8" t="n">
        <x:v>1.6969</x:v>
      </x:c>
      <x:c r="N288" s="8" t="n">
        <x:v>8.3928</x:v>
      </x:c>
    </x:row>
    <x:row r="289" ht="19" customHeight="1">
      <x:c r="A289" s="7" t="n">
        <x:v>41609</x:v>
      </x:c>
      <x:c r="B289" s="8" t="n">
        <x:v>3.72796595524</x:v>
      </x:c>
      <x:c r="C289" s="8" t="n">
        <x:v>3.8541468303</x:v>
      </x:c>
      <x:c r="D289" s="8" t="n">
        <x:v>4.46481295173</x:v>
      </x:c>
      <x:c r="E289" s="8" t="n">
        <x:v>11.2588771787</x:v>
      </x:c>
      <x:c r="F289" s="8" t="n">
        <x:v>92.9</x:v>
      </x:c>
      <x:c r="G289" s="8" t="n">
        <x:v>10.0184</x:v>
      </x:c>
      <x:c r="H289" s="8" t="n">
        <x:v>36.0525</x:v>
      </x:c>
      <x:c r="I289" s="8" t="n">
        <x:v>12.2243</x:v>
      </x:c>
      <x:c r="J289" s="8" t="n">
        <x:v>17.5552</x:v>
      </x:c>
      <x:c r="K289" s="8" t="n">
        <x:v>3.5386</x:v>
      </x:c>
      <x:c r="L289" s="8" t="n">
        <x:v>3.3088</x:v>
      </x:c>
      <x:c r="M289" s="8" t="n">
        <x:v>1.8842</x:v>
      </x:c>
      <x:c r="N289" s="8" t="n">
        <x:v>8.318</x:v>
      </x:c>
    </x:row>
    <x:row r="290" ht="19" customHeight="1">
      <x:c r="A290" s="7" t="n">
        <x:v>41640</x:v>
      </x:c>
      <x:c r="B290" s="8" t="n">
        <x:v>3.69422876048</x:v>
      </x:c>
      <x:c r="C290" s="8" t="n">
        <x:v>3.82760161169</x:v>
      </x:c>
      <x:c r="D290" s="8" t="n">
        <x:v>4.46768871769</x:v>
      </x:c>
      <x:c r="E290" s="8" t="n">
        <x:v>11.2617421663</x:v>
      </x:c>
      <x:c r="F290" s="8" t="n">
        <x:v>99.21</x:v>
      </x:c>
      <x:c r="G290" s="8" t="n">
        <x:v>13.4249</x:v>
      </x:c>
      <x:c r="H290" s="8" t="n">
        <x:v>31.5485</x:v>
      </x:c>
      <x:c r="I290" s="8" t="n">
        <x:v>16.7811</x:v>
      </x:c>
      <x:c r="J290" s="8" t="n">
        <x:v>22.4643</x:v>
      </x:c>
      <x:c r="K290" s="8" t="n">
        <x:v>3.222</x:v>
      </x:c>
      <x:c r="L290" s="8" t="n">
        <x:v>2.0585</x:v>
      </x:c>
      <x:c r="M290" s="8" t="n">
        <x:v>1.1635</x:v>
      </x:c>
      <x:c r="N290" s="8" t="n">
        <x:v>8.5472</x:v>
      </x:c>
    </x:row>
    <x:row r="291" ht="19" customHeight="1">
      <x:c r="A291" s="7" t="n">
        <x:v>41671</x:v>
      </x:c>
      <x:c r="B291" s="8" t="n">
        <x:v>3.75659646573</x:v>
      </x:c>
      <x:c r="C291" s="8" t="n">
        <x:v>3.83368974701</x:v>
      </x:c>
      <x:c r="D291" s="8" t="n">
        <x:v>4.47210862494</x:v>
      </x:c>
      <x:c r="E291" s="8" t="n">
        <x:v>11.2680170993</x:v>
      </x:c>
      <x:c r="F291" s="8" t="n">
        <x:v>98.96</x:v>
      </x:c>
      <x:c r="G291" s="8" t="n">
        <x:v>9.5482</x:v>
      </x:c>
      <x:c r="H291" s="8" t="n">
        <x:v>36.6519</x:v>
      </x:c>
      <x:c r="I291" s="8" t="n">
        <x:v>13.1667</x:v>
      </x:c>
      <x:c r="J291" s="8" t="n">
        <x:v>20.497</x:v>
      </x:c>
      <x:c r="K291" s="8" t="n">
        <x:v>3.5951</x:v>
      </x:c>
      <x:c r="L291" s="8" t="n">
        <x:v>3.5951</x:v>
      </x:c>
      <x:c r="M291" s="8" t="n">
        <x:v>1.1206</x:v>
      </x:c>
      <x:c r="N291" s="8" t="n">
        <x:v>10.7854</x:v>
      </x:c>
    </x:row>
    <x:row r="292" ht="19" customHeight="1">
      <x:c r="A292" s="7" t="n">
        <x:v>41699</x:v>
      </x:c>
      <x:c r="B292" s="8" t="n">
        <x:v>3.75435809957</x:v>
      </x:c>
      <x:c r="C292" s="8" t="n">
        <x:v>3.81852452768</x:v>
      </x:c>
      <x:c r="D292" s="8" t="n">
        <x:v>4.47392192664</x:v>
      </x:c>
      <x:c r="E292" s="8" t="n">
        <x:v>11.2597588148</x:v>
      </x:c>
      <x:c r="F292" s="8" t="n">
        <x:v>127.36</x:v>
      </x:c>
      <x:c r="G292" s="8" t="n">
        <x:v>49.9131</x:v>
      </x:c>
      <x:c r="H292" s="8" t="n">
        <x:v>32.8172</x:v>
      </x:c>
      <x:c r="I292" s="8" t="n">
        <x:v>11.7695</x:v>
      </x:c>
      <x:c r="J292" s="8" t="n">
        <x:v>11.8984</x:v>
      </x:c>
      <x:c r="K292" s="8" t="n">
        <x:v>1.6752</x:v>
      </x:c>
      <x:c r="L292" s="8" t="n">
        <x:v>1.0739</x:v>
      </x:c>
      <x:c r="M292" s="8" t="n">
        <x:v>6.572</x:v>
      </x:c>
      <x:c r="N292" s="8" t="n">
        <x:v>11.6407</x:v>
      </x:c>
    </x:row>
    <x:row r="293" ht="19" customHeight="1">
      <x:c r="A293" s="7" t="n">
        <x:v>41730</x:v>
      </x:c>
      <x:c r="B293" s="8" t="n">
        <x:v>3.76501614618</x:v>
      </x:c>
      <x:c r="C293" s="8" t="n">
        <x:v>3.81926382587</x:v>
      </x:c>
      <x:c r="D293" s="8" t="n">
        <x:v>4.47682396109</x:v>
      </x:c>
      <x:c r="E293" s="8" t="n">
        <x:v>11.2571119965</x:v>
      </x:c>
      <x:c r="F293" s="8" t="n">
        <x:v>100.67</x:v>
      </x:c>
      <x:c r="G293" s="8" t="n">
        <x:v>23.0949</x:v>
      </x:c>
      <x:c r="H293" s="8" t="n">
        <x:v>32.4786</x:v>
      </x:c>
      <x:c r="I293" s="8" t="n">
        <x:v>14.3033</x:v>
      </x:c>
      <x:c r="J293" s="8" t="n">
        <x:v>14.5311</x:v>
      </x:c>
      <x:c r="K293" s="8" t="n">
        <x:v>2.2776</x:v>
      </x:c>
      <x:c r="L293" s="8" t="n">
        <x:v>0.5466</x:v>
      </x:c>
      <x:c r="M293" s="8" t="n">
        <x:v>4.4641</x:v>
      </x:c>
      <x:c r="N293" s="8" t="n">
        <x:v>8.9738</x:v>
      </x:c>
    </x:row>
    <x:row r="294" ht="19" customHeight="1">
      <x:c r="A294" s="7" t="n">
        <x:v>41760</x:v>
      </x:c>
      <x:c r="B294" s="8" t="n">
        <x:v>3.76419206019</x:v>
      </x:c>
      <x:c r="C294" s="8" t="n">
        <x:v>3.83374587564</x:v>
      </x:c>
      <x:c r="D294" s="8" t="n">
        <x:v>4.47786309948</x:v>
      </x:c>
      <x:c r="E294" s="8" t="n">
        <x:v>11.2593345929</x:v>
      </x:c>
      <x:c r="F294" s="8" t="n">
        <x:v>105.86</x:v>
      </x:c>
      <x:c r="G294" s="8" t="n">
        <x:v>19.8649</x:v>
      </x:c>
      <x:c r="H294" s="8" t="n">
        <x:v>29.2383</x:v>
      </x:c>
      <x:c r="I294" s="8" t="n">
        <x:v>18.5319</x:v>
      </x:c>
      <x:c r="J294" s="8" t="n">
        <x:v>19.4779</x:v>
      </x:c>
      <x:c r="K294" s="8" t="n">
        <x:v>2.0209</x:v>
      </x:c>
      <x:c r="L294" s="8" t="n">
        <x:v>3.0528</x:v>
      </x:c>
      <x:c r="M294" s="8" t="n">
        <x:v>4.0418</x:v>
      </x:c>
      <x:c r="N294" s="8" t="n">
        <x:v>9.6315</x:v>
      </x:c>
    </x:row>
    <x:row r="295" ht="19" customHeight="1">
      <x:c r="A295" s="7" t="n">
        <x:v>41791</x:v>
      </x:c>
      <x:c r="B295" s="8" t="n">
        <x:v>3.797591833</x:v>
      </x:c>
      <x:c r="C295" s="8" t="n">
        <x:v>3.85284739673</x:v>
      </x:c>
      <x:c r="D295" s="8" t="n">
        <x:v>4.47823932904</x:v>
      </x:c>
      <x:c r="E295" s="8" t="n">
        <x:v>11.2632272053</x:v>
      </x:c>
      <x:c r="F295" s="8" t="n">
        <x:v>124.05</x:v>
      </x:c>
      <x:c r="G295" s="8" t="n">
        <x:v>47.4123</x:v>
      </x:c>
      <x:c r="H295" s="8" t="n">
        <x:v>33.3876</x:v>
      </x:c>
      <x:c r="I295" s="8" t="n">
        <x:v>17.5082</x:v>
      </x:c>
      <x:c r="J295" s="8" t="n">
        <x:v>11.6269</x:v>
      </x:c>
      <x:c r="K295" s="8" t="n">
        <x:v>1.0858</x:v>
      </x:c>
      <x:c r="L295" s="8" t="n">
        <x:v>0.7691</x:v>
      </x:c>
      <x:c r="M295" s="8" t="n">
        <x:v>1.7644</x:v>
      </x:c>
      <x:c r="N295" s="8" t="n">
        <x:v>10.4958</x:v>
      </x:c>
    </x:row>
    <x:row r="296" ht="19" customHeight="1">
      <x:c r="A296" s="7" t="n">
        <x:v>41821</x:v>
      </x:c>
      <x:c r="B296" s="8" t="n">
        <x:v>3.77545178367</x:v>
      </x:c>
      <x:c r="C296" s="8" t="n">
        <x:v>3.80568797179</x:v>
      </x:c>
      <x:c r="D296" s="8" t="n">
        <x:v>4.48206003449</x:v>
      </x:c>
      <x:c r="E296" s="8" t="n">
        <x:v>11.2664865516</x:v>
      </x:c>
      <x:c r="F296" s="8" t="n">
        <x:v>143.14</x:v>
      </x:c>
      <x:c r="G296" s="8" t="n">
        <x:v>68.3716</x:v>
      </x:c>
      <x:c r="H296" s="8" t="n">
        <x:v>23.594</x:v>
      </x:c>
      <x:c r="I296" s="8" t="n">
        <x:v>15.8066</x:v>
      </x:c>
      <x:c r="J296" s="8" t="n">
        <x:v>11.5884</x:v>
      </x:c>
      <x:c r="K296" s="8" t="n">
        <x:v>3.5229</x:v>
      </x:c>
      <x:c r="L296" s="8" t="n">
        <x:v>0.788</x:v>
      </x:c>
      <x:c r="M296" s="8" t="n">
        <x:v>6.2577</x:v>
      </x:c>
      <x:c r="N296" s="8" t="n">
        <x:v>13.2108</x:v>
      </x:c>
    </x:row>
    <x:row r="297" ht="19" customHeight="1">
      <x:c r="A297" s="7" t="n">
        <x:v>41852</x:v>
      </x:c>
      <x:c r="B297" s="8" t="n">
        <x:v>3.70512842798</x:v>
      </x:c>
      <x:c r="C297" s="8" t="n">
        <x:v>3.75631295325</x:v>
      </x:c>
      <x:c r="D297" s="8" t="n">
        <x:v>4.47743599644</x:v>
      </x:c>
      <x:c r="E297" s="8" t="n">
        <x:v>11.2707433169</x:v>
      </x:c>
      <x:c r="F297" s="8" t="n">
        <x:v>131.36</x:v>
      </x:c>
      <x:c r="G297" s="8" t="n">
        <x:v>70.2192</x:v>
      </x:c>
      <x:c r="H297" s="8" t="n">
        <x:v>22.1404</x:v>
      </x:c>
      <x:c r="I297" s="8" t="n">
        <x:v>12.7377</x:v>
      </x:c>
      <x:c r="J297" s="8" t="n">
        <x:v>8.8006</x:v>
      </x:c>
      <x:c r="K297" s="8" t="n">
        <x:v>0.9264</x:v>
      </x:c>
      <x:c r="L297" s="8" t="n">
        <x:v>0.8801</x:v>
      </x:c>
      <x:c r="M297" s="8" t="n">
        <x:v>4.3076</x:v>
      </x:c>
      <x:c r="N297" s="8" t="n">
        <x:v>11.3481</x:v>
      </x:c>
    </x:row>
    <x:row r="298" ht="19" customHeight="1">
      <x:c r="A298" s="7" t="n">
        <x:v>41883</x:v>
      </x:c>
      <x:c r="B298" s="8" t="n">
        <x:v>3.66995442138</x:v>
      </x:c>
      <x:c r="C298" s="8" t="n">
        <x:v>3.71073779269</x:v>
      </x:c>
      <x:c r="D298" s="8" t="n">
        <x:v>4.48694469034</x:v>
      </x:c>
      <x:c r="E298" s="8" t="n">
        <x:v>11.2800800955</x:v>
      </x:c>
      <x:c r="F298" s="8" t="n">
        <x:v>138.7</x:v>
      </x:c>
      <x:c r="G298" s="8" t="n">
        <x:v>67.8571</x:v>
      </x:c>
      <x:c r="H298" s="8" t="n">
        <x:v>25.9667</x:v>
      </x:c>
      <x:c r="I298" s="8" t="n">
        <x:v>16.1048</x:v>
      </x:c>
      <x:c r="J298" s="8" t="n">
        <x:v>6.7857</x:v>
      </x:c>
      <x:c r="K298" s="8" t="n">
        <x:v>1.6286</x:v>
      </x:c>
      <x:c r="L298" s="8" t="n">
        <x:v>0.3619</x:v>
      </x:c>
      <x:c r="M298" s="8" t="n">
        <x:v>4.2071</x:v>
      </x:c>
      <x:c r="N298" s="8" t="n">
        <x:v>15.7881</x:v>
      </x:c>
    </x:row>
    <x:row r="299" ht="19" customHeight="1">
      <x:c r="A299" s="7" t="n">
        <x:v>41913</x:v>
      </x:c>
      <x:c r="B299" s="8" t="n">
        <x:v>3.5708647444</x:v>
      </x:c>
      <x:c r="C299" s="8" t="n">
        <x:v>3.60613581599</x:v>
      </x:c>
      <x:c r="D299" s="8" t="n">
        <x:v>4.48696121679</x:v>
      </x:c>
      <x:c r="E299" s="8" t="n">
        <x:v>11.2924289</x:v>
      </x:c>
      <x:c r="F299" s="8" t="n">
        <x:v>105.47</x:v>
      </x:c>
      <x:c r="G299" s="8" t="n">
        <x:v>34.4263</x:v>
      </x:c>
      <x:c r="H299" s="8" t="n">
        <x:v>25.156</x:v>
      </x:c>
      <x:c r="I299" s="8" t="n">
        <x:v>17.4449</x:v>
      </x:c>
      <x:c r="J299" s="8" t="n">
        <x:v>7.7954</x:v>
      </x:c>
      <x:c r="K299" s="8" t="n">
        <x:v>2.2333</x:v>
      </x:c>
      <x:c r="L299" s="8" t="n">
        <x:v>0.3371</x:v>
      </x:c>
      <x:c r="M299" s="8" t="n">
        <x:v>1.854</x:v>
      </x:c>
      <x:c r="N299" s="8" t="n">
        <x:v>16.2229</x:v>
      </x:c>
    </x:row>
    <x:row r="300" ht="19" customHeight="1">
      <x:c r="A300" s="7" t="n">
        <x:v>41944</x:v>
      </x:c>
      <x:c r="B300" s="8" t="n">
        <x:v>3.46514813521</x:v>
      </x:c>
      <x:c r="C300" s="8" t="n">
        <x:v>3.51218379712</x:v>
      </x:c>
      <x:c r="D300" s="8" t="n">
        <x:v>4.48953436104</x:v>
      </x:c>
      <x:c r="E300" s="8" t="n">
        <x:v>11.2894751593</x:v>
      </x:c>
      <x:c r="F300" s="8" t="n">
        <x:v>94.14</x:v>
      </x:c>
      <x:c r="G300" s="8" t="n">
        <x:v>26.3022</x:v>
      </x:c>
      <x:c r="H300" s="8" t="n">
        <x:v>25.6457</x:v>
      </x:c>
      <x:c r="I300" s="8" t="n">
        <x:v>13.898</x:v>
      </x:c>
      <x:c r="J300" s="8" t="n">
        <x:v>6.8811</x:v>
      </x:c>
      <x:c r="K300" s="8" t="n">
        <x:v>6.0662</x:v>
      </x:c>
      <x:c r="L300" s="8" t="n">
        <x:v>0.996</x:v>
      </x:c>
      <x:c r="M300" s="8" t="n">
        <x:v>1.4487</x:v>
      </x:c>
      <x:c r="N300" s="8" t="n">
        <x:v>12.9021</x:v>
      </x:c>
    </x:row>
    <x:row r="301" ht="19" customHeight="1">
      <x:c r="A301" s="7" t="n">
        <x:v>41974</x:v>
      </x:c>
      <x:c r="B301" s="8" t="n">
        <x:v>3.22271181176</x:v>
      </x:c>
      <x:c r="C301" s="8" t="n">
        <x:v>3.27287442838</x:v>
      </x:c>
      <x:c r="D301" s="8" t="n">
        <x:v>4.49518943032</x:v>
      </x:c>
      <x:c r="E301" s="8" t="n">
        <x:v>11.3003237702</x:v>
      </x:c>
      <x:c r="F301" s="8" t="n">
        <x:v>115.05</x:v>
      </x:c>
      <x:c r="G301" s="8" t="n">
        <x:v>24.877</x:v>
      </x:c>
      <x:c r="H301" s="8" t="n">
        <x:v>37.2914</x:v>
      </x:c>
      <x:c r="I301" s="8" t="n">
        <x:v>24.1071</x:v>
      </x:c>
      <x:c r="J301" s="8" t="n">
        <x:v>6.2553</x:v>
      </x:c>
      <x:c r="K301" s="8" t="n">
        <x:v>0.8661</x:v>
      </x:c>
      <x:c r="L301" s="8" t="n">
        <x:v>0.2887</x:v>
      </x:c>
      <x:c r="M301" s="8" t="n">
        <x:v>4.1863</x:v>
      </x:c>
      <x:c r="N301" s="8" t="n">
        <x:v>17.1781</x:v>
      </x:c>
    </x:row>
    <x:row r="302" ht="19" customHeight="1">
      <x:c r="A302" s="7" t="n">
        <x:v>42005</x:v>
      </x:c>
      <x:c r="B302" s="8" t="n">
        <x:v>3.00147937919</x:v>
      </x:c>
      <x:c r="C302" s="8" t="n">
        <x:v>3.01285031662</x:v>
      </x:c>
      <x:c r="D302" s="8" t="n">
        <x:v>4.49219800856</x:v>
      </x:c>
      <x:c r="E302" s="8" t="n">
        <x:v>11.291110558</x:v>
      </x:c>
      <x:c r="F302" s="8" t="n">
        <x:v>127.56</x:v>
      </x:c>
      <x:c r="G302" s="8" t="n">
        <x:v>19.9479</x:v>
      </x:c>
      <x:c r="H302" s="8" t="n">
        <x:v>32.4092</x:v>
      </x:c>
      <x:c r="I302" s="8" t="n">
        <x:v>46.9958</x:v>
      </x:c>
      <x:c r="J302" s="8" t="n">
        <x:v>6.5205</x:v>
      </x:c>
      <x:c r="K302" s="8" t="n">
        <x:v>2.7048</x:v>
      </x:c>
      <x:c r="L302" s="8" t="n">
        <x:v>2.4633</x:v>
      </x:c>
      <x:c r="M302" s="8" t="n">
        <x:v>2.898</x:v>
      </x:c>
      <x:c r="N302" s="8" t="n">
        <x:v>13.6206</x:v>
      </x:c>
    </x:row>
    <x:row r="303" ht="19" customHeight="1">
      <x:c r="A303" s="7" t="n">
        <x:v>42036</x:v>
      </x:c>
      <x:c r="B303" s="8" t="n">
        <x:v>3.06768665189</x:v>
      </x:c>
      <x:c r="C303" s="8" t="n">
        <x:v>3.2062960745</x:v>
      </x:c>
      <x:c r="D303" s="8" t="n">
        <x:v>4.49293993238</x:v>
      </x:c>
      <x:c r="E303" s="8" t="n">
        <x:v>11.2896568957</x:v>
      </x:c>
      <x:c r="F303" s="8" t="n">
        <x:v>117.94</x:v>
      </x:c>
      <x:c r="G303" s="8" t="n">
        <x:v>38.3769</x:v>
      </x:c>
      <x:c r="H303" s="8" t="n">
        <x:v>27.2985</x:v>
      </x:c>
      <x:c r="I303" s="8" t="n">
        <x:v>25.3902</x:v>
      </x:c>
      <x:c r="J303" s="8" t="n">
        <x:v>6.3078</x:v>
      </x:c>
      <x:c r="K303" s="8" t="n">
        <x:v>3.4984</x:v>
      </x:c>
      <x:c r="L303" s="8" t="n">
        <x:v>2.5973</x:v>
      </x:c>
      <x:c r="M303" s="8" t="n">
        <x:v>1.4842</x:v>
      </x:c>
      <x:c r="N303" s="8" t="n">
        <x:v>12.9867</x:v>
      </x:c>
    </x:row>
    <x:row r="304" ht="19" customHeight="1">
      <x:c r="A304" s="7" t="n">
        <x:v>42064</x:v>
      </x:c>
      <x:c r="B304" s="8" t="n">
        <x:v>3.00888404308</x:v>
      </x:c>
      <x:c r="C304" s="8" t="n">
        <x:v>3.16482555433</x:v>
      </x:c>
      <x:c r="D304" s="8" t="n">
        <x:v>4.49270286145</x:v>
      </x:c>
      <x:c r="E304" s="8" t="n">
        <x:v>11.3012762893</x:v>
      </x:c>
      <x:c r="F304" s="8" t="n">
        <x:v>112.11</x:v>
      </x:c>
      <x:c r="G304" s="8" t="n">
        <x:v>28.6071</x:v>
      </x:c>
      <x:c r="H304" s="8" t="n">
        <x:v>28.5143</x:v>
      </x:c>
      <x:c r="I304" s="8" t="n">
        <x:v>23.7851</x:v>
      </x:c>
      <x:c r="J304" s="8" t="n">
        <x:v>5.7029</x:v>
      </x:c>
      <x:c r="K304" s="8" t="n">
        <x:v>10.4321</x:v>
      </x:c>
      <x:c r="L304" s="8" t="n">
        <x:v>0.0927</x:v>
      </x:c>
      <x:c r="M304" s="8" t="n">
        <x:v>1.901</x:v>
      </x:c>
      <x:c r="N304" s="8" t="n">
        <x:v>13.0749</x:v>
      </x:c>
    </x:row>
    <x:row r="305" ht="19" customHeight="1">
      <x:c r="A305" s="7" t="n">
        <x:v>42095</x:v>
      </x:c>
      <x:c r="B305" s="8" t="n">
        <x:v>3.13768099454</x:v>
      </x:c>
      <x:c r="C305" s="8" t="n">
        <x:v>3.22671053568</x:v>
      </x:c>
      <x:c r="D305" s="8" t="n">
        <x:v>4.4937858613</x:v>
      </x:c>
      <x:c r="E305" s="8" t="n">
        <x:v>11.2963610758</x:v>
      </x:c>
      <x:c r="F305" s="8" t="n">
        <x:v>111.91</x:v>
      </x:c>
      <x:c r="G305" s="8" t="n">
        <x:v>32.1413</x:v>
      </x:c>
      <x:c r="H305" s="8" t="n">
        <x:v>30.1933</x:v>
      </x:c>
      <x:c r="I305" s="8" t="n">
        <x:v>17.3368</x:v>
      </x:c>
      <x:c r="J305" s="8" t="n">
        <x:v>3.7985</x:v>
      </x:c>
      <x:c r="K305" s="8" t="n">
        <x:v>11.7364</x:v>
      </x:c>
      <x:c r="L305" s="8" t="n">
        <x:v>0.4383</x:v>
      </x:c>
      <x:c r="M305" s="8" t="n">
        <x:v>1.9967</x:v>
      </x:c>
      <x:c r="N305" s="8" t="n">
        <x:v>14.2688</x:v>
      </x:c>
    </x:row>
    <x:row r="306" ht="19" customHeight="1">
      <x:c r="A306" s="7" t="n">
        <x:v>42125</x:v>
      </x:c>
      <x:c r="B306" s="8" t="n">
        <x:v>3.21920910125</x:v>
      </x:c>
      <x:c r="C306" s="8" t="n">
        <x:v>3.29723812821</x:v>
      </x:c>
      <x:c r="D306" s="8" t="n">
        <x:v>4.49315813326</x:v>
      </x:c>
      <x:c r="E306" s="8" t="n">
        <x:v>11.2956136782</x:v>
      </x:c>
      <x:c r="F306" s="8" t="n">
        <x:v>103.42</x:v>
      </x:c>
      <x:c r="G306" s="8" t="n">
        <x:v>26.9268</x:v>
      </x:c>
      <x:c r="H306" s="8" t="n">
        <x:v>34.9711</x:v>
      </x:c>
      <x:c r="I306" s="8" t="n">
        <x:v>14.0655</x:v>
      </x:c>
      <x:c r="J306" s="8" t="n">
        <x:v>6.0694</x:v>
      </x:c>
      <x:c r="K306" s="8" t="n">
        <x:v>3.9017</x:v>
      </x:c>
      <x:c r="L306" s="8" t="n">
        <x:v>1.7341</x:v>
      </x:c>
      <x:c r="M306" s="8" t="n">
        <x:v>0.6744</x:v>
      </x:c>
      <x:c r="N306" s="8" t="n">
        <x:v>15.0771</x:v>
      </x:c>
    </x:row>
    <x:row r="307" ht="19" customHeight="1">
      <x:c r="A307" s="7" t="n">
        <x:v>42156</x:v>
      </x:c>
      <x:c r="B307" s="8" t="n">
        <x:v>3.22568178148</x:v>
      </x:c>
      <x:c r="C307" s="8" t="n">
        <x:v>3.25305364695</x:v>
      </x:c>
      <x:c r="D307" s="8" t="n">
        <x:v>4.49684797296</x:v>
      </x:c>
      <x:c r="E307" s="8" t="n">
        <x:v>11.3012162318</x:v>
      </x:c>
      <x:c r="F307" s="8" t="n">
        <x:v>105.4</x:v>
      </x:c>
      <x:c r="G307" s="8" t="n">
        <x:v>27.3798</x:v>
      </x:c>
      <x:c r="H307" s="8" t="n">
        <x:v>32.3625</x:v>
      </x:c>
      <x:c r="I307" s="8" t="n">
        <x:v>16.7239</x:v>
      </x:c>
      <x:c r="J307" s="8" t="n">
        <x:v>5.032</x:v>
      </x:c>
      <x:c r="K307" s="8" t="n">
        <x:v>5.624</x:v>
      </x:c>
      <x:c r="L307" s="8" t="n">
        <x:v>0.444</x:v>
      </x:c>
      <x:c r="M307" s="8" t="n">
        <x:v>2.4667</x:v>
      </x:c>
      <x:c r="N307" s="8" t="n">
        <x:v>15.3672</x:v>
      </x:c>
    </x:row>
    <x:row r="308" ht="19" customHeight="1">
      <x:c r="A308" s="7" t="n">
        <x:v>42186</x:v>
      </x:c>
      <x:c r="B308" s="8" t="n">
        <x:v>3.06261958893</x:v>
      </x:c>
      <x:c r="C308" s="8" t="n">
        <x:v>3.16805868697</x:v>
      </x:c>
      <x:c r="D308" s="8" t="n">
        <x:v>4.49932138343</x:v>
      </x:c>
      <x:c r="E308" s="8" t="n">
        <x:v>11.3075368231</x:v>
      </x:c>
      <x:c r="F308" s="8" t="n">
        <x:v>119.21</x:v>
      </x:c>
      <x:c r="G308" s="8" t="n">
        <x:v>21.002</x:v>
      </x:c>
      <x:c r="H308" s="8" t="n">
        <x:v>42.153</x:v>
      </x:c>
      <x:c r="I308" s="8" t="n">
        <x:v>21.002</x:v>
      </x:c>
      <x:c r="J308" s="8" t="n">
        <x:v>6.3056</x:v>
      </x:c>
      <x:c r="K308" s="8" t="n">
        <x:v>13.2566</x:v>
      </x:c>
      <x:c r="L308" s="8" t="n">
        <x:v>0.2483</x:v>
      </x:c>
      <x:c r="M308" s="8" t="n">
        <x:v>1.0923</x:v>
      </x:c>
      <x:c r="N308" s="8" t="n">
        <x:v>14.1503</x:v>
      </x:c>
    </x:row>
    <x:row r="309" ht="19" customHeight="1">
      <x:c r="A309" s="7" t="n">
        <x:v>42217</x:v>
      </x:c>
      <x:c r="B309" s="8" t="n">
        <x:v>2.89093314708</x:v>
      </x:c>
      <x:c r="C309" s="8" t="n">
        <x:v>2.97264319412</x:v>
      </x:c>
      <x:c r="D309" s="8" t="n">
        <x:v>4.49892120905</x:v>
      </x:c>
      <x:c r="E309" s="8" t="n">
        <x:v>11.3043441205</x:v>
      </x:c>
      <x:c r="F309" s="8" t="n">
        <x:v>104.05</x:v>
      </x:c>
      <x:c r="G309" s="8" t="n">
        <x:v>21.5439</x:v>
      </x:c>
      <x:c r="H309" s="8" t="n">
        <x:v>26.1566</x:v>
      </x:c>
      <x:c r="I309" s="8" t="n">
        <x:v>19.7092</x:v>
      </x:c>
      <x:c r="J309" s="8" t="n">
        <x:v>5.0321</x:v>
      </x:c>
      <x:c r="K309" s="8" t="n">
        <x:v>9.3828</x:v>
      </x:c>
      <x:c r="L309" s="8" t="n">
        <x:v>0.4718</x:v>
      </x:c>
      <x:c r="M309" s="8" t="n">
        <x:v>1.7822</x:v>
      </x:c>
      <x:c r="N309" s="8" t="n">
        <x:v>19.9713</x:v>
      </x:c>
    </x:row>
    <x:row r="310" ht="19" customHeight="1">
      <x:c r="A310" s="7" t="n">
        <x:v>42248</x:v>
      </x:c>
      <x:c r="B310" s="8" t="n">
        <x:v>2.95228365248</x:v>
      </x:c>
      <x:c r="C310" s="8" t="n">
        <x:v>2.99826382466</x:v>
      </x:c>
      <x:c r="D310" s="8" t="n">
        <x:v>4.503105798</x:v>
      </x:c>
      <x:c r="E310" s="8" t="n">
        <x:v>11.302975657</x:v>
      </x:c>
      <x:c r="F310" s="8" t="n">
        <x:v>114.93</x:v>
      </x:c>
      <x:c r="G310" s="8" t="n">
        <x:v>23.6333</x:v>
      </x:c>
      <x:c r="H310" s="8" t="n">
        <x:v>36.604</x:v>
      </x:c>
      <x:c r="I310" s="8" t="n">
        <x:v>9.4332</x:v>
      </x:c>
      <x:c r="J310" s="8" t="n">
        <x:v>9.082</x:v>
      </x:c>
      <x:c r="K310" s="8" t="n">
        <x:v>6.6735</x:v>
      </x:c>
      <x:c r="L310" s="8" t="n">
        <x:v>1.7562</x:v>
      </x:c>
      <x:c r="M310" s="8" t="n">
        <x:v>1.1541</x:v>
      </x:c>
      <x:c r="N310" s="8" t="n">
        <x:v>26.5937</x:v>
      </x:c>
    </x:row>
    <x:row r="311" ht="19" customHeight="1">
      <x:c r="A311" s="7" t="n">
        <x:v>42278</x:v>
      </x:c>
      <x:c r="B311" s="8" t="n">
        <x:v>2.96743459565</x:v>
      </x:c>
      <x:c r="C311" s="8" t="n">
        <x:v>3.01414144721</x:v>
      </x:c>
      <x:c r="D311" s="8" t="n">
        <x:v>4.50273103794</x:v>
      </x:c>
      <x:c r="E311" s="8" t="n">
        <x:v>11.3024122415</x:v>
      </x:c>
      <x:c r="F311" s="8" t="n">
        <x:v>103.79</x:v>
      </x:c>
      <x:c r="G311" s="8" t="n">
        <x:v>41.5389</x:v>
      </x:c>
      <x:c r="H311" s="8" t="n">
        <x:v>23.2123</x:v>
      </x:c>
      <x:c r="I311" s="8" t="n">
        <x:v>14.7256</x:v>
      </x:c>
      <x:c r="J311" s="8" t="n">
        <x:v>3.9452</x:v>
      </x:c>
      <x:c r="K311" s="8" t="n">
        <x:v>2.8901</x:v>
      </x:c>
      <x:c r="L311" s="8" t="n">
        <x:v>0.5046</x:v>
      </x:c>
      <x:c r="M311" s="8" t="n">
        <x:v>0.8716</x:v>
      </x:c>
      <x:c r="N311" s="8" t="n">
        <x:v>16.1018</x:v>
      </x:c>
    </x:row>
    <x:row r="312" ht="19" customHeight="1">
      <x:c r="A312" s="7" t="n">
        <x:v>42309</x:v>
      </x:c>
      <x:c r="B312" s="8" t="n">
        <x:v>2.88091940004</x:v>
      </x:c>
      <x:c r="C312" s="8" t="n">
        <x:v>2.92313533304</x:v>
      </x:c>
      <x:c r="D312" s="8" t="n">
        <x:v>4.50152652091</x:v>
      </x:c>
      <x:c r="E312" s="8" t="n">
        <x:v>11.3106768509</x:v>
      </x:c>
      <x:c r="F312" s="8" t="n">
        <x:v>154.83</x:v>
      </x:c>
      <x:c r="G312" s="8" t="n">
        <x:v>25.1331</x:v>
      </x:c>
      <x:c r="H312" s="8" t="n">
        <x:v>27.3727</x:v>
      </x:c>
      <x:c r="I312" s="8" t="n">
        <x:v>73.0603</x:v>
      </x:c>
      <x:c r="J312" s="8" t="n">
        <x:v>5.2257</x:v>
      </x:c>
      <x:c r="K312" s="8" t="n">
        <x:v>1.1944</x:v>
      </x:c>
      <x:c r="L312" s="8" t="n">
        <x:v>0.2986</x:v>
      </x:c>
      <x:c r="M312" s="8" t="n">
        <x:v>1.4433</x:v>
      </x:c>
      <x:c r="N312" s="8" t="n">
        <x:v>21.1019</x:v>
      </x:c>
    </x:row>
    <x:row r="313" ht="19" customHeight="1">
      <x:c r="A313" s="7" t="n">
        <x:v>42339</x:v>
      </x:c>
      <x:c r="B313" s="8" t="n">
        <x:v>2.74994412648</x:v>
      </x:c>
      <x:c r="C313" s="8" t="n">
        <x:v>2.77175350155</x:v>
      </x:c>
      <x:c r="D313" s="8" t="n">
        <x:v>4.50044139731</x:v>
      </x:c>
      <x:c r="E313" s="8" t="n">
        <x:v>11.3128658084</x:v>
      </x:c>
      <x:c r="F313" s="8" t="n">
        <x:v>139.17</x:v>
      </x:c>
      <x:c r="G313" s="8" t="n">
        <x:v>26.6265</x:v>
      </x:c>
      <x:c r="H313" s="8" t="n">
        <x:v>29.929</x:v>
      </x:c>
      <x:c r="I313" s="8" t="n">
        <x:v>51.447</x:v>
      </x:c>
      <x:c r="J313" s="8" t="n">
        <x:v>6.3986</x:v>
      </x:c>
      <x:c r="K313" s="8" t="n">
        <x:v>3.6637</x:v>
      </x:c>
      <x:c r="L313" s="8" t="n">
        <x:v>0.516</x:v>
      </x:c>
      <x:c r="M313" s="8" t="n">
        <x:v>2.1673</x:v>
      </x:c>
      <x:c r="N313" s="8" t="n">
        <x:v>18.4218</x:v>
      </x:c>
    </x:row>
    <x:row r="314" ht="19" customHeight="1">
      <x:c r="A314" s="7" t="n">
        <x:v>42370</x:v>
      </x:c>
      <x:c r="B314" s="8" t="n">
        <x:v>2.59004833417</x:v>
      </x:c>
      <x:c r="C314" s="8" t="n">
        <x:v>2.55862542182</x:v>
      </x:c>
      <x:c r="D314" s="8" t="n">
        <x:v>4.50735558917</x:v>
      </x:c>
      <x:c r="E314" s="8" t="n">
        <x:v>11.3119764085</x:v>
      </x:c>
      <x:c r="F314" s="8" t="n">
        <x:v>117.86</x:v>
      </x:c>
      <x:c r="G314" s="8" t="n">
        <x:v>13.7735</x:v>
      </x:c>
      <x:c r="H314" s="8" t="n">
        <x:v>37.6494</x:v>
      </x:c>
      <x:c r="I314" s="8" t="n">
        <x:v>28.2054</x:v>
      </x:c>
      <x:c r="J314" s="8" t="n">
        <x:v>8.8617</x:v>
      </x:c>
      <x:c r="K314" s="8" t="n">
        <x:v>8.4059</x:v>
      </x:c>
      <x:c r="L314" s="8" t="n">
        <x:v>0.5064</x:v>
      </x:c>
      <x:c r="M314" s="8" t="n">
        <x:v>3.7472</x:v>
      </x:c>
      <x:c r="N314" s="8" t="n">
        <x:v>16.7105</x:v>
      </x:c>
    </x:row>
    <x:row r="315" ht="19" customHeight="1">
      <x:c r="A315" s="7" t="n">
        <x:v>42401</x:v>
      </x:c>
      <x:c r="B315" s="8" t="n">
        <x:v>2.54750088813</x:v>
      </x:c>
      <x:c r="C315" s="8" t="n">
        <x:v>2.60703846892</x:v>
      </x:c>
      <x:c r="D315" s="8" t="n">
        <x:v>4.50548370988</x:v>
      </x:c>
      <x:c r="E315" s="8" t="n">
        <x:v>11.3027402407</x:v>
      </x:c>
      <x:c r="F315" s="8" t="n">
        <x:v>96.14</x:v>
      </x:c>
      <x:c r="G315" s="8" t="n">
        <x:v>24.6975</x:v>
      </x:c>
      <x:c r="H315" s="8" t="n">
        <x:v>27.8244</x:v>
      </x:c>
      <x:c r="I315" s="8" t="n">
        <x:v>15.4227</x:v>
      </x:c>
      <x:c r="J315" s="8" t="n">
        <x:v>7.9498</x:v>
      </x:c>
      <x:c r="K315" s="8" t="n">
        <x:v>3.4449</x:v>
      </x:c>
      <x:c r="L315" s="8" t="n">
        <x:v>0.848</x:v>
      </x:c>
      <x:c r="M315" s="8" t="n">
        <x:v>2.385</x:v>
      </x:c>
      <x:c r="N315" s="8" t="n">
        <x:v>13.5677</x:v>
      </x:c>
    </x:row>
    <x:row r="316" ht="19" customHeight="1">
      <x:c r="A316" s="7" t="n">
        <x:v>42430</x:v>
      </x:c>
      <x:c r="B316" s="8" t="n">
        <x:v>2.75823681255</x:v>
      </x:c>
      <x:c r="C316" s="8" t="n">
        <x:v>2.7756606958</x:v>
      </x:c>
      <x:c r="D316" s="8" t="n">
        <x:v>4.5045065704</x:v>
      </x:c>
      <x:c r="E316" s="8" t="n">
        <x:v>11.3013176455</x:v>
      </x:c>
      <x:c r="F316" s="8" t="n">
        <x:v>109.98</x:v>
      </x:c>
      <x:c r="G316" s="8" t="n">
        <x:v>17.852</x:v>
      </x:c>
      <x:c r="H316" s="8" t="n">
        <x:v>30.1654</x:v>
      </x:c>
      <x:c r="I316" s="8" t="n">
        <x:v>33.7753</x:v>
      </x:c>
      <x:c r="J316" s="8" t="n">
        <x:v>5.0935</x:v>
      </x:c>
      <x:c r="K316" s="8" t="n">
        <x:v>4.8957</x:v>
      </x:c>
      <x:c r="L316" s="8" t="n">
        <x:v>0.3956</x:v>
      </x:c>
      <x:c r="M316" s="8" t="n">
        <x:v>3.2638</x:v>
      </x:c>
      <x:c r="N316" s="8" t="n">
        <x:v>14.5387</x:v>
      </x:c>
    </x:row>
    <x:row r="317" ht="19" customHeight="1">
      <x:c r="A317" s="7" t="n">
        <x:v>42461</x:v>
      </x:c>
      <x:c r="B317" s="8" t="n">
        <x:v>2.83619594711</x:v>
      </x:c>
      <x:c r="C317" s="8" t="n">
        <x:v>2.85635938985</x:v>
      </x:c>
      <x:c r="D317" s="8" t="n">
        <x:v>4.50891399136</x:v>
      </x:c>
      <x:c r="E317" s="8" t="n">
        <x:v>11.2916349832</x:v>
      </x:c>
      <x:c r="F317" s="8" t="n">
        <x:v>88.85</x:v>
      </x:c>
      <x:c r="G317" s="8" t="n">
        <x:v>19.0282</x:v>
      </x:c>
      <x:c r="H317" s="8" t="n">
        <x:v>29.1869</x:v>
      </x:c>
      <x:c r="I317" s="8" t="n">
        <x:v>16.8109</x:v>
      </x:c>
      <x:c r="J317" s="8" t="n">
        <x:v>4.7442</x:v>
      </x:c>
      <x:c r="K317" s="8" t="n">
        <x:v>5.6724</x:v>
      </x:c>
      <x:c r="L317" s="8" t="n">
        <x:v>0.0516</x:v>
      </x:c>
      <x:c r="M317" s="8" t="n">
        <x:v>1.0313</x:v>
      </x:c>
      <x:c r="N317" s="8" t="n">
        <x:v>12.3245</x:v>
      </x:c>
    </x:row>
    <x:row r="318" ht="19" customHeight="1">
      <x:c r="A318" s="7" t="n">
        <x:v>42491</x:v>
      </x:c>
      <x:c r="B318" s="8" t="n">
        <x:v>2.97033707614</x:v>
      </x:c>
      <x:c r="C318" s="8" t="n">
        <x:v>2.97097913074</x:v>
      </x:c>
      <x:c r="D318" s="8" t="n">
        <x:v>4.50661717701</x:v>
      </x:c>
      <x:c r="E318" s="8" t="n">
        <x:v>11.2816980395</x:v>
      </x:c>
      <x:c r="F318" s="8" t="n">
        <x:v>82.07</x:v>
      </x:c>
      <x:c r="G318" s="8" t="n">
        <x:v>18.4857</x:v>
      </x:c>
      <x:c r="H318" s="8" t="n">
        <x:v>26.6661</x:v>
      </x:c>
      <x:c r="I318" s="8" t="n">
        <x:v>12.2707</x:v>
      </x:c>
      <x:c r="J318" s="8" t="n">
        <x:v>4.8339</x:v>
      </x:c>
      <x:c r="K318" s="8" t="n">
        <x:v>3.7715</x:v>
      </x:c>
      <x:c r="L318" s="8" t="n">
        <x:v>0.6374</x:v>
      </x:c>
      <x:c r="M318" s="8" t="n">
        <x:v>0.8499</x:v>
      </x:c>
      <x:c r="N318" s="8" t="n">
        <x:v>14.5548</x:v>
      </x:c>
    </x:row>
    <x:row r="319" ht="19" customHeight="1">
      <x:c r="A319" s="7" t="n">
        <x:v>42522</x:v>
      </x:c>
      <x:c r="B319" s="8" t="n">
        <x:v>3.01051699481</x:v>
      </x:c>
      <x:c r="C319" s="8" t="n">
        <x:v>3.00000251798</x:v>
      </x:c>
      <x:c r="D319" s="8" t="n">
        <x:v>4.51171290342</x:v>
      </x:c>
      <x:c r="E319" s="8" t="n">
        <x:v>11.2906393085</x:v>
      </x:c>
      <x:c r="F319" s="8" t="n">
        <x:v>102.62</x:v>
      </x:c>
      <x:c r="G319" s="8" t="n">
        <x:v>13.7016</x:v>
      </x:c>
      <x:c r="H319" s="8" t="n">
        <x:v>27.8012</x:v>
      </x:c>
      <x:c r="I319" s="8" t="n">
        <x:v>38.4896</x:v>
      </x:c>
      <x:c r="J319" s="8" t="n">
        <x:v>2.8427</x:v>
      </x:c>
      <x:c r="K319" s="8" t="n">
        <x:v>1.7056</x:v>
      </x:c>
      <x:c r="L319" s="8" t="n">
        <x:v>0.1137</x:v>
      </x:c>
      <x:c r="M319" s="8" t="n">
        <x:v>1.1939</x:v>
      </x:c>
      <x:c r="N319" s="8" t="n">
        <x:v>16.7717</x:v>
      </x:c>
    </x:row>
    <x:row r="320" ht="19" customHeight="1">
      <x:c r="A320" s="7" t="n">
        <x:v>42552</x:v>
      </x:c>
      <x:c r="B320" s="8" t="n">
        <x:v>2.92296482516</x:v>
      </x:c>
      <x:c r="C320" s="8" t="n">
        <x:v>2.92966127876</x:v>
      </x:c>
      <x:c r="D320" s="8" t="n">
        <x:v>4.51244417363</x:v>
      </x:c>
      <x:c r="E320" s="8" t="n">
        <x:v>11.3000782119</x:v>
      </x:c>
      <x:c r="F320" s="8" t="n">
        <x:v>119.38</x:v>
      </x:c>
      <x:c r="G320" s="8" t="n">
        <x:v>13.6675</x:v>
      </x:c>
      <x:c r="H320" s="8" t="n">
        <x:v>30.8044</x:v>
      </x:c>
      <x:c r="I320" s="8" t="n">
        <x:v>43.4205</x:v>
      </x:c>
      <x:c r="J320" s="8" t="n">
        <x:v>4.2054</x:v>
      </x:c>
      <x:c r="K320" s="8" t="n">
        <x:v>0.8411</x:v>
      </x:c>
      <x:c r="L320" s="8" t="n">
        <x:v>9.357</x:v>
      </x:c>
      <x:c r="M320" s="8" t="n">
        <x:v>1.2616</x:v>
      </x:c>
      <x:c r="N320" s="8" t="n">
        <x:v>15.8227</x:v>
      </x:c>
    </x:row>
    <x:row r="321" ht="19" customHeight="1">
      <x:c r="A321" s="7" t="n">
        <x:v>42583</x:v>
      </x:c>
      <x:c r="B321" s="8" t="n">
        <x:v>2.9226838326</x:v>
      </x:c>
      <x:c r="C321" s="8" t="n">
        <x:v>2.94742007616</x:v>
      </x:c>
      <x:c r="D321" s="8" t="n">
        <x:v>4.51515758688</x:v>
      </x:c>
      <x:c r="E321" s="8" t="n">
        <x:v>11.2929707988</x:v>
      </x:c>
      <x:c r="F321" s="8" t="n">
        <x:v>94.89</x:v>
      </x:c>
      <x:c r="G321" s="8" t="n">
        <x:v>24.8883</x:v>
      </x:c>
      <x:c r="H321" s="8" t="n">
        <x:v>22.8278</x:v>
      </x:c>
      <x:c r="I321" s="8" t="n">
        <x:v>18.5442</x:v>
      </x:c>
      <x:c r="J321" s="8" t="n">
        <x:v>7.9165</x:v>
      </x:c>
      <x:c r="K321" s="8" t="n">
        <x:v>2.7111</x:v>
      </x:c>
      <x:c r="L321" s="8" t="n">
        <x:v>3.2534</x:v>
      </x:c>
      <x:c r="M321" s="8" t="n">
        <x:v>0.0542</x:v>
      </x:c>
      <x:c r="N321" s="8" t="n">
        <x:v>14.6944</x:v>
      </x:c>
    </x:row>
    <x:row r="322" ht="19" customHeight="1">
      <x:c r="A322" s="7" t="n">
        <x:v>42614</x:v>
      </x:c>
      <x:c r="B322" s="8" t="n">
        <x:v>2.93029773961</x:v>
      </x:c>
      <x:c r="C322" s="8" t="n">
        <x:v>2.96059978557</x:v>
      </x:c>
      <x:c r="D322" s="8" t="n">
        <x:v>4.51606057586</x:v>
      </x:c>
      <x:c r="E322" s="8" t="n">
        <x:v>11.2975420011</x:v>
      </x:c>
      <x:c r="F322" s="8" t="n">
        <x:v>106.37</x:v>
      </x:c>
      <x:c r="G322" s="8" t="n">
        <x:v>24.4443</x:v>
      </x:c>
      <x:c r="H322" s="8" t="n">
        <x:v>29.6747</x:v>
      </x:c>
      <x:c r="I322" s="8" t="n">
        <x:v>21.242</x:v>
      </x:c>
      <x:c r="J322" s="8" t="n">
        <x:v>9.2867</x:v>
      </x:c>
      <x:c r="K322" s="8" t="n">
        <x:v>7.5788</x:v>
      </x:c>
      <x:c r="L322" s="8" t="n">
        <x:v>0.7472</x:v>
      </x:c>
      <x:c r="M322" s="8" t="n">
        <x:v>0.9607</x:v>
      </x:c>
      <x:c r="N322" s="8" t="n">
        <x:v>12.4356</x:v>
      </x:c>
    </x:row>
    <x:row r="323" ht="19" customHeight="1">
      <x:c r="A323" s="7" t="n">
        <x:v>42644</x:v>
      </x:c>
      <x:c r="B323" s="8" t="n">
        <x:v>3.02491657783</x:v>
      </x:c>
      <x:c r="C323" s="8" t="n">
        <x:v>3.01967990927</x:v>
      </x:c>
      <x:c r="D323" s="8" t="n">
        <x:v>4.52020441953</x:v>
      </x:c>
      <x:c r="E323" s="8" t="n">
        <x:v>11.3118264133</x:v>
      </x:c>
      <x:c r="F323" s="8" t="n">
        <x:v>90.12</x:v>
      </x:c>
      <x:c r="G323" s="8" t="n">
        <x:v>31.5848</x:v>
      </x:c>
      <x:c r="H323" s="8" t="n">
        <x:v>25.8421</x:v>
      </x:c>
      <x:c r="I323" s="8" t="n">
        <x:v>9.5208</x:v>
      </x:c>
      <x:c r="J323" s="8" t="n">
        <x:v>6.0953</x:v>
      </x:c>
      <x:c r="K323" s="8" t="n">
        <x:v>1.1082</x:v>
      </x:c>
      <x:c r="L323" s="8" t="n">
        <x:v>0.8564</x:v>
      </x:c>
      <x:c r="M323" s="8" t="n">
        <x:v>0.4534</x:v>
      </x:c>
      <x:c r="N323" s="8" t="n">
        <x:v>14.659</x:v>
      </x:c>
    </x:row>
    <x:row r="324" ht="19" customHeight="1">
      <x:c r="A324" s="7" t="n">
        <x:v>42675</x:v>
      </x:c>
      <x:c r="B324" s="8" t="n">
        <x:v>2.93734766869</x:v>
      </x:c>
      <x:c r="C324" s="8" t="n">
        <x:v>2.91676944503</x:v>
      </x:c>
      <x:c r="D324" s="8" t="n">
        <x:v>4.52730753426</x:v>
      </x:c>
      <x:c r="E324" s="8" t="n">
        <x:v>11.3239156959</x:v>
      </x:c>
      <x:c r="F324" s="8" t="n">
        <x:v>91.33</x:v>
      </x:c>
      <x:c r="G324" s="8" t="n">
        <x:v>22.0951</x:v>
      </x:c>
      <x:c r="H324" s="8" t="n">
        <x:v>41.0261</x:v>
      </x:c>
      <x:c r="I324" s="8" t="n">
        <x:v>8.7951</x:v>
      </x:c>
      <x:c r="J324" s="8" t="n">
        <x:v>3.8077</x:v>
      </x:c>
      <x:c r="K324" s="8" t="n">
        <x:v>1.448</x:v>
      </x:c>
      <x:c r="L324" s="8" t="n">
        <x:v>0.6972</x:v>
      </x:c>
      <x:c r="M324" s="8" t="n">
        <x:v>1.3944</x:v>
      </x:c>
      <x:c r="N324" s="8" t="n">
        <x:v>12.0665</x:v>
      </x:c>
    </x:row>
    <x:row r="325" ht="19" customHeight="1">
      <x:c r="A325" s="7" t="n">
        <x:v>42705</x:v>
      </x:c>
      <x:c r="B325" s="8" t="n">
        <x:v>3.0642703157</x:v>
      </x:c>
      <x:c r="C325" s="8" t="n">
        <x:v>3.08972761751</x:v>
      </x:c>
      <x:c r="D325" s="8" t="n">
        <x:v>4.52878839797</x:v>
      </x:c>
      <x:c r="E325" s="8" t="n">
        <x:v>11.3172165561</x:v>
      </x:c>
      <x:c r="F325" s="8" t="n">
        <x:v>133.27</x:v>
      </x:c>
      <x:c r="G325" s="8" t="n">
        <x:v>22.2473</x:v>
      </x:c>
      <x:c r="H325" s="8" t="n">
        <x:v>52.8374</x:v>
      </x:c>
      <x:c r="I325" s="8" t="n">
        <x:v>22.4078</x:v>
      </x:c>
      <x:c r="J325" s="8" t="n">
        <x:v>5.8292</x:v>
      </x:c>
      <x:c r="K325" s="8" t="n">
        <x:v>5.7223</x:v>
      </x:c>
      <x:c r="L325" s="8" t="n">
        <x:v>0.7487</x:v>
      </x:c>
      <x:c r="M325" s="8" t="n">
        <x:v>5.0805</x:v>
      </x:c>
      <x:c r="N325" s="8" t="n">
        <x:v>18.3968</x:v>
      </x:c>
    </x:row>
    <x:row r="326" ht="19" customHeight="1">
      <x:c r="A326" s="7" t="n">
        <x:v>42736</x:v>
      </x:c>
      <x:c r="B326" s="8" t="n">
        <x:v>3.07038193085</x:v>
      </x:c>
      <x:c r="C326" s="8" t="n">
        <x:v>3.10923627654</x:v>
      </x:c>
      <x:c r="D326" s="8" t="n">
        <x:v>4.52708420654</x:v>
      </x:c>
      <x:c r="E326" s="8" t="n">
        <x:v>11.3050840197</x:v>
      </x:c>
      <x:c r="F326" s="8" t="n">
        <x:v>114.25</x:v>
      </x:c>
      <x:c r="G326" s="8" t="n">
        <x:v>14.4449</x:v>
      </x:c>
      <x:c r="H326" s="8" t="n">
        <x:v>61.3322</x:v>
      </x:c>
      <x:c r="I326" s="8" t="n">
        <x:v>15.0526</x:v>
      </x:c>
      <x:c r="J326" s="8" t="n">
        <x:v>4.5812</x:v>
      </x:c>
      <x:c r="K326" s="8" t="n">
        <x:v>3.5995</x:v>
      </x:c>
      <x:c r="L326" s="8" t="n">
        <x:v>0.8882</x:v>
      </x:c>
      <x:c r="M326" s="8" t="n">
        <x:v>2.5243</x:v>
      </x:c>
      <x:c r="N326" s="8" t="n">
        <x:v>11.827</x:v>
      </x:c>
    </x:row>
    <x:row r="327" ht="19" customHeight="1">
      <x:c r="A327" s="7" t="n">
        <x:v>42767</x:v>
      </x:c>
      <x:c r="B327" s="8" t="n">
        <x:v>3.08709811979</x:v>
      </x:c>
      <x:c r="C327" s="8" t="n">
        <x:v>3.1129441219</x:v>
      </x:c>
      <x:c r="D327" s="8" t="n">
        <x:v>4.53000516459</x:v>
      </x:c>
      <x:c r="E327" s="8" t="n">
        <x:v>11.3035714235</x:v>
      </x:c>
      <x:c r="F327" s="8" t="n">
        <x:v>126.44</x:v>
      </x:c>
      <x:c r="G327" s="8" t="n">
        <x:v>17.3642</x:v>
      </x:c>
      <x:c r="H327" s="8" t="n">
        <x:v>65.6103</x:v>
      </x:c>
      <x:c r="I327" s="8" t="n">
        <x:v>15.8256</x:v>
      </x:c>
      <x:c r="J327" s="8" t="n">
        <x:v>3.1871</x:v>
      </x:c>
      <x:c r="K327" s="8" t="n">
        <x:v>5.0554</x:v>
      </x:c>
      <x:c r="L327" s="8" t="n">
        <x:v>0.1099</x:v>
      </x:c>
      <x:c r="M327" s="8" t="n">
        <x:v>2.9673</x:v>
      </x:c>
      <x:c r="N327" s="8" t="n">
        <x:v>16.3202</x:v>
      </x:c>
    </x:row>
    <x:row r="328" ht="19" customHeight="1">
      <x:c r="A328" s="7" t="n">
        <x:v>42795</x:v>
      </x:c>
      <x:c r="B328" s="8" t="n">
        <x:v>3.00697709688</x:v>
      </x:c>
      <x:c r="C328" s="8" t="n">
        <x:v>3.05177253689</x:v>
      </x:c>
      <x:c r="D328" s="8" t="n">
        <x:v>4.53385367746</x:v>
      </x:c>
      <x:c r="E328" s="8" t="n">
        <x:v>11.2974155678</x:v>
      </x:c>
      <x:c r="F328" s="8" t="n">
        <x:v>109.7</x:v>
      </x:c>
      <x:c r="G328" s="8" t="n">
        <x:v>23.1757</x:v>
      </x:c>
      <x:c r="H328" s="8" t="n">
        <x:v>45.0292</x:v>
      </x:c>
      <x:c r="I328" s="8" t="n">
        <x:v>13.7996</x:v>
      </x:c>
      <x:c r="J328" s="8" t="n">
        <x:v>3.1254</x:v>
      </x:c>
      <x:c r="K328" s="8" t="n">
        <x:v>7.4528</x:v>
      </x:c>
      <x:c r="L328" s="8" t="n">
        <x:v>0.7212</x:v>
      </x:c>
      <x:c r="M328" s="8" t="n">
        <x:v>1.5867</x:v>
      </x:c>
      <x:c r="N328" s="8" t="n">
        <x:v>14.8094</x:v>
      </x:c>
    </x:row>
    <x:row r="329" ht="19" customHeight="1">
      <x:c r="A329" s="7" t="n">
        <x:v>42826</x:v>
      </x:c>
      <x:c r="B329" s="8" t="n">
        <x:v>3.04021270156</x:v>
      </x:c>
      <x:c r="C329" s="8" t="n">
        <x:v>3.06439884713</x:v>
      </x:c>
      <x:c r="D329" s="8" t="n">
        <x:v>4.53812990388</x:v>
      </x:c>
      <x:c r="E329" s="8" t="n">
        <x:v>11.291084067</x:v>
      </x:c>
      <x:c r="F329" s="8" t="n">
        <x:v>133.37</x:v>
      </x:c>
      <x:c r="G329" s="8" t="n">
        <x:v>40.7407</x:v>
      </x:c>
      <x:c r="H329" s="8" t="n">
        <x:v>40.4366</x:v>
      </x:c>
      <x:c r="I329" s="8" t="n">
        <x:v>16.6206</x:v>
      </x:c>
      <x:c r="J329" s="8" t="n">
        <x:v>6.1314</x:v>
      </x:c>
      <x:c r="K329" s="8" t="n">
        <x:v>13.8336</x:v>
      </x:c>
      <x:c r="L329" s="8" t="n">
        <x:v>1.0641</x:v>
      </x:c>
      <x:c r="M329" s="8" t="n">
        <x:v>2.483</x:v>
      </x:c>
      <x:c r="N329" s="8" t="n">
        <x:v>12.0601</x:v>
      </x:c>
    </x:row>
    <x:row r="330" ht="19" customHeight="1">
      <x:c r="A330" s="7" t="n">
        <x:v>42856</x:v>
      </x:c>
      <x:c r="B330" s="8" t="n">
        <x:v>2.98913690915</x:v>
      </x:c>
      <x:c r="C330" s="8" t="n">
        <x:v>3.02658688817</x:v>
      </x:c>
      <x:c r="D330" s="8" t="n">
        <x:v>4.54198962909</x:v>
      </x:c>
      <x:c r="E330" s="8" t="n">
        <x:v>11.3009386323</x:v>
      </x:c>
      <x:c r="F330" s="8" t="n">
        <x:v>121.85</x:v>
      </x:c>
      <x:c r="G330" s="8" t="n">
        <x:v>18.7037</x:v>
      </x:c>
      <x:c r="H330" s="8" t="n">
        <x:v>53.8547</x:v>
      </x:c>
      <x:c r="I330" s="8" t="n">
        <x:v>19.2553</x:v>
      </x:c>
      <x:c r="J330" s="8" t="n">
        <x:v>3.8109</x:v>
      </x:c>
      <x:c r="K330" s="8" t="n">
        <x:v>5.917</x:v>
      </x:c>
      <x:c r="L330" s="8" t="n">
        <x:v>0.5014</x:v>
      </x:c>
      <x:c r="M330" s="8" t="n">
        <x:v>1.3037</x:v>
      </x:c>
      <x:c r="N330" s="8" t="n">
        <x:v>18.5031</x:v>
      </x:c>
    </x:row>
    <x:row r="331" ht="19" customHeight="1">
      <x:c r="A331" s="7" t="n">
        <x:v>42887</x:v>
      </x:c>
      <x:c r="B331" s="8" t="n">
        <x:v>2.91798866198</x:v>
      </x:c>
      <x:c r="C331" s="8" t="n">
        <x:v>2.94398684935</x:v>
      </x:c>
      <x:c r="D331" s="8" t="n">
        <x:v>4.54499547794</x:v>
      </x:c>
      <x:c r="E331" s="8" t="n">
        <x:v>11.3040345531</x:v>
      </x:c>
      <x:c r="F331" s="8" t="n">
        <x:v>120.42</x:v>
      </x:c>
      <x:c r="G331" s="8" t="n">
        <x:v>19.9037</x:v>
      </x:c>
      <x:c r="H331" s="8" t="n">
        <x:v>47.3399</x:v>
      </x:c>
      <x:c r="I331" s="8" t="n">
        <x:v>28.1346</x:v>
      </x:c>
      <x:c r="J331" s="8" t="n">
        <x:v>4.0406</x:v>
      </x:c>
      <x:c r="K331" s="8" t="n">
        <x:v>1.7958</x:v>
      </x:c>
      <x:c r="L331" s="8" t="n">
        <x:v>0.9977</x:v>
      </x:c>
      <x:c r="M331" s="8" t="n">
        <x:v>4.4397</x:v>
      </x:c>
      <x:c r="N331" s="8" t="n">
        <x:v>13.768</x:v>
      </x:c>
    </x:row>
    <x:row r="332" ht="19" customHeight="1">
      <x:c r="A332" s="7" t="n">
        <x:v>42917</x:v>
      </x:c>
      <x:c r="B332" s="8" t="n">
        <x:v>2.94925066546</x:v>
      </x:c>
      <x:c r="C332" s="8" t="n">
        <x:v>2.9881578964</x:v>
      </x:c>
      <x:c r="D332" s="8" t="n">
        <x:v>4.54641841559</x:v>
      </x:c>
      <x:c r="E332" s="8" t="n">
        <x:v>11.3098256423</x:v>
      </x:c>
      <x:c r="F332" s="8" t="n">
        <x:v>110.93</x:v>
      </x:c>
      <x:c r="G332" s="8" t="n">
        <x:v>17.6585</x:v>
      </x:c>
      <x:c r="H332" s="8" t="n">
        <x:v>48.0988</x:v>
      </x:c>
      <x:c r="I332" s="8" t="n">
        <x:v>7.4432</x:v>
      </x:c>
      <x:c r="J332" s="8" t="n">
        <x:v>3.9526</x:v>
      </x:c>
      <x:c r="K332" s="8" t="n">
        <x:v>10.2152</x:v>
      </x:c>
      <x:c r="L332" s="8" t="n">
        <x:v>1.5913</x:v>
      </x:c>
      <x:c r="M332" s="8" t="n">
        <x:v>8.5212</x:v>
      </x:c>
      <x:c r="N332" s="8" t="n">
        <x:v>13.4492</x:v>
      </x:c>
    </x:row>
    <x:row r="333" ht="19" customHeight="1">
      <x:c r="A333" s="7" t="n">
        <x:v>42948</x:v>
      </x:c>
      <x:c r="B333" s="8" t="n">
        <x:v>2.9751993127</x:v>
      </x:c>
      <x:c r="C333" s="8" t="n">
        <x:v>3.048623097</x:v>
      </x:c>
      <x:c r="D333" s="8" t="n">
        <x:v>4.55152259018</x:v>
      </x:c>
      <x:c r="E333" s="8" t="n">
        <x:v>11.3045449802</x:v>
      </x:c>
      <x:c r="F333" s="8" t="n">
        <x:v>127.5</x:v>
      </x:c>
      <x:c r="G333" s="8" t="n">
        <x:v>22.3628</x:v>
      </x:c>
      <x:c r="H333" s="8" t="n">
        <x:v>32.4844</x:v>
      </x:c>
      <x:c r="I333" s="8" t="n">
        <x:v>15.7388</x:v>
      </x:c>
      <x:c r="J333" s="8" t="n">
        <x:v>7.048</x:v>
      </x:c>
      <x:c r="K333" s="8" t="n">
        <x:v>25.9663</x:v>
      </x:c>
      <x:c r="L333" s="8" t="n">
        <x:v>1.3778</x:v>
      </x:c>
      <x:c r="M333" s="8" t="n">
        <x:v>8.2668</x:v>
      </x:c>
      <x:c r="N333" s="8" t="n">
        <x:v>14.255</x:v>
      </x:c>
    </x:row>
    <x:row r="334" ht="19" customHeight="1">
      <x:c r="A334" s="7" t="n">
        <x:v>42979</x:v>
      </x:c>
      <x:c r="B334" s="8" t="n">
        <x:v>3.0064884288</x:v>
      </x:c>
      <x:c r="C334" s="8" t="n">
        <x:v>3.12609860015</x:v>
      </x:c>
      <x:c r="D334" s="8" t="n">
        <x:v>4.55211308882</x:v>
      </x:c>
      <x:c r="E334" s="8" t="n">
        <x:v>11.3062400914</x:v>
      </x:c>
      <x:c r="F334" s="8" t="n">
        <x:v>98.62</x:v>
      </x:c>
      <x:c r="G334" s="8" t="n">
        <x:v>17.6327</x:v>
      </x:c>
      <x:c r="H334" s="8" t="n">
        <x:v>36.4443</x:v>
      </x:c>
      <x:c r="I334" s="8" t="n">
        <x:v>5.8434</x:v>
      </x:c>
      <x:c r="J334" s="8" t="n">
        <x:v>2.8704</x:v>
      </x:c>
      <x:c r="K334" s="8" t="n">
        <x:v>19.7855</x:v>
      </x:c>
      <x:c r="L334" s="8" t="n">
        <x:v>0.205</x:v>
      </x:c>
      <x:c r="M334" s="8" t="n">
        <x:v>4.1006</x:v>
      </x:c>
      <x:c r="N334" s="8" t="n">
        <x:v>11.738</x:v>
      </x:c>
    </x:row>
    <x:row r="335" ht="19" customHeight="1">
      <x:c r="A335" s="7" t="n">
        <x:v>43009</x:v>
      </x:c>
      <x:c r="B335" s="8" t="n">
        <x:v>3.04043116737</x:v>
      </x:c>
      <x:c r="C335" s="8" t="n">
        <x:v>3.14925601264</x:v>
      </x:c>
      <x:c r="D335" s="8" t="n">
        <x:v>4.5534837842</x:v>
      </x:c>
      <x:c r="E335" s="8" t="n">
        <x:v>11.3089008426</x:v>
      </x:c>
      <x:c r="F335" s="8" t="n">
        <x:v>107.23</x:v>
      </x:c>
      <x:c r="G335" s="8" t="n">
        <x:v>17.5924</x:v>
      </x:c>
      <x:c r="H335" s="8" t="n">
        <x:v>42.4288</x:v>
      </x:c>
      <x:c r="I335" s="8" t="n">
        <x:v>14.1429</x:v>
      </x:c>
      <x:c r="J335" s="8" t="n">
        <x:v>4.4843</x:v>
      </x:c>
      <x:c r="K335" s="8" t="n">
        <x:v>9.8064</x:v>
      </x:c>
      <x:c r="L335" s="8" t="n">
        <x:v>0.4928</x:v>
      </x:c>
      <x:c r="M335" s="8" t="n">
        <x:v>3.5973</x:v>
      </x:c>
      <x:c r="N335" s="8" t="n">
        <x:v>14.685</x:v>
      </x:c>
    </x:row>
    <x:row r="336" ht="19" customHeight="1">
      <x:c r="A336" s="7" t="n">
        <x:v>43040</x:v>
      </x:c>
      <x:c r="B336" s="8" t="n">
        <x:v>3.13134816169</x:v>
      </x:c>
      <x:c r="C336" s="8" t="n">
        <x:v>3.23315363686</x:v>
      </x:c>
      <x:c r="D336" s="8" t="n">
        <x:v>4.56251837528</x:v>
      </x:c>
      <x:c r="E336" s="8" t="n">
        <x:v>11.3145213722</x:v>
      </x:c>
      <x:c r="F336" s="8" t="n">
        <x:v>98.14</x:v>
      </x:c>
      <x:c r="G336" s="8" t="n">
        <x:v>12.5894</x:v>
      </x:c>
      <x:c r="H336" s="8" t="n">
        <x:v>40.8635</x:v>
      </x:c>
      <x:c r="I336" s="8" t="n">
        <x:v>16.6471</x:v>
      </x:c>
      <x:c r="J336" s="8" t="n">
        <x:v>2.7052</x:v>
      </x:c>
      <x:c r="K336" s="8" t="n">
        <x:v>8.2195</x:v>
      </x:c>
      <x:c r="L336" s="8" t="n">
        <x:v>4.2138</x:v>
      </x:c>
      <x:c r="M336" s="8" t="n">
        <x:v>2.4971</x:v>
      </x:c>
      <x:c r="N336" s="8" t="n">
        <x:v>10.4045</x:v>
      </x:c>
    </x:row>
    <x:row r="337" ht="19" customHeight="1">
      <x:c r="A337" s="7" t="n">
        <x:v>43070</x:v>
      </x:c>
      <x:c r="B337" s="8" t="n">
        <x:v>3.1508999412</x:v>
      </x:c>
      <x:c r="C337" s="8" t="n">
        <x:v>3.2571757255</x:v>
      </x:c>
      <x:c r="D337" s="8" t="n">
        <x:v>4.56607306519</x:v>
      </x:c>
      <x:c r="E337" s="8" t="n">
        <x:v>11.3101409072</x:v>
      </x:c>
      <x:c r="F337" s="8" t="n">
        <x:v>96.78</x:v>
      </x:c>
      <x:c r="G337" s="8" t="n">
        <x:v>13.1125</x:v>
      </x:c>
      <x:c r="H337" s="8" t="n">
        <x:v>44.6044</x:v>
      </x:c>
      <x:c r="I337" s="8" t="n">
        <x:v>10.2596</x:v>
      </x:c>
      <x:c r="J337" s="8" t="n">
        <x:v>5.1023</x:v>
      </x:c>
      <x:c r="K337" s="8" t="n">
        <x:v>7.1872</x:v>
      </x:c>
      <x:c r="L337" s="8" t="n">
        <x:v>0.2195</x:v>
      </x:c>
      <x:c r="M337" s="8" t="n">
        <x:v>3.3467</x:v>
      </x:c>
      <x:c r="N337" s="8" t="n">
        <x:v>12.9479</x:v>
      </x:c>
    </x:row>
    <x:row r="338" ht="19" customHeight="1">
      <x:c r="A338" s="7" t="n">
        <x:v>43101</x:v>
      </x:c>
      <x:c r="B338" s="8" t="n">
        <x:v>3.24246827755</x:v>
      </x:c>
      <x:c r="C338" s="8" t="n">
        <x:v>3.32354896825</x:v>
      </x:c>
      <x:c r="D338" s="8" t="n">
        <x:v>4.56566124723</x:v>
      </x:c>
      <x:c r="E338" s="8" t="n">
        <x:v>11.3159858049</x:v>
      </x:c>
      <x:c r="F338" s="8" t="n">
        <x:v>98.07</x:v>
      </x:c>
      <x:c r="G338" s="8" t="n">
        <x:v>14.6522</x:v>
      </x:c>
      <x:c r="H338" s="8" t="n">
        <x:v>40.4601</x:v>
      </x:c>
      <x:c r="I338" s="8" t="n">
        <x:v>7.3816</x:v>
      </x:c>
      <x:c r="J338" s="8" t="n">
        <x:v>4.6066</x:v>
      </x:c>
      <x:c r="K338" s="8" t="n">
        <x:v>12.0992</x:v>
      </x:c>
      <x:c r="L338" s="8" t="n">
        <x:v>0</x:v>
      </x:c>
      <x:c r="M338" s="8" t="n">
        <x:v>6.4381</x:v>
      </x:c>
      <x:c r="N338" s="8" t="n">
        <x:v>12.4322</x:v>
      </x:c>
    </x:row>
    <x:row r="339" ht="19" customHeight="1">
      <x:c r="A339" s="7" t="n">
        <x:v>43132</x:v>
      </x:c>
      <x:c r="B339" s="8" t="n">
        <x:v>3.21643224367</x:v>
      </x:c>
      <x:c r="C339" s="8" t="n">
        <x:v>3.26489331319</x:v>
      </x:c>
      <x:c r="D339" s="8" t="n">
        <x:v>4.56774945453</x:v>
      </x:c>
      <x:c r="E339" s="8" t="n">
        <x:v>11.3188512972</x:v>
      </x:c>
      <x:c r="F339" s="8" t="n">
        <x:v>91.56</x:v>
      </x:c>
      <x:c r="G339" s="8" t="n">
        <x:v>19.1716</x:v>
      </x:c>
      <x:c r="H339" s="8" t="n">
        <x:v>41.0012</x:v>
      </x:c>
      <x:c r="I339" s="8" t="n">
        <x:v>7.5216</x:v>
      </x:c>
      <x:c r="J339" s="8" t="n">
        <x:v>2.5449</x:v>
      </x:c>
      <x:c r="K339" s="8" t="n">
        <x:v>5.0898</x:v>
      </x:c>
      <x:c r="L339" s="8" t="n">
        <x:v>0.2828</x:v>
      </x:c>
      <x:c r="M339" s="8" t="n">
        <x:v>3.7325</x:v>
      </x:c>
      <x:c r="N339" s="8" t="n">
        <x:v>12.2155</x:v>
      </x:c>
    </x:row>
    <x:row r="340" ht="19" customHeight="1">
      <x:c r="A340" s="7" t="n">
        <x:v>43160</x:v>
      </x:c>
      <x:c r="B340" s="8" t="n">
        <x:v>3.22424250328</x:v>
      </x:c>
      <x:c r="C340" s="8" t="n">
        <x:v>3.2753604276</x:v>
      </x:c>
      <x:c r="D340" s="8" t="n">
        <x:v>4.56841369835</x:v>
      </x:c>
      <x:c r="E340" s="8" t="n">
        <x:v>11.3178191322</x:v>
      </x:c>
      <x:c r="F340" s="8" t="n">
        <x:v>121.87</x:v>
      </x:c>
      <x:c r="G340" s="8" t="n">
        <x:v>16.0213</x:v>
      </x:c>
      <x:c r="H340" s="8" t="n">
        <x:v>55.9589</x:v>
      </x:c>
      <x:c r="I340" s="8" t="n">
        <x:v>14.3497</x:v>
      </x:c>
      <x:c r="J340" s="8" t="n">
        <x:v>2.4173</x:v>
      </x:c>
      <x:c r="K340" s="8" t="n">
        <x:v>5.349</x:v>
      </x:c>
      <x:c r="L340" s="8" t="n">
        <x:v>0.1029</x:v>
      </x:c>
      <x:c r="M340" s="8" t="n">
        <x:v>14.5555</x:v>
      </x:c>
      <x:c r="N340" s="8" t="n">
        <x:v>13.1154</x:v>
      </x:c>
    </x:row>
    <x:row r="341" ht="19" customHeight="1">
      <x:c r="A341" s="7" t="n">
        <x:v>43191</x:v>
      </x:c>
      <x:c r="B341" s="8" t="n">
        <x:v>3.27623714497</x:v>
      </x:c>
      <x:c r="C341" s="8" t="n">
        <x:v>3.36099441104</x:v>
      </x:c>
      <x:c r="D341" s="8" t="n">
        <x:v>4.57293363402</x:v>
      </x:c>
      <x:c r="E341" s="8" t="n">
        <x:v>11.3145554859</x:v>
      </x:c>
      <x:c r="F341" s="8" t="n">
        <x:v>115.59</x:v>
      </x:c>
      <x:c r="G341" s="8" t="n">
        <x:v>35.388</x:v>
      </x:c>
      <x:c r="H341" s="8" t="n">
        <x:v>46.9709</x:v>
      </x:c>
      <x:c r="I341" s="8" t="n">
        <x:v>5.7515</x:v>
      </x:c>
      <x:c r="J341" s="8" t="n">
        <x:v>3.4616</x:v>
      </x:c>
      <x:c r="K341" s="8" t="n">
        <x:v>2.1835</x:v>
      </x:c>
      <x:c r="L341" s="8" t="n">
        <x:v>0.5858</x:v>
      </x:c>
      <x:c r="M341" s="8" t="n">
        <x:v>10.7043</x:v>
      </x:c>
      <x:c r="N341" s="8" t="n">
        <x:v>10.5445</x:v>
      </x:c>
    </x:row>
    <x:row r="342" ht="19" customHeight="1">
      <x:c r="A342" s="7" t="n">
        <x:v>43221</x:v>
      </x:c>
      <x:c r="B342" s="8" t="n">
        <x:v>3.3287557626</x:v>
      </x:c>
      <x:c r="C342" s="8" t="n">
        <x:v>3.42409192352</x:v>
      </x:c>
      <x:c r="D342" s="8" t="n">
        <x:v>4.57283568024</x:v>
      </x:c>
      <x:c r="E342" s="8" t="n">
        <x:v>11.3135365605</x:v>
      </x:c>
      <x:c r="F342" s="8" t="n">
        <x:v>117.29</x:v>
      </x:c>
      <x:c r="G342" s="8" t="n">
        <x:v>15.3169</x:v>
      </x:c>
      <x:c r="H342" s="8" t="n">
        <x:v>62.6316</x:v>
      </x:c>
      <x:c r="I342" s="8" t="n">
        <x:v>6.6094</x:v>
      </x:c>
      <x:c r="J342" s="8" t="n">
        <x:v>1.4163</x:v>
      </x:c>
      <x:c r="K342" s="8" t="n">
        <x:v>5.5603</x:v>
      </x:c>
      <x:c r="L342" s="8" t="n">
        <x:v>0.3672</x:v>
      </x:c>
      <x:c r="M342" s="8" t="n">
        <x:v>11.1205</x:v>
      </x:c>
      <x:c r="N342" s="8" t="n">
        <x:v>14.2678</x:v>
      </x:c>
    </x:row>
    <x:row r="343" ht="19" customHeight="1">
      <x:c r="A343" s="7" t="n">
        <x:v>43252</x:v>
      </x:c>
      <x:c r="B343" s="8" t="n">
        <x:v>3.297239647</x:v>
      </x:c>
      <x:c r="C343" s="8" t="n">
        <x:v>3.38923587769</x:v>
      </x:c>
      <x:c r="D343" s="8" t="n">
        <x:v>4.57239616679</x:v>
      </x:c>
      <x:c r="E343" s="8" t="n">
        <x:v>11.3155586363</x:v>
      </x:c>
      <x:c r="F343" s="8" t="n">
        <x:v>107.09</x:v>
      </x:c>
      <x:c r="G343" s="8" t="n">
        <x:v>10.3301</x:v>
      </x:c>
      <x:c r="H343" s="8" t="n">
        <x:v>59.1253</x:v>
      </x:c>
      <x:c r="I343" s="8" t="n">
        <x:v>4.7757</x:v>
      </x:c>
      <x:c r="J343" s="8" t="n">
        <x:v>3.0108</x:v>
      </x:c>
      <x:c r="K343" s="8" t="n">
        <x:v>4.3085</x:v>
      </x:c>
      <x:c r="L343" s="8" t="n">
        <x:v>0.1038</x:v>
      </x:c>
      <x:c r="M343" s="8" t="n">
        <x:v>12.9256</x:v>
      </x:c>
      <x:c r="N343" s="8" t="n">
        <x:v>12.5103</x:v>
      </x:c>
    </x:row>
    <x:row r="344" ht="19" customHeight="1">
      <x:c r="A344" s="7" t="n">
        <x:v>43282</x:v>
      </x:c>
      <x:c r="B344" s="8" t="n">
        <x:v>3.34126316768</x:v>
      </x:c>
      <x:c r="C344" s="8" t="n">
        <x:v>3.38630279815</x:v>
      </x:c>
      <x:c r="D344" s="8" t="n">
        <x:v>4.57450073464</x:v>
      </x:c>
      <x:c r="E344" s="8" t="n">
        <x:v>11.3242312409</x:v>
      </x:c>
      <x:c r="F344" s="8" t="n">
        <x:v>120.03</x:v>
      </x:c>
      <x:c r="G344" s="8" t="n">
        <x:v>8.5158</x:v>
      </x:c>
      <x:c r="H344" s="8" t="n">
        <x:v>69.5818</x:v>
      </x:c>
      <x:c r="I344" s="8" t="n">
        <x:v>8.2463</x:v>
      </x:c>
      <x:c r="J344" s="8" t="n">
        <x:v>4.4735</x:v>
      </x:c>
      <x:c r="K344" s="8" t="n">
        <x:v>2.9105</x:v>
      </x:c>
      <x:c r="L344" s="8" t="n">
        <x:v>0.6468</x:v>
      </x:c>
      <x:c r="M344" s="8" t="n">
        <x:v>12.5042</x:v>
      </x:c>
      <x:c r="N344" s="8" t="n">
        <x:v>13.151</x:v>
      </x:c>
    </x:row>
    <x:row r="345" ht="19" customHeight="1">
      <x:c r="A345" s="7" t="n">
        <x:v>43313</x:v>
      </x:c>
      <x:c r="B345" s="8" t="n">
        <x:v>3.29746896412</x:v>
      </x:c>
      <x:c r="C345" s="8" t="n">
        <x:v>3.36107956443</x:v>
      </x:c>
      <x:c r="D345" s="8" t="n">
        <x:v>4.57880732465</x:v>
      </x:c>
      <x:c r="E345" s="8" t="n">
        <x:v>11.3291903367</x:v>
      </x:c>
      <x:c r="F345" s="8" t="n">
        <x:v>97.8</x:v>
      </x:c>
      <x:c r="G345" s="8" t="n">
        <x:v>15.1023</x:v>
      </x:c>
      <x:c r="H345" s="8" t="n">
        <x:v>37.2785</x:v>
      </x:c>
      <x:c r="I345" s="8" t="n">
        <x:v>7.5792</x:v>
      </x:c>
      <x:c r="J345" s="8" t="n">
        <x:v>3.7054</x:v>
      </x:c>
      <x:c r="K345" s="8" t="n">
        <x:v>1.8527</x:v>
      </x:c>
      <x:c r="L345" s="8" t="n">
        <x:v>0.4491</x:v>
      </x:c>
      <x:c r="M345" s="8" t="n">
        <x:v>13.6426</x:v>
      </x:c>
      <x:c r="N345" s="8" t="n">
        <x:v>18.1901</x:v>
      </x:c>
    </x:row>
    <x:row r="346" ht="19" customHeight="1">
      <x:c r="A346" s="7" t="n">
        <x:v>43344</x:v>
      </x:c>
      <x:c r="B346" s="8" t="n">
        <x:v>3.3267947071</x:v>
      </x:c>
      <x:c r="C346" s="8" t="n">
        <x:v>3.44307361404</x:v>
      </x:c>
      <x:c r="D346" s="8" t="n">
        <x:v>4.57571407156</x:v>
      </x:c>
      <x:c r="E346" s="8" t="n">
        <x:v>11.3309451452</x:v>
      </x:c>
      <x:c r="F346" s="8" t="n">
        <x:v>82.77</x:v>
      </x:c>
      <x:c r="G346" s="8" t="n">
        <x:v>11.3959</x:v>
      </x:c>
      <x:c r="H346" s="8" t="n">
        <x:v>38.4951</x:v>
      </x:c>
      <x:c r="I346" s="8" t="n">
        <x:v>7.2519</x:v>
      </x:c>
      <x:c r="J346" s="8" t="n">
        <x:v>3.7077</x:v>
      </x:c>
      <x:c r="K346" s="8" t="n">
        <x:v>1.3631</x:v>
      </x:c>
      <x:c r="L346" s="8" t="n">
        <x:v>0.7088</x:v>
      </x:c>
      <x:c r="M346" s="8" t="n">
        <x:v>8.9422</x:v>
      </x:c>
      <x:c r="N346" s="8" t="n">
        <x:v>10.9051</x:v>
      </x:c>
    </x:row>
    <x:row r="347" ht="19" customHeight="1">
      <x:c r="A347" s="7" t="n">
        <x:v>43374</x:v>
      </x:c>
      <x:c r="B347" s="8" t="n">
        <x:v>3.33183482587</x:v>
      </x:c>
      <x:c r="C347" s="8" t="n">
        <x:v>3.46750174582</x:v>
      </x:c>
      <x:c r="D347" s="8" t="n">
        <x:v>4.58181078572</x:v>
      </x:c>
      <x:c r="E347" s="8" t="n">
        <x:v>11.341295894</x:v>
      </x:c>
      <x:c r="F347" s="8" t="n">
        <x:v>114.17</x:v>
      </x:c>
      <x:c r="G347" s="8" t="n">
        <x:v>6.5557</x:v>
      </x:c>
      <x:c r="H347" s="8" t="n">
        <x:v>63.5482</x:v>
      </x:c>
      <x:c r="I347" s="8" t="n">
        <x:v>19.9315</x:v>
      </x:c>
      <x:c r="J347" s="8" t="n">
        <x:v>2.0619</x:v>
      </x:c>
      <x:c r="K347" s="8" t="n">
        <x:v>1.401</x:v>
      </x:c>
      <x:c r="L347" s="8" t="n">
        <x:v>0.3701</x:v>
      </x:c>
      <x:c r="M347" s="8" t="n">
        <x:v>4.441</x:v>
      </x:c>
      <x:c r="N347" s="8" t="n">
        <x:v>15.8606</x:v>
      </x:c>
    </x:row>
    <x:row r="348" ht="19" customHeight="1">
      <x:c r="A348" s="7" t="n">
        <x:v>43405</x:v>
      </x:c>
      <x:c r="B348" s="8" t="n">
        <x:v>3.11573599643</x:v>
      </x:c>
      <x:c r="C348" s="8" t="n">
        <x:v>3.2439204299</x:v>
      </x:c>
      <x:c r="D348" s="8" t="n">
        <x:v>4.57778384386</x:v>
      </x:c>
      <x:c r="E348" s="8" t="n">
        <x:v>11.3455339862</x:v>
      </x:c>
      <x:c r="F348" s="8" t="n">
        <x:v>94.73</x:v>
      </x:c>
      <x:c r="G348" s="8" t="n">
        <x:v>14.7455</x:v>
      </x:c>
      <x:c r="H348" s="8" t="n">
        <x:v>44.1275</x:v>
      </x:c>
      <x:c r="I348" s="8" t="n">
        <x:v>9.9028</x:v>
      </x:c>
      <x:c r="J348" s="8" t="n">
        <x:v>1.85</x:v>
      </x:c>
      <x:c r="K348" s="8" t="n">
        <x:v>1.4147</x:v>
      </x:c>
      <x:c r="L348" s="8" t="n">
        <x:v>0.4897</x:v>
      </x:c>
      <x:c r="M348" s="8" t="n">
        <x:v>7.1279</x:v>
      </x:c>
      <x:c r="N348" s="8" t="n">
        <x:v>15.0719</x:v>
      </x:c>
    </x:row>
    <x:row r="349" ht="19" customHeight="1">
      <x:c r="A349" s="7" t="n">
        <x:v>43435</x:v>
      </x:c>
      <x:c r="B349" s="8" t="n">
        <x:v>2.97507869859</x:v>
      </x:c>
      <x:c r="C349" s="8" t="n">
        <x:v>3.1220492665</x:v>
      </x:c>
      <x:c r="D349" s="8" t="n">
        <x:v>4.5790202485</x:v>
      </x:c>
      <x:c r="E349" s="8" t="n">
        <x:v>11.340002998</x:v>
      </x:c>
      <x:c r="F349" s="8" t="n">
        <x:v>105.94</x:v>
      </x:c>
      <x:c r="G349" s="8" t="n">
        <x:v>17.9854</x:v>
      </x:c>
      <x:c r="H349" s="8" t="n">
        <x:v>58.8298</x:v>
      </x:c>
      <x:c r="I349" s="8" t="n">
        <x:v>6.498</x:v>
      </x:c>
      <x:c r="J349" s="8" t="n">
        <x:v>3.7711</x:v>
      </x:c>
      <x:c r="K349" s="8" t="n">
        <x:v>0.9863</x:v>
      </x:c>
      <x:c r="L349" s="8" t="n">
        <x:v>0.116</x:v>
      </x:c>
      <x:c r="M349" s="8" t="n">
        <x:v>1.9726</x:v>
      </x:c>
      <x:c r="N349" s="8" t="n">
        <x:v>15.7808</x:v>
      </x:c>
    </x:row>
    <x:row r="350" ht="19" customHeight="1">
      <x:c r="A350" s="7" t="n">
        <x:v>43466</x:v>
      </x:c>
      <x:c r="B350" s="8" t="n">
        <x:v>3.01276637397</x:v>
      </x:c>
      <x:c r="C350" s="8" t="n">
        <x:v>3.15797994466</x:v>
      </x:c>
      <x:c r="D350" s="8" t="n">
        <x:v>4.57825918467</x:v>
      </x:c>
      <x:c r="E350" s="8" t="n">
        <x:v>11.3191334904</x:v>
      </x:c>
      <x:c r="F350" s="8" t="n">
        <x:v>107</x:v>
      </x:c>
      <x:c r="G350" s="8" t="n">
        <x:v>9.1683</x:v>
      </x:c>
      <x:c r="H350" s="8" t="n">
        <x:v>60.335</x:v>
      </x:c>
      <x:c r="I350" s="8" t="n">
        <x:v>8.1252</x:v>
      </x:c>
      <x:c r="J350" s="8" t="n">
        <x:v>3.9528</x:v>
      </x:c>
      <x:c r="K350" s="8" t="n">
        <x:v>1.8117</x:v>
      </x:c>
      <x:c r="L350" s="8" t="n">
        <x:v>4.3371</x:v>
      </x:c>
      <x:c r="M350" s="8" t="n">
        <x:v>5.8743</x:v>
      </x:c>
      <x:c r="N350" s="8" t="n">
        <x:v>13.3956</x:v>
      </x:c>
    </x:row>
    <x:row r="351" ht="19" customHeight="1">
      <x:c r="A351" s="7" t="n">
        <x:v>43497</x:v>
      </x:c>
      <x:c r="B351" s="8" t="n">
        <x:v>3.07694430277</x:v>
      </x:c>
      <x:c r="C351" s="8" t="n">
        <x:v>3.22877850989</x:v>
      </x:c>
      <x:c r="D351" s="8" t="n">
        <x:v>4.57754136174</x:v>
      </x:c>
      <x:c r="E351" s="8" t="n">
        <x:v>11.3186794332</x:v>
      </x:c>
      <x:c r="F351" s="8" t="n">
        <x:v>98.23</x:v>
      </x:c>
      <x:c r="G351" s="8" t="n">
        <x:v>11.0425</x:v>
      </x:c>
      <x:c r="H351" s="8" t="n">
        <x:v>55.8801</x:v>
      </x:c>
      <x:c r="I351" s="8" t="n">
        <x:v>4.8539</x:v>
      </x:c>
      <x:c r="J351" s="8" t="n">
        <x:v>2.0629</x:v>
      </x:c>
      <x:c r="K351" s="8" t="n">
        <x:v>4.7932</x:v>
      </x:c>
      <x:c r="L351" s="8" t="n">
        <x:v>2.6696</x:v>
      </x:c>
      <x:c r="M351" s="8" t="n">
        <x:v>4.1258</x:v>
      </x:c>
      <x:c r="N351" s="8" t="n">
        <x:v>12.8021</x:v>
      </x:c>
    </x:row>
    <x:row r="352" ht="19" customHeight="1">
      <x:c r="A352" s="7" t="n">
        <x:v>43525</x:v>
      </x:c>
      <x:c r="B352" s="8" t="n">
        <x:v>3.12977184097</x:v>
      </x:c>
      <x:c r="C352" s="8" t="n">
        <x:v>3.25851966956</x:v>
      </x:c>
      <x:c r="D352" s="8" t="n">
        <x:v>4.58358242106</x:v>
      </x:c>
      <x:c r="E352" s="8" t="n">
        <x:v>11.315053303</x:v>
      </x:c>
      <x:c r="F352" s="8" t="n">
        <x:v>99.74</x:v>
      </x:c>
      <x:c r="G352" s="8" t="n">
        <x:v>14.3056</x:v>
      </x:c>
      <x:c r="H352" s="8" t="n">
        <x:v>45.9745</x:v>
      </x:c>
      <x:c r="I352" s="8" t="n">
        <x:v>21.0595</x:v>
      </x:c>
      <x:c r="J352" s="8" t="n">
        <x:v>2.1804</x:v>
      </x:c>
      <x:c r="K352" s="8" t="n">
        <x:v>1.3827</x:v>
      </x:c>
      <x:c r="L352" s="8" t="n">
        <x:v>1.1168</x:v>
      </x:c>
      <x:c r="M352" s="8" t="n">
        <x:v>3.2972</x:v>
      </x:c>
      <x:c r="N352" s="8" t="n">
        <x:v>10.4234</x:v>
      </x:c>
    </x:row>
    <x:row r="353" ht="19" customHeight="1">
      <x:c r="A353" s="7" t="n">
        <x:v>43556</x:v>
      </x:c>
      <x:c r="B353" s="8" t="n">
        <x:v>3.21968651982</x:v>
      </x:c>
      <x:c r="C353" s="8" t="n">
        <x:v>3.32890741052</x:v>
      </x:c>
      <x:c r="D353" s="8" t="n">
        <x:v>4.58225125242</x:v>
      </x:c>
      <x:c r="E353" s="8" t="n">
        <x:v>11.3138110158</x:v>
      </x:c>
      <x:c r="F353" s="8" t="n">
        <x:v>96.67</x:v>
      </x:c>
      <x:c r="G353" s="8" t="n">
        <x:v>8.7934</x:v>
      </x:c>
      <x:c r="H353" s="8" t="n">
        <x:v>43.1624</x:v>
      </x:c>
      <x:c r="I353" s="8" t="n">
        <x:v>18.8512</x:v>
      </x:c>
      <x:c r="J353" s="8" t="n">
        <x:v>3.161</x:v>
      </x:c>
      <x:c r="K353" s="8" t="n">
        <x:v>0.2299</x:v>
      </x:c>
      <x:c r="L353" s="8" t="n">
        <x:v>2.8737</x:v>
      </x:c>
      <x:c r="M353" s="8" t="n">
        <x:v>5.9197</x:v>
      </x:c>
      <x:c r="N353" s="8" t="n">
        <x:v>13.6786</x:v>
      </x:c>
    </x:row>
    <x:row r="354" ht="19" customHeight="1">
      <x:c r="A354" s="7" t="n">
        <x:v>43586</x:v>
      </x:c>
      <x:c r="B354" s="8" t="n">
        <x:v>3.17082961804</x:v>
      </x:c>
      <x:c r="C354" s="8" t="n">
        <x:v>3.3299233227</x:v>
      </x:c>
      <x:c r="D354" s="8" t="n">
        <x:v>4.58341917943</x:v>
      </x:c>
      <x:c r="E354" s="8" t="n">
        <x:v>11.3086187707</x:v>
      </x:c>
      <x:c r="F354" s="8" t="n">
        <x:v>108.75</x:v>
      </x:c>
      <x:c r="G354" s="8" t="n">
        <x:v>12.897</x:v>
      </x:c>
      <x:c r="H354" s="8" t="n">
        <x:v>46.2324</x:v>
      </x:c>
      <x:c r="I354" s="8" t="n">
        <x:v>9.8913</x:v>
      </x:c>
      <x:c r="J354" s="8" t="n">
        <x:v>4.3172</x:v>
      </x:c>
      <x:c r="K354" s="8" t="n">
        <x:v>1.5575</x:v>
      </x:c>
      <x:c r="L354" s="8" t="n">
        <x:v>4.0986</x:v>
      </x:c>
      <x:c r="M354" s="8" t="n">
        <x:v>15.9846</x:v>
      </x:c>
      <x:c r="N354" s="8" t="n">
        <x:v>13.7714</x:v>
      </x:c>
    </x:row>
    <x:row r="355" ht="19" customHeight="1">
      <x:c r="A355" s="7" t="n">
        <x:v>43617</x:v>
      </x:c>
      <x:c r="B355" s="8" t="n">
        <x:v>3.06420387588</x:v>
      </x:c>
      <x:c r="C355" s="8" t="n">
        <x:v>3.22538638404</x:v>
      </x:c>
      <x:c r="D355" s="8" t="n">
        <x:v>4.57699151604</x:v>
      </x:c>
      <x:c r="E355" s="8" t="n">
        <x:v>11.3083665473</x:v>
      </x:c>
      <x:c r="F355" s="8" t="n">
        <x:v>113.23</x:v>
      </x:c>
      <x:c r="G355" s="8" t="n">
        <x:v>17.4724</x:v>
      </x:c>
      <x:c r="H355" s="8" t="n">
        <x:v>56.0477</x:v>
      </x:c>
      <x:c r="I355" s="8" t="n">
        <x:v>6.0699</x:v>
      </x:c>
      <x:c r="J355" s="8" t="n">
        <x:v>4.0277</x:v>
      </x:c>
      <x:c r="K355" s="8" t="n">
        <x:v>3.1201</x:v>
      </x:c>
      <x:c r="L355" s="8" t="n">
        <x:v>1.7586</x:v>
      </x:c>
      <x:c r="M355" s="8" t="n">
        <x:v>12.3101</x:v>
      </x:c>
      <x:c r="N355" s="8" t="n">
        <x:v>12.4235</x:v>
      </x:c>
    </x:row>
    <x:row r="356" ht="19" customHeight="1">
      <x:c r="A356" s="7" t="n">
        <x:v>43647</x:v>
      </x:c>
      <x:c r="B356" s="8" t="n">
        <x:v>3.10993932184</x:v>
      </x:c>
      <x:c r="C356" s="8" t="n">
        <x:v>3.21839877972</x:v>
      </x:c>
      <x:c r="D356" s="8" t="n">
        <x:v>4.57811260338</x:v>
      </x:c>
      <x:c r="E356" s="8" t="n">
        <x:v>11.3033974367</x:v>
      </x:c>
      <x:c r="F356" s="8" t="n">
        <x:v>101.63</x:v>
      </x:c>
      <x:c r="G356" s="8" t="n">
        <x:v>10.3999</x:v>
      </x:c>
      <x:c r="H356" s="8" t="n">
        <x:v>47.2617</x:v>
      </x:c>
      <x:c r="I356" s="8" t="n">
        <x:v>8.7243</x:v>
      </x:c>
      <x:c r="J356" s="8" t="n">
        <x:v>9.4755</x:v>
      </x:c>
      <x:c r="K356" s="8" t="n">
        <x:v>4.9111</x:v>
      </x:c>
      <x:c r="L356" s="8" t="n">
        <x:v>0.6933</x:v>
      </x:c>
      <x:c r="M356" s="8" t="n">
        <x:v>7.6266</x:v>
      </x:c>
      <x:c r="N356" s="8" t="n">
        <x:v>12.5376</x:v>
      </x:c>
    </x:row>
    <x:row r="357" ht="19" customHeight="1">
      <x:c r="A357" s="7" t="n">
        <x:v>43678</x:v>
      </x:c>
      <x:c r="B357" s="8" t="n">
        <x:v>3.06372478545</x:v>
      </x:c>
      <x:c r="C357" s="8" t="n">
        <x:v>3.13806730669</x:v>
      </x:c>
      <x:c r="D357" s="8" t="n">
        <x:v>4.57817284846</x:v>
      </x:c>
      <x:c r="E357" s="8" t="n">
        <x:v>11.3165999065</x:v>
      </x:c>
      <x:c r="F357" s="8" t="n">
        <x:v>139.81</x:v>
      </x:c>
      <x:c r="G357" s="8" t="n">
        <x:v>12.4124</x:v>
      </x:c>
      <x:c r="H357" s="8" t="n">
        <x:v>67.1578</x:v>
      </x:c>
      <x:c r="I357" s="8" t="n">
        <x:v>18.9602</x:v>
      </x:c>
      <x:c r="J357" s="8" t="n">
        <x:v>10.9889</x:v>
      </x:c>
      <x:c r="K357" s="8" t="n">
        <x:v>3.7579</x:v>
      </x:c>
      <x:c r="L357" s="8" t="n">
        <x:v>1.3096</x:v>
      </x:c>
      <x:c r="M357" s="8" t="n">
        <x:v>11.843</x:v>
      </x:c>
      <x:c r="N357" s="8" t="n">
        <x:v>13.3803</x:v>
      </x:c>
    </x:row>
    <x:row r="358" ht="19" customHeight="1">
      <x:c r="A358" s="7" t="n">
        <x:v>43709</x:v>
      </x:c>
      <x:c r="B358" s="8" t="n">
        <x:v>3.100488153</x:v>
      </x:c>
      <x:c r="C358" s="8" t="n">
        <x:v>3.19874712952</x:v>
      </x:c>
      <x:c r="D358" s="8" t="n">
        <x:v>4.57741248075</x:v>
      </x:c>
      <x:c r="E358" s="8" t="n">
        <x:v>11.2963671074</x:v>
      </x:c>
      <x:c r="F358" s="8" t="n">
        <x:v>105.07</x:v>
      </x:c>
      <x:c r="G358" s="8" t="n">
        <x:v>15.9889</x:v>
      </x:c>
      <x:c r="H358" s="8" t="n">
        <x:v>52.535</x:v>
      </x:c>
      <x:c r="I358" s="8" t="n">
        <x:v>8.4295</x:v>
      </x:c>
      <x:c r="J358" s="8" t="n">
        <x:v>7.4506</x:v>
      </x:c>
      <x:c r="K358" s="8" t="n">
        <x:v>1.9034</x:v>
      </x:c>
      <x:c r="L358" s="8" t="n">
        <x:v>0.1632</x:v>
      </x:c>
      <x:c r="M358" s="8" t="n">
        <x:v>5.384</x:v>
      </x:c>
      <x:c r="N358" s="8" t="n">
        <x:v>13.2153</x:v>
      </x:c>
    </x:row>
    <x:row r="359" ht="19" customHeight="1">
      <x:c r="A359" s="7" t="n">
        <x:v>43739</x:v>
      </x:c>
      <x:c r="B359" s="8" t="n">
        <x:v>3.04373420139</x:v>
      </x:c>
      <x:c r="C359" s="8" t="n">
        <x:v>3.14499068061</x:v>
      </x:c>
      <x:c r="D359" s="8" t="n">
        <x:v>4.57773184715</x:v>
      </x:c>
      <x:c r="E359" s="8" t="n">
        <x:v>11.3194498592</x:v>
      </x:c>
      <x:c r="F359" s="8" t="n">
        <x:v>124.81</x:v>
      </x:c>
      <x:c r="G359" s="8" t="n">
        <x:v>38.6228</x:v>
      </x:c>
      <x:c r="H359" s="8" t="n">
        <x:v>48.6754</x:v>
      </x:c>
      <x:c r="I359" s="8" t="n">
        <x:v>6.4548</x:v>
      </x:c>
      <x:c r="J359" s="8" t="n">
        <x:v>10.8991</x:v>
      </x:c>
      <x:c r="K359" s="8" t="n">
        <x:v>1.4814</x:v>
      </x:c>
      <x:c r="L359" s="8" t="n">
        <x:v>0.8465</x:v>
      </x:c>
      <x:c r="M359" s="8" t="n">
        <x:v>4.8675</x:v>
      </x:c>
      <x:c r="N359" s="8" t="n">
        <x:v>12.9625</x:v>
      </x:c>
    </x:row>
    <x:row r="360" ht="19" customHeight="1">
      <x:c r="A360" s="7" t="n">
        <x:v>43770</x:v>
      </x:c>
      <x:c r="B360" s="8" t="n">
        <x:v>3.09625714849</x:v>
      </x:c>
      <x:c r="C360" s="8" t="n">
        <x:v>3.19914221981</x:v>
      </x:c>
      <x:c r="D360" s="8" t="n">
        <x:v>4.58022085376</x:v>
      </x:c>
      <x:c r="E360" s="8" t="n">
        <x:v>11.3294679523</x:v>
      </x:c>
      <x:c r="F360" s="8" t="n">
        <x:v>98.24</x:v>
      </x:c>
      <x:c r="G360" s="8" t="n">
        <x:v>10.1723</x:v>
      </x:c>
      <x:c r="H360" s="8" t="n">
        <x:v>46.6046</x:v>
      </x:c>
      <x:c r="I360" s="8" t="n">
        <x:v>7.1317</x:v>
      </x:c>
      <x:c r="J360" s="8" t="n">
        <x:v>13.6552</x:v>
      </x:c>
      <x:c r="K360" s="8" t="n">
        <x:v>2.3772</x:v>
      </x:c>
      <x:c r="L360" s="8" t="n">
        <x:v>3.2618</x:v>
      </x:c>
      <x:c r="M360" s="8" t="n">
        <x:v>3.5382</x:v>
      </x:c>
      <x:c r="N360" s="8" t="n">
        <x:v>11.4991</x:v>
      </x:c>
    </x:row>
    <x:row r="361" ht="19" customHeight="1">
      <x:c r="A361" s="7" t="n">
        <x:v>43800</x:v>
      </x:c>
      <x:c r="B361" s="8" t="n">
        <x:v>3.14211427665</x:v>
      </x:c>
      <x:c r="C361" s="8" t="n">
        <x:v>3.25908053112</x:v>
      </x:c>
      <x:c r="D361" s="8" t="n">
        <x:v>4.58205118685</x:v>
      </x:c>
      <x:c r="E361" s="8" t="n">
        <x:v>11.3314220559</x:v>
      </x:c>
      <x:c r="F361" s="8" t="n">
        <x:v>96.49</x:v>
      </x:c>
      <x:c r="G361" s="8" t="n">
        <x:v>11.2049</x:v>
      </x:c>
      <x:c r="H361" s="8" t="n">
        <x:v>38.8398</x:v>
      </x:c>
      <x:c r="I361" s="8" t="n">
        <x:v>16.6042</x:v>
      </x:c>
      <x:c r="J361" s="8" t="n">
        <x:v>7.0829</x:v>
      </x:c>
      <x:c r="K361" s="8" t="n">
        <x:v>2.1481</x:v>
      </x:c>
      <x:c r="L361" s="8" t="n">
        <x:v>0.6386</x:v>
      </x:c>
      <x:c r="M361" s="8" t="n">
        <x:v>6.2701</x:v>
      </x:c>
      <x:c r="N361" s="8" t="n">
        <x:v>13.7013</x:v>
      </x:c>
    </x:row>
    <x:row r="362" ht="19" customHeight="1">
      <x:c r="A362" s="7" t="n">
        <x:v>43831</x:v>
      </x:c>
      <x:c r="B362" s="8" t="n">
        <x:v>3.09998461039</x:v>
      </x:c>
      <x:c r="C362" s="8" t="n">
        <x:v>3.20125122198</x:v>
      </x:c>
      <x:c r="D362" s="8" t="n">
        <x:v>4.53203725683</x:v>
      </x:c>
      <x:c r="E362" s="8" t="n">
        <x:v>11.323780084</x:v>
      </x:c>
      <x:c r="F362" s="8" t="n">
        <x:v>146.39</x:v>
      </x:c>
      <x:c r="G362" s="8" t="n">
        <x:v>67.7455</x:v>
      </x:c>
      <x:c r="H362" s="8" t="n">
        <x:v>41.2439</x:v>
      </x:c>
      <x:c r="I362" s="8" t="n">
        <x:v>5.5642</x:v>
      </x:c>
      <x:c r="J362" s="8" t="n">
        <x:v>5.5068</x:v>
      </x:c>
      <x:c r="K362" s="8" t="n">
        <x:v>2.1798</x:v>
      </x:c>
      <x:c r="L362" s="8" t="n">
        <x:v>1.0325</x:v>
      </x:c>
      <x:c r="M362" s="8" t="n">
        <x:v>4.4169</x:v>
      </x:c>
      <x:c r="N362" s="8" t="n">
        <x:v>18.7003</x:v>
      </x:c>
    </x:row>
    <x:row r="363" ht="19" customHeight="1">
      <x:c r="A363" s="7" t="n">
        <x:v>43862</x:v>
      </x:c>
      <x:c r="B363" s="8" t="n">
        <x:v>2.97014244084</x:v>
      </x:c>
      <x:c r="C363" s="8" t="n">
        <x:v>3.06663909498</x:v>
      </x:c>
      <x:c r="D363" s="8" t="n">
        <x:v>4.53473595106</x:v>
      </x:c>
      <x:c r="E363" s="8" t="n">
        <x:v>11.3143535258</x:v>
      </x:c>
      <x:c r="F363" s="8" t="n">
        <x:v>87.73</x:v>
      </x:c>
      <x:c r="G363" s="8" t="n">
        <x:v>16.5779</x:v>
      </x:c>
      <x:c r="H363" s="8" t="n">
        <x:v>33.3374</x:v>
      </x:c>
      <x:c r="I363" s="8" t="n">
        <x:v>6.2924</x:v>
      </x:c>
      <x:c r="J363" s="8" t="n">
        <x:v>3.7512</x:v>
      </x:c>
      <x:c r="K363" s="8" t="n">
        <x:v>1.1496</x:v>
      </x:c>
      <x:c r="L363" s="8" t="n">
        <x:v>0.5445</x:v>
      </x:c>
      <x:c r="M363" s="8" t="n">
        <x:v>3.5697</x:v>
      </x:c>
      <x:c r="N363" s="8" t="n">
        <x:v>22.5073</x:v>
      </x:c>
    </x:row>
    <x:row r="364" ht="19" customHeight="1">
      <x:c r="A364" s="7" t="n">
        <x:v>43891</x:v>
      </x:c>
      <x:c r="B364" s="8" t="n">
        <x:v>2.4264271872</x:v>
      </x:c>
      <x:c r="C364" s="8" t="n">
        <x:v>2.51796442478</x:v>
      </x:c>
      <x:c r="D364" s="8" t="n">
        <x:v>4.5328693064</x:v>
      </x:c>
      <x:c r="E364" s="8" t="n">
        <x:v>11.3156326174</x:v>
      </x:c>
      <x:c r="F364" s="8" t="n">
        <x:v>61.93</x:v>
      </x:c>
      <x:c r="G364" s="8" t="n">
        <x:v>11.22</x:v>
      </x:c>
      <x:c r="H364" s="8" t="n">
        <x:v>23.925</x:v>
      </x:c>
      <x:c r="I364" s="8" t="n">
        <x:v>3.96</x:v>
      </x:c>
      <x:c r="J364" s="8" t="n">
        <x:v>2.145</x:v>
      </x:c>
      <x:c r="K364" s="8" t="n">
        <x:v>0.715</x:v>
      </x:c>
      <x:c r="L364" s="8" t="n">
        <x:v>0.77</x:v>
      </x:c>
      <x:c r="M364" s="8" t="n">
        <x:v>1.925</x:v>
      </x:c>
      <x:c r="N364" s="8" t="n">
        <x:v>17.27</x:v>
      </x:c>
    </x:row>
    <x:row r="365" ht="19" customHeight="1">
      <x:c r="A365" s="7" t="n">
        <x:v>43922</x:v>
      </x:c>
      <x:c r="B365" s="8" t="n">
        <x:v>1.86625385114</x:v>
      </x:c>
      <x:c r="C365" s="8" t="n">
        <x:v>1.97113086625</x:v>
      </x:c>
      <x:c r="D365" s="8" t="n">
        <x:v>4.44359380043</x:v>
      </x:c>
      <x:c r="E365" s="8" t="n">
        <x:v>11.3189990963</x:v>
      </x:c>
      <x:c r="F365" s="8" t="n">
        <x:v>42.36</x:v>
      </x:c>
      <x:c r="G365" s="8" t="n">
        <x:v>4.6384</x:v>
      </x:c>
      <x:c r="H365" s="8" t="n">
        <x:v>19.1123</x:v>
      </x:c>
      <x:c r="I365" s="8" t="n">
        <x:v>2.2912</x:v>
      </x:c>
      <x:c r="J365" s="8" t="n">
        <x:v>1.7324</x:v>
      </x:c>
      <x:c r="K365" s="8" t="n">
        <x:v>0</x:v>
      </x:c>
      <x:c r="L365" s="8" t="n">
        <x:v>0.2235</x:v>
      </x:c>
      <x:c r="M365" s="8" t="n">
        <x:v>1.9001</x:v>
      </x:c>
      <x:c r="N365" s="8" t="n">
        <x:v>12.4621</x:v>
      </x:c>
    </x:row>
    <x:row r="366" ht="19" customHeight="1">
      <x:c r="A366" s="7" t="n">
        <x:v>43952</x:v>
      </x:c>
      <x:c r="B366" s="8" t="n">
        <x:v>2.41277361574</x:v>
      </x:c>
      <x:c r="C366" s="8" t="n">
        <x:v>2.44108064901</x:v>
      </x:c>
      <x:c r="D366" s="8" t="n">
        <x:v>4.45266813518</x:v>
      </x:c>
      <x:c r="E366" s="8" t="n">
        <x:v>11.1743516125</x:v>
      </x:c>
      <x:c r="F366" s="8" t="n">
        <x:v>63.57</x:v>
      </x:c>
      <x:c r="G366" s="8" t="n">
        <x:v>8.5754</x:v>
      </x:c>
      <x:c r="H366" s="8" t="n">
        <x:v>33.5294</x:v>
      </x:c>
      <x:c r="I366" s="8" t="n">
        <x:v>3.7284</x:v>
      </x:c>
      <x:c r="J366" s="8" t="n">
        <x:v>2.6099</x:v>
      </x:c>
      <x:c r="K366" s="8" t="n">
        <x:v>1.012</x:v>
      </x:c>
      <x:c r="L366" s="8" t="n">
        <x:v>1.3316</x:v>
      </x:c>
      <x:c r="M366" s="8" t="n">
        <x:v>3.7817</x:v>
      </x:c>
      <x:c r="N366" s="8" t="n">
        <x:v>9.0015</x:v>
      </x:c>
    </x:row>
    <x:row r="367" ht="19" customHeight="1">
      <x:c r="A367" s="7" t="n">
        <x:v>43983</x:v>
      </x:c>
      <x:c r="B367" s="8" t="n">
        <x:v>2.70164164903</x:v>
      </x:c>
      <x:c r="C367" s="8" t="n">
        <x:v>2.75153746518</x:v>
      </x:c>
      <x:c r="D367" s="8" t="n">
        <x:v>4.49748838785</x:v>
      </x:c>
      <x:c r="E367" s="8" t="n">
        <x:v>11.1563345779</x:v>
      </x:c>
      <x:c r="F367" s="8" t="n">
        <x:v>63.83</x:v>
      </x:c>
      <x:c r="G367" s="8" t="n">
        <x:v>6.2475</x:v>
      </x:c>
      <x:c r="H367" s="8" t="n">
        <x:v>33.1452</x:v>
      </x:c>
      <x:c r="I367" s="8" t="n">
        <x:v>4.2572</x:v>
      </x:c>
      <x:c r="J367" s="8" t="n">
        <x:v>4.2019</x:v>
      </x:c>
      <x:c r="K367" s="8" t="n">
        <x:v>0.9399</x:v>
      </x:c>
      <x:c r="L367" s="8" t="n">
        <x:v>0.6635</x:v>
      </x:c>
      <x:c r="M367" s="8" t="n">
        <x:v>3.2067</x:v>
      </x:c>
      <x:c r="N367" s="8" t="n">
        <x:v>11.1682</x:v>
      </x:c>
    </x:row>
    <x:row r="368" ht="19" customHeight="1">
      <x:c r="A368" s="7" t="n">
        <x:v>44013</x:v>
      </x:c>
      <x:c r="B368" s="8" t="n">
        <x:v>2.75732095236</x:v>
      </x:c>
      <x:c r="C368" s="8" t="n">
        <x:v>2.81761318262</x:v>
      </x:c>
      <x:c r="D368" s="8" t="n">
        <x:v>4.52969665045</x:v>
      </x:c>
      <x:c r="E368" s="8" t="n">
        <x:v>11.1769996427</x:v>
      </x:c>
      <x:c r="F368" s="8" t="n">
        <x:v>73.02</x:v>
      </x:c>
      <x:c r="G368" s="8" t="n">
        <x:v>5.4188</x:v>
      </x:c>
      <x:c r="H368" s="8" t="n">
        <x:v>40.3998</x:v>
      </x:c>
      <x:c r="I368" s="8" t="n">
        <x:v>5.4188</x:v>
      </x:c>
      <x:c r="J368" s="8" t="n">
        <x:v>3.9166</x:v>
      </x:c>
      <x:c r="K368" s="8" t="n">
        <x:v>1.0194</x:v>
      </x:c>
      <x:c r="L368" s="8" t="n">
        <x:v>0.4829</x:v>
      </x:c>
      <x:c r="M368" s="8" t="n">
        <x:v>6.3846</x:v>
      </x:c>
      <x:c r="N368" s="8" t="n">
        <x:v>9.9792</x:v>
      </x:c>
    </x:row>
    <x:row r="369" ht="19" customHeight="1">
      <x:c r="A369" s="7" t="n">
        <x:v>44044</x:v>
      </x:c>
      <x:c r="B369" s="8" t="n">
        <x:v>2.79285505646</x:v>
      </x:c>
      <x:c r="C369" s="8" t="n">
        <x:v>2.84799074682</x:v>
      </x:c>
      <x:c r="D369" s="8" t="n">
        <x:v>4.54272515709</x:v>
      </x:c>
      <x:c r="E369" s="8" t="n">
        <x:v>11.1918792747</x:v>
      </x:c>
      <x:c r="F369" s="8" t="n">
        <x:v>79.64</x:v>
      </x:c>
      <x:c r="G369" s="8" t="n">
        <x:v>3.8176</x:v>
      </x:c>
      <x:c r="H369" s="8" t="n">
        <x:v>35.154</x:v>
      </x:c>
      <x:c r="I369" s="8" t="n">
        <x:v>3.7646</x:v>
      </x:c>
      <x:c r="J369" s="8" t="n">
        <x:v>8.6957</x:v>
      </x:c>
      <x:c r="K369" s="8" t="n">
        <x:v>1.4316</x:v>
      </x:c>
      <x:c r="L369" s="8" t="n">
        <x:v>1.6967</x:v>
      </x:c>
      <x:c r="M369" s="8" t="n">
        <x:v>8.0594</x:v>
      </x:c>
      <x:c r="N369" s="8" t="n">
        <x:v>17.0203</x:v>
      </x:c>
    </x:row>
    <x:row r="370" ht="19" customHeight="1">
      <x:c r="A370" s="7" t="n">
        <x:v>44075</x:v>
      </x:c>
      <x:c r="B370" s="8" t="n">
        <x:v>2.7240865007</x:v>
      </x:c>
      <x:c r="C370" s="8" t="n">
        <x:v>2.75587462544</x:v>
      </x:c>
      <x:c r="D370" s="8" t="n">
        <x:v>4.55945967925</x:v>
      </x:c>
      <x:c r="E370" s="8" t="n">
        <x:v>11.1897855376</x:v>
      </x:c>
      <x:c r="F370" s="8" t="n">
        <x:v>78.64</x:v>
      </x:c>
      <x:c r="G370" s="8" t="n">
        <x:v>7.9843</x:v>
      </x:c>
      <x:c r="H370" s="8" t="n">
        <x:v>39.1559</x:v>
      </x:c>
      <x:c r="I370" s="8" t="n">
        <x:v>6.2343</x:v>
      </x:c>
      <x:c r="J370" s="8" t="n">
        <x:v>7.8203</x:v>
      </x:c>
      <x:c r="K370" s="8" t="n">
        <x:v>0.2187</x:v>
      </x:c>
      <x:c r="L370" s="8" t="n">
        <x:v>0.1094</x:v>
      </x:c>
      <x:c r="M370" s="8" t="n">
        <x:v>4.2109</x:v>
      </x:c>
      <x:c r="N370" s="8" t="n">
        <x:v>12.9061</x:v>
      </x:c>
    </x:row>
    <x:row r="371" ht="19" customHeight="1">
      <x:c r="A371" s="7" t="n">
        <x:v>44105</x:v>
      </x:c>
      <x:c r="B371" s="8" t="n">
        <x:v>2.71702820025</x:v>
      </x:c>
      <x:c r="C371" s="8" t="n">
        <x:v>2.73688059241</x:v>
      </x:c>
      <x:c r="D371" s="8" t="n">
        <x:v>4.57007585953</x:v>
      </x:c>
      <x:c r="E371" s="8" t="n">
        <x:v>11.1976601888</x:v>
      </x:c>
      <x:c r="F371" s="8" t="n">
        <x:v>68.29</x:v>
      </x:c>
      <x:c r="G371" s="8" t="n">
        <x:v>10.0336</x:v>
      </x:c>
      <x:c r="H371" s="8" t="n">
        <x:v>24.6233</x:v>
      </x:c>
      <x:c r="I371" s="8" t="n">
        <x:v>8.3955</x:v>
      </x:c>
      <x:c r="J371" s="8" t="n">
        <x:v>4.6073</x:v>
      </x:c>
      <x:c r="K371" s="8" t="n">
        <x:v>2.0477</x:v>
      </x:c>
      <x:c r="L371" s="8" t="n">
        <x:v>1.2798</x:v>
      </x:c>
      <x:c r="M371" s="8" t="n">
        <x:v>3.3787</x:v>
      </x:c>
      <x:c r="N371" s="8" t="n">
        <x:v>13.9242</x:v>
      </x:c>
    </x:row>
    <x:row r="372" ht="19" customHeight="1">
      <x:c r="A372" s="7" t="n">
        <x:v>44136</x:v>
      </x:c>
      <x:c r="B372" s="8" t="n">
        <x:v>2.75309841322</x:v>
      </x:c>
      <x:c r="C372" s="8" t="n">
        <x:v>2.79495553376</x:v>
      </x:c>
      <x:c r="D372" s="8" t="n">
        <x:v>4.58113874691</x:v>
      </x:c>
      <x:c r="E372" s="8" t="n">
        <x:v>11.221948055</x:v>
      </x:c>
      <x:c r="F372" s="8" t="n">
        <x:v>65.07</x:v>
      </x:c>
      <x:c r="G372" s="8" t="n">
        <x:v>9.917</x:v>
      </x:c>
      <x:c r="H372" s="8" t="n">
        <x:v>23.9615</x:v>
      </x:c>
      <x:c r="I372" s="8" t="n">
        <x:v>9.1968</x:v>
      </x:c>
      <x:c r="J372" s="8" t="n">
        <x:v>6.9253</x:v>
      </x:c>
      <x:c r="K372" s="8" t="n">
        <x:v>1.3297</x:v>
      </x:c>
      <x:c r="L372" s="8" t="n">
        <x:v>1.1634</x:v>
      </x:c>
      <x:c r="M372" s="8" t="n">
        <x:v>2.4377</x:v>
      </x:c>
      <x:c r="N372" s="8" t="n">
        <x:v>10.1386</x:v>
      </x:c>
    </x:row>
    <x:row r="373" ht="19" customHeight="1">
      <x:c r="A373" s="7" t="n">
        <x:v>44166</x:v>
      </x:c>
      <x:c r="B373" s="8" t="n">
        <x:v>2.88722698436</x:v>
      </x:c>
      <x:c r="C373" s="8" t="n">
        <x:v>2.94847692668</x:v>
      </x:c>
      <x:c r="D373" s="8" t="n">
        <x:v>4.58920489078</x:v>
      </x:c>
      <x:c r="E373" s="8" t="n">
        <x:v>11.2317977824</x:v>
      </x:c>
      <x:c r="F373" s="8" t="n">
        <x:v>72.59</x:v>
      </x:c>
      <x:c r="G373" s="8" t="n">
        <x:v>6.9026</x:v>
      </x:c>
      <x:c r="H373" s="8" t="n">
        <x:v>31.0615</x:v>
      </x:c>
      <x:c r="I373" s="8" t="n">
        <x:v>11.2025</x:v>
      </x:c>
      <x:c r="J373" s="8" t="n">
        <x:v>2.6026</x:v>
      </x:c>
      <x:c r="K373" s="8" t="n">
        <x:v>1.7539</x:v>
      </x:c>
      <x:c r="L373" s="8" t="n">
        <x:v>0.1132</x:v>
      </x:c>
      <x:c r="M373" s="8" t="n">
        <x:v>4.5828</x:v>
      </x:c>
      <x:c r="N373" s="8" t="n">
        <x:v>14.3709</x:v>
      </x:c>
    </x:row>
    <x:row r="374" ht="19" customHeight="1">
      <x:c r="A374" s="7" t="n">
        <x:v>44197</x:v>
      </x:c>
      <x:c r="B374" s="8" t="n">
        <x:v>2.98545069521</x:v>
      </x:c>
      <x:c r="C374" s="8" t="n">
        <x:v>3.03734957542</x:v>
      </x:c>
      <x:c r="D374" s="8" t="n">
        <x:v>4.59569460988</x:v>
      </x:c>
      <x:c r="E374" s="8" t="n">
        <x:v>11.2367499561</x:v>
      </x:c>
      <x:c r="F374" s="8" t="n">
        <x:v>80.75</x:v>
      </x:c>
      <x:c r="G374" s="8" t="n">
        <x:v>4.6587</x:v>
      </x:c>
      <x:c r="H374" s="8" t="n">
        <x:v>32.7659</x:v>
      </x:c>
      <x:c r="I374" s="8" t="n">
        <x:v>10.4561</x:v>
      </x:c>
      <x:c r="J374" s="8" t="n">
        <x:v>4.1928</x:v>
      </x:c>
      <x:c r="K374" s="8" t="n">
        <x:v>3.0022</x:v>
      </x:c>
      <x:c r="L374" s="8" t="n">
        <x:v>0.88</x:v>
      </x:c>
      <x:c r="M374" s="8" t="n">
        <x:v>3.8822</x:v>
      </x:c>
      <x:c r="N374" s="8" t="n">
        <x:v>20.9122</x:v>
      </x:c>
    </x:row>
    <x:row r="375" ht="19" customHeight="1">
      <x:c r="A375" s="7" t="n">
        <x:v>44228</x:v>
      </x:c>
      <x:c r="B375" s="8" t="n">
        <x:v>3.10903223299</x:v>
      </x:c>
      <x:c r="C375" s="8" t="n">
        <x:v>3.16245739966</x:v>
      </x:c>
      <x:c r="D375" s="8" t="n">
        <x:v>4.58969215957</x:v>
      </x:c>
      <x:c r="E375" s="8" t="n">
        <x:v>11.2110417703</x:v>
      </x:c>
      <x:c r="F375" s="8" t="n">
        <x:v>74.85</x:v>
      </x:c>
      <x:c r="G375" s="8" t="n">
        <x:v>6.0163</x:v>
      </x:c>
      <x:c r="H375" s="8" t="n">
        <x:v>33.2667</x:v>
      </x:c>
      <x:c r="I375" s="8" t="n">
        <x:v>7.7268</x:v>
      </x:c>
      <x:c r="J375" s="8" t="n">
        <x:v>2.7132</x:v>
      </x:c>
      <x:c r="K375" s="8" t="n">
        <x:v>1.1207</x:v>
      </x:c>
      <x:c r="L375" s="8" t="n">
        <x:v>10.3811</x:v>
      </x:c>
      <x:c r="M375" s="8" t="n">
        <x:v>1.9465</x:v>
      </x:c>
      <x:c r="N375" s="8" t="n">
        <x:v>11.6787</x:v>
      </x:c>
    </x:row>
    <x:row r="376" ht="19" customHeight="1">
      <x:c r="A376" s="7" t="n">
        <x:v>44256</x:v>
      </x:c>
      <x:c r="B376" s="8" t="n">
        <x:v>3.15803039146</x:v>
      </x:c>
      <x:c r="C376" s="8" t="n">
        <x:v>3.20626269262</x:v>
      </x:c>
      <x:c r="D376" s="8" t="n">
        <x:v>4.59774787519</x:v>
      </x:c>
      <x:c r="E376" s="8" t="n">
        <x:v>11.236339679</x:v>
      </x:c>
      <x:c r="F376" s="8" t="n">
        <x:v>79.37</x:v>
      </x:c>
      <x:c r="G376" s="8" t="n">
        <x:v>9.3282</x:v>
      </x:c>
      <x:c r="H376" s="8" t="n">
        <x:v>33.1552</x:v>
      </x:c>
      <x:c r="I376" s="8" t="n">
        <x:v>7.0895</x:v>
      </x:c>
      <x:c r="J376" s="8" t="n">
        <x:v>4.0511</x:v>
      </x:c>
      <x:c r="K376" s="8" t="n">
        <x:v>0.6397</x:v>
      </x:c>
      <x:c r="L376" s="8" t="n">
        <x:v>7.3027</x:v>
      </x:c>
      <x:c r="M376" s="8" t="n">
        <x:v>4.6908</x:v>
      </x:c>
      <x:c r="N376" s="8" t="n">
        <x:v>13.1128</x:v>
      </x:c>
    </x:row>
    <x:row r="377" ht="19" customHeight="1">
      <x:c r="A377" s="7" t="n">
        <x:v>44287</x:v>
      </x:c>
      <x:c r="B377" s="8" t="n">
        <x:v>3.14197629399</x:v>
      </x:c>
      <x:c r="C377" s="8" t="n">
        <x:v>3.19082817893</x:v>
      </x:c>
      <x:c r="D377" s="8" t="n">
        <x:v>4.60766813504</x:v>
      </x:c>
      <x:c r="E377" s="8" t="n">
        <x:v>11.2295431419</x:v>
      </x:c>
      <x:c r="F377" s="8" t="n">
        <x:v>78.84</x:v>
      </x:c>
      <x:c r="G377" s="8" t="n">
        <x:v>15.7457</x:v>
      </x:c>
      <x:c r="H377" s="8" t="n">
        <x:v>28.2529</x:v>
      </x:c>
      <x:c r="I377" s="8" t="n">
        <x:v>5.5836</x:v>
      </x:c>
      <x:c r="J377" s="8" t="n">
        <x:v>4.746</x:v>
      </x:c>
      <x:c r="K377" s="8" t="n">
        <x:v>2.6243</x:v>
      </x:c>
      <x:c r="L377" s="8" t="n">
        <x:v>5.081</x:v>
      </x:c>
      <x:c r="M377" s="8" t="n">
        <x:v>3.8527</x:v>
      </x:c>
      <x:c r="N377" s="8" t="n">
        <x:v>12.9539</x:v>
      </x:c>
    </x:row>
    <x:row r="378" ht="19" customHeight="1">
      <x:c r="A378" s="7" t="n">
        <x:v>44317</x:v>
      </x:c>
      <x:c r="B378" s="8" t="n">
        <x:v>3.18975436154</x:v>
      </x:c>
      <x:c r="C378" s="8" t="n">
        <x:v>3.2400267268</x:v>
      </x:c>
      <x:c r="D378" s="8" t="n">
        <x:v>4.59718112218</x:v>
      </x:c>
      <x:c r="E378" s="8" t="n">
        <x:v>11.236219563</x:v>
      </x:c>
      <x:c r="F378" s="8" t="n">
        <x:v>91.65</x:v>
      </x:c>
      <x:c r="G378" s="8" t="n">
        <x:v>38.2648</x:v>
      </x:c>
      <x:c r="H378" s="8" t="n">
        <x:v>23.472</x:v>
      </x:c>
      <x:c r="I378" s="8" t="n">
        <x:v>5.677</x:v>
      </x:c>
      <x:c r="J378" s="8" t="n">
        <x:v>4.2577</x:v>
      </x:c>
      <x:c r="K378" s="8" t="n">
        <x:v>1.583</x:v>
      </x:c>
      <x:c r="L378" s="8" t="n">
        <x:v>2.9476</x:v>
      </x:c>
      <x:c r="M378" s="8" t="n">
        <x:v>2.0197</x:v>
      </x:c>
      <x:c r="N378" s="8" t="n">
        <x:v>13.4282</x:v>
      </x:c>
    </x:row>
    <x:row r="379" ht="19" customHeight="1">
      <x:c r="A379" s="7" t="n">
        <x:v>44348</x:v>
      </x:c>
      <x:c r="B379" s="8" t="n">
        <x:v>3.27234665168</x:v>
      </x:c>
      <x:c r="C379" s="8" t="n">
        <x:v>3.29697775714</x:v>
      </x:c>
      <x:c r="D379" s="8" t="n">
        <x:v>4.60533984219</x:v>
      </x:c>
      <x:c r="E379" s="8" t="n">
        <x:v>11.2429012774</x:v>
      </x:c>
      <x:c r="F379" s="8" t="n">
        <x:v>75.52</x:v>
      </x:c>
      <x:c r="G379" s="8" t="n">
        <x:v>11.2853</x:v>
      </x:c>
      <x:c r="H379" s="8" t="n">
        <x:v>35.5656</x:v>
      </x:c>
      <x:c r="I379" s="8" t="n">
        <x:v>3.2488</x:v>
      </x:c>
      <x:c r="J379" s="8" t="n">
        <x:v>5.3576</x:v>
      </x:c>
      <x:c r="K379" s="8" t="n">
        <x:v>1.8239</x:v>
      </x:c>
      <x:c r="L379" s="8" t="n">
        <x:v>2.1089</x:v>
      </x:c>
      <x:c r="M379" s="8" t="n">
        <x:v>3.1918</x:v>
      </x:c>
      <x:c r="N379" s="8" t="n">
        <x:v>12.9381</x:v>
      </x:c>
    </x:row>
    <x:row r="380" ht="19" customHeight="1">
      <x:c r="A380" s="7" t="n">
        <x:v>44378</x:v>
      </x:c>
      <x:c r="B380" s="8" t="n">
        <x:v>3.28317342226</x:v>
      </x:c>
      <x:c r="C380" s="8" t="n">
        <x:v>3.31947701613</x:v>
      </x:c>
      <x:c r="D380" s="8" t="n">
        <x:v>4.60791399771</x:v>
      </x:c>
      <x:c r="E380" s="8" t="n">
        <x:v>11.2595427423</x:v>
      </x:c>
      <x:c r="F380" s="8" t="n">
        <x:v>81.83</x:v>
      </x:c>
      <x:c r="G380" s="8" t="n">
        <x:v>12.9324</x:v>
      </x:c>
      <x:c r="H380" s="8" t="n">
        <x:v>27.8979</x:v>
      </x:c>
      <x:c r="I380" s="8" t="n">
        <x:v>5.365</x:v>
      </x:c>
      <x:c r="J380" s="8" t="n">
        <x:v>7.6804</x:v>
      </x:c>
      <x:c r="K380" s="8" t="n">
        <x:v>1.2424</x:v>
      </x:c>
      <x:c r="L380" s="8" t="n">
        <x:v>8.1886</x:v>
      </x:c>
      <x:c r="M380" s="8" t="n">
        <x:v>1.4683</x:v>
      </x:c>
      <x:c r="N380" s="8" t="n">
        <x:v>17.055</x:v>
      </x:c>
    </x:row>
    <x:row r="381" ht="19" customHeight="1">
      <x:c r="A381" s="7" t="n">
        <x:v>44409</x:v>
      </x:c>
      <x:c r="B381" s="8" t="n">
        <x:v>3.21241512204</x:v>
      </x:c>
      <x:c r="C381" s="8" t="n">
        <x:v>3.25603844533</x:v>
      </x:c>
      <x:c r="D381" s="8" t="n">
        <x:v>4.60326402777</x:v>
      </x:c>
      <x:c r="E381" s="8" t="n">
        <x:v>11.2541519009</x:v>
      </x:c>
      <x:c r="F381" s="8" t="n">
        <x:v>131.44</x:v>
      </x:c>
      <x:c r="G381" s="8" t="n">
        <x:v>46.5202</x:v>
      </x:c>
      <x:c r="H381" s="8" t="n">
        <x:v>26.9725</x:v>
      </x:c>
      <x:c r="I381" s="8" t="n">
        <x:v>14.0373</x:v>
      </x:c>
      <x:c r="J381" s="8" t="n">
        <x:v>7.0766</x:v>
      </x:c>
      <x:c r="K381" s="8" t="n">
        <x:v>1.3921</x:v>
      </x:c>
      <x:c r="L381" s="8" t="n">
        <x:v>2.3202</x:v>
      </x:c>
      <x:c r="M381" s="8" t="n">
        <x:v>1.9722</x:v>
      </x:c>
      <x:c r="N381" s="8" t="n">
        <x:v>31.1488</x:v>
      </x:c>
    </x:row>
    <x:row r="382" ht="19" customHeight="1">
      <x:c r="A382" s="7" t="n">
        <x:v>44440</x:v>
      </x:c>
      <x:c r="B382" s="8" t="n">
        <x:v>3.26416375498</x:v>
      </x:c>
      <x:c r="C382" s="8" t="n">
        <x:v>3.3030354889</x:v>
      </x:c>
      <x:c r="D382" s="8" t="n">
        <x:v>4.59859362227</x:v>
      </x:c>
      <x:c r="E382" s="8" t="n">
        <x:v>11.2592714561</x:v>
      </x:c>
      <x:c r="F382" s="8" t="n">
        <x:v>96.74</x:v>
      </x:c>
      <x:c r="G382" s="8" t="n">
        <x:v>16.8268</x:v>
      </x:c>
      <x:c r="H382" s="8" t="n">
        <x:v>36.962</x:v>
      </x:c>
      <x:c r="I382" s="8" t="n">
        <x:v>7.6434</x:v>
      </x:c>
      <x:c r="J382" s="8" t="n">
        <x:v>4.221</x:v>
      </x:c>
      <x:c r="K382" s="8" t="n">
        <x:v>3.0802</x:v>
      </x:c>
      <x:c r="L382" s="8" t="n">
        <x:v>2.5098</x:v>
      </x:c>
      <x:c r="M382" s="8" t="n">
        <x:v>2.852</x:v>
      </x:c>
      <x:c r="N382" s="8" t="n">
        <x:v>22.6449</x:v>
      </x:c>
    </x:row>
    <x:row r="383" ht="19" customHeight="1">
      <x:c r="A383" s="7" t="n">
        <x:v>44470</x:v>
      </x:c>
      <x:c r="B383" s="8" t="n">
        <x:v>3.38313614091</x:v>
      </x:c>
      <x:c r="C383" s="8" t="n">
        <x:v>3.40810410862</x:v>
      </x:c>
      <x:c r="D383" s="8" t="n">
        <x:v>4.60796327965</x:v>
      </x:c>
      <x:c r="E383" s="8" t="n">
        <x:v>11.2762679529</x:v>
      </x:c>
      <x:c r="F383" s="8" t="n">
        <x:v>78.64</x:v>
      </x:c>
      <x:c r="G383" s="8" t="n">
        <x:v>6.219</x:v>
      </x:c>
      <x:c r="H383" s="8" t="n">
        <x:v>29.8837</x:v>
      </x:c>
      <x:c r="I383" s="8" t="n">
        <x:v>11.0381</x:v>
      </x:c>
      <x:c r="J383" s="8" t="n">
        <x:v>3.8768</x:v>
      </x:c>
      <x:c r="K383" s="8" t="n">
        <x:v>4.4691</x:v>
      </x:c>
      <x:c r="L383" s="8" t="n">
        <x:v>2.6384</x:v>
      </x:c>
      <x:c r="M383" s="8" t="n">
        <x:v>1.6692</x:v>
      </x:c>
      <x:c r="N383" s="8" t="n">
        <x:v>18.8456</x:v>
      </x:c>
    </x:row>
    <x:row r="384" ht="19" customHeight="1">
      <x:c r="A384" s="7" t="n">
        <x:v>44501</x:v>
      </x:c>
      <x:c r="B384" s="8" t="n">
        <x:v>3.34559355523</x:v>
      </x:c>
      <x:c r="C384" s="8" t="n">
        <x:v>3.36931501708</x:v>
      </x:c>
      <x:c r="D384" s="8" t="n">
        <x:v>4.62076232011</x:v>
      </x:c>
      <x:c r="E384" s="8" t="n">
        <x:v>11.2872277702</x:v>
      </x:c>
      <x:c r="F384" s="8" t="n">
        <x:v>80.22</x:v>
      </x:c>
      <x:c r="G384" s="8" t="n">
        <x:v>8.801</x:v>
      </x:c>
      <x:c r="H384" s="8" t="n">
        <x:v>34.7283</x:v>
      </x:c>
      <x:c r="I384" s="8" t="n">
        <x:v>5.0546</x:v>
      </x:c>
      <x:c r="J384" s="8" t="n">
        <x:v>7.7306</x:v>
      </x:c>
      <x:c r="K384" s="8" t="n">
        <x:v>2.3787</x:v>
      </x:c>
      <x:c r="L384" s="8" t="n">
        <x:v>2.4381</x:v>
      </x:c>
      <x:c r="M384" s="8" t="n">
        <x:v>2.6165</x:v>
      </x:c>
      <x:c r="N384" s="8" t="n">
        <x:v>16.4722</x:v>
      </x:c>
    </x:row>
    <x:row r="385" ht="19" customHeight="1">
      <x:c r="A385" s="7" t="n">
        <x:v>44531</x:v>
      </x:c>
      <x:c r="B385" s="8" t="n">
        <x:v>3.23999747816</x:v>
      </x:c>
      <x:c r="C385" s="8" t="n">
        <x:v>3.27372702601</x:v>
      </x:c>
      <x:c r="D385" s="8" t="n">
        <x:v>4.6295421951</x:v>
      </x:c>
      <x:c r="E385" s="8" t="n">
        <x:v>11.281359557</x:v>
      </x:c>
      <x:c r="F385" s="8" t="n">
        <x:v>82.46</x:v>
      </x:c>
      <x:c r="G385" s="8" t="n">
        <x:v>16.3996</x:v>
      </x:c>
      <x:c r="H385" s="8" t="n">
        <x:v>35.2823</x:v>
      </x:c>
      <x:c r="I385" s="8" t="n">
        <x:v>3.7534</x:v>
      </x:c>
      <x:c r="J385" s="8" t="n">
        <x:v>4.1576</x:v>
      </x:c>
      <x:c r="K385" s="8" t="n">
        <x:v>2.6563</x:v>
      </x:c>
      <x:c r="L385" s="8" t="n">
        <x:v>2.1943</x:v>
      </x:c>
      <x:c r="M385" s="8" t="n">
        <x:v>3.6957</x:v>
      </x:c>
      <x:c r="N385" s="8" t="n">
        <x:v>14.3208</x:v>
      </x:c>
    </x:row>
    <x:row r="386" ht="19" customHeight="1">
      <x:c r="A386" s="7" t="n">
        <x:v>44562</x:v>
      </x:c>
      <x:c r="B386" s="8" t="n">
        <x:v>3.38282713815</x:v>
      </x:c>
      <x:c r="C386" s="8" t="n">
        <x:v>3.42159944879</x:v>
      </x:c>
      <x:c r="D386" s="8" t="n">
        <x:v>4.63179696874</x:v>
      </x:c>
      <x:c r="E386" s="8" t="n">
        <x:v>11.2840771135</x:v>
      </x:c>
      <x:c r="F386" s="8" t="n">
        <x:v>99.78</x:v>
      </x:c>
      <x:c r="G386" s="8" t="n">
        <x:v>27.4808</x:v>
      </x:c>
      <x:c r="H386" s="8" t="n">
        <x:v>36.1496</x:v>
      </x:c>
      <x:c r="I386" s="8" t="n">
        <x:v>7.9022</x:v>
      </x:c>
      <x:c r="J386" s="8" t="n">
        <x:v>5.2485</x:v>
      </x:c>
      <x:c r="K386" s="8" t="n">
        <x:v>1.2974</x:v>
      </x:c>
      <x:c r="L386" s="8" t="n">
        <x:v>4.5998</x:v>
      </x:c>
      <x:c r="M386" s="8" t="n">
        <x:v>2.2409</x:v>
      </x:c>
      <x:c r="N386" s="8" t="n">
        <x:v>14.8609</x:v>
      </x:c>
    </x:row>
    <x:row r="387" ht="19" customHeight="1">
      <x:c r="A387" s="7" t="n">
        <x:v>44593</x:v>
      </x:c>
      <x:c r="B387" s="8" t="n">
        <x:v>3.47230479001</x:v>
      </x:c>
      <x:c r="C387" s="8" t="n">
        <x:v>3.53048721984</x:v>
      </x:c>
      <x:c r="D387" s="8" t="n">
        <x:v>4.63811551472</x:v>
      </x:c>
      <x:c r="E387" s="8" t="n">
        <x:v>11.2999590582</x:v>
      </x:c>
      <x:c r="F387" s="8" t="n">
        <x:v>187.43</x:v>
      </x:c>
      <x:c r="G387" s="8" t="n">
        <x:v>110.9743</x:v>
      </x:c>
      <x:c r="H387" s="8" t="n">
        <x:v>41.7533</x:v>
      </x:c>
      <x:c r="I387" s="8" t="n">
        <x:v>4.1079</x:v>
      </x:c>
      <x:c r="J387" s="8" t="n">
        <x:v>1.8394</x:v>
      </x:c>
      <x:c r="K387" s="8" t="n">
        <x:v>4.1079</x:v>
      </x:c>
      <x:c r="L387" s="8" t="n">
        <x:v>1.778</x:v>
      </x:c>
      <x:c r="M387" s="8" t="n">
        <x:v>10.7909</x:v>
      </x:c>
      <x:c r="N387" s="8" t="n">
        <x:v>12.0784</x:v>
      </x:c>
    </x:row>
    <x:row r="388" ht="19" customHeight="1">
      <x:c r="A388" s="7" t="n">
        <x:v>44621</x:v>
      </x:c>
      <x:c r="B388" s="8" t="n">
        <x:v>3.63009246441</x:v>
      </x:c>
      <x:c r="C388" s="8" t="n">
        <x:v>3.70765069876</x:v>
      </x:c>
      <x:c r="D388" s="8" t="n">
        <x:v>4.63331653953</x:v>
      </x:c>
      <x:c r="E388" s="8" t="n">
        <x:v>11.2990728013</x:v>
      </x:c>
      <x:c r="F388" s="8" t="n">
        <x:v>318.93</x:v>
      </x:c>
      <x:c r="G388" s="8" t="n">
        <x:v>235.783</x:v>
      </x:c>
      <x:c r="H388" s="8" t="n">
        <x:v>20.6641</x:v>
      </x:c>
      <x:c r="I388" s="8" t="n">
        <x:v>4.9616</x:v>
      </x:c>
      <x:c r="J388" s="8" t="n">
        <x:v>2.3445</x:v>
      </x:c>
      <x:c r="K388" s="8" t="n">
        <x:v>8.9962</x:v>
      </x:c>
      <x:c r="L388" s="8" t="n">
        <x:v>0.5452</x:v>
      </x:c>
      <x:c r="M388" s="8" t="n">
        <x:v>32.1138</x:v>
      </x:c>
      <x:c r="N388" s="8" t="n">
        <x:v>13.5216</x:v>
      </x:c>
    </x:row>
    <x:row r="389" ht="19" customHeight="1">
      <x:c r="A389" s="7" t="n">
        <x:v>44652</x:v>
      </x:c>
      <x:c r="B389" s="8" t="n">
        <x:v>3.56307730508</x:v>
      </x:c>
      <x:c r="C389" s="8" t="n">
        <x:v>3.59021601268</x:v>
      </x:c>
      <x:c r="D389" s="8" t="n">
        <x:v>4.6206881058</x:v>
      </x:c>
      <x:c r="E389" s="8" t="n">
        <x:v>11.2898064513</x:v>
      </x:c>
      <x:c r="F389" s="8" t="n">
        <x:v>211.9</x:v>
      </x:c>
      <x:c r="G389" s="8" t="n">
        <x:v>143.833</x:v>
      </x:c>
      <x:c r="H389" s="8" t="n">
        <x:v>20.6476</x:v>
      </x:c>
      <x:c r="I389" s="8" t="n">
        <x:v>8.9823</x:v>
      </x:c>
      <x:c r="J389" s="8" t="n">
        <x:v>2.7997</x:v>
      </x:c>
      <x:c r="K389" s="8" t="n">
        <x:v>4.0245</x:v>
      </x:c>
      <x:c r="L389" s="8" t="n">
        <x:v>2.3914</x:v>
      </x:c>
      <x:c r="M389" s="8" t="n">
        <x:v>13.4734</x:v>
      </x:c>
      <x:c r="N389" s="8" t="n">
        <x:v>15.7481</x:v>
      </x:c>
    </x:row>
    <x:row r="390" ht="19" customHeight="1">
      <x:c r="A390" s="7" t="n">
        <x:v>44682</x:v>
      </x:c>
      <x:c r="B390" s="8" t="n">
        <x:v>3.62720445386</x:v>
      </x:c>
      <x:c r="C390" s="8" t="n">
        <x:v>3.66121553856</x:v>
      </x:c>
      <x:c r="D390" s="8" t="n">
        <x:v>4.62629935543</x:v>
      </x:c>
      <x:c r="E390" s="8" t="n">
        <x:v>11.2831620592</x:v>
      </x:c>
      <x:c r="F390" s="8" t="n">
        <x:v>153.44</x:v>
      </x:c>
      <x:c r="G390" s="8" t="n">
        <x:v>86.5312</x:v>
      </x:c>
      <x:c r="H390" s="8" t="n">
        <x:v>22.1421</x:v>
      </x:c>
      <x:c r="I390" s="8" t="n">
        <x:v>9.8648</x:v>
      </x:c>
      <x:c r="J390" s="8" t="n">
        <x:v>1.2331</x:v>
      </x:c>
      <x:c r="K390" s="8" t="n">
        <x:v>3.2704</x:v>
      </x:c>
      <x:c r="L390" s="8" t="n">
        <x:v>0.4289</x:v>
      </x:c>
      <x:c r="M390" s="8" t="n">
        <x:v>11.6876</x:v>
      </x:c>
      <x:c r="N390" s="8" t="n">
        <x:v>18.282</x:v>
      </x:c>
    </x:row>
    <x:row r="391" ht="19" customHeight="1">
      <x:c r="A391" s="7" t="n">
        <x:v>44713</x:v>
      </x:c>
      <x:c r="B391" s="8" t="n">
        <x:v>3.66188045824</x:v>
      </x:c>
      <x:c r="C391" s="8" t="n">
        <x:v>3.72816445097</x:v>
      </x:c>
      <x:c r="D391" s="8" t="n">
        <x:v>4.63471602858</x:v>
      </x:c>
      <x:c r="E391" s="8" t="n">
        <x:v>11.2862244449</x:v>
      </x:c>
      <x:c r="F391" s="8" t="n">
        <x:v>142.16</x:v>
      </x:c>
      <x:c r="G391" s="8" t="n">
        <x:v>77.1217</x:v>
      </x:c>
      <x:c r="H391" s="8" t="n">
        <x:v>23.4984</x:v>
      </x:c>
      <x:c r="I391" s="8" t="n">
        <x:v>6.1809</x:v>
      </x:c>
      <x:c r="J391" s="8" t="n">
        <x:v>2.0603</x:v>
      </x:c>
      <x:c r="K391" s="8" t="n">
        <x:v>3.7865</x:v>
      </x:c>
      <x:c r="L391" s="8" t="n">
        <x:v>0.6125</x:v>
      </x:c>
      <x:c r="M391" s="8" t="n">
        <x:v>8.5753</x:v>
      </x:c>
      <x:c r="N391" s="8" t="n">
        <x:v>20.3245</x:v>
      </x:c>
    </x:row>
    <x:row r="392" ht="19" customHeight="1">
      <x:c r="A392" s="7" t="n">
        <x:v>44743</x:v>
      </x:c>
      <x:c r="B392" s="8" t="n">
        <x:v>3.53973015456</x:v>
      </x:c>
      <x:c r="C392" s="8" t="n">
        <x:v>3.6363634643</x:v>
      </x:c>
      <x:c r="D392" s="8" t="n">
        <x:v>4.63251299805</x:v>
      </x:c>
      <x:c r="E392" s="8" t="n">
        <x:v>11.2975281778</x:v>
      </x:c>
      <x:c r="F392" s="8" t="n">
        <x:v>144.37</x:v>
      </x:c>
      <x:c r="G392" s="8" t="n">
        <x:v>62.8865</x:v>
      </x:c>
      <x:c r="H392" s="8" t="n">
        <x:v>41.0851</x:v>
      </x:c>
      <x:c r="I392" s="8" t="n">
        <x:v>5.436</x:v>
      </x:c>
      <x:c r="J392" s="8" t="n">
        <x:v>2.1172</x:v>
      </x:c>
      <x:c r="K392" s="8" t="n">
        <x:v>2.06</x:v>
      </x:c>
      <x:c r="L392" s="8" t="n">
        <x:v>1.7739</x:v>
      </x:c>
      <x:c r="M392" s="8" t="n">
        <x:v>5.436</x:v>
      </x:c>
      <x:c r="N392" s="8" t="n">
        <x:v>23.5753</x:v>
      </x:c>
    </x:row>
    <x:row r="393" ht="19" customHeight="1">
      <x:c r="A393" s="7" t="n">
        <x:v>44774</x:v>
      </x:c>
      <x:c r="B393" s="8" t="n">
        <x:v>3.45764403736</x:v>
      </x:c>
      <x:c r="C393" s="8" t="n">
        <x:v>3.5275261614</x:v>
      </x:c>
      <x:c r="D393" s="8" t="n">
        <x:v>4.63681005231</x:v>
      </x:c>
      <x:c r="E393" s="8" t="n">
        <x:v>11.3095249541</x:v>
      </x:c>
      <x:c r="F393" s="8" t="n">
        <x:v>162.19</x:v>
      </x:c>
      <x:c r="G393" s="8" t="n">
        <x:v>73.2415</x:v>
      </x:c>
      <x:c r="H393" s="8" t="n">
        <x:v>35.5564</x:v>
      </x:c>
      <x:c r="I393" s="8" t="n">
        <x:v>14.0384</x:v>
      </x:c>
      <x:c r="J393" s="8" t="n">
        <x:v>3.6247</x:v>
      </x:c>
      <x:c r="K393" s="8" t="n">
        <x:v>12.3124</x:v>
      </x:c>
      <x:c r="L393" s="8" t="n">
        <x:v>1.1507</x:v>
      </x:c>
      <x:c r="M393" s="8" t="n">
        <x:v>3.6247</x:v>
      </x:c>
      <x:c r="N393" s="8" t="n">
        <x:v>18.6412</x:v>
      </x:c>
    </x:row>
    <x:row r="394" ht="19" customHeight="1">
      <x:c r="A394" s="7" t="n">
        <x:v>44805</x:v>
      </x:c>
      <x:c r="B394" s="8" t="n">
        <x:v>3.3475396287</x:v>
      </x:c>
      <x:c r="C394" s="8" t="n">
        <x:v>3.41077181392</x:v>
      </x:c>
      <x:c r="D394" s="8" t="n">
        <x:v>4.64095843089</x:v>
      </x:c>
      <x:c r="E394" s="8" t="n">
        <x:v>11.3161551224</x:v>
      </x:c>
      <x:c r="F394" s="8" t="n">
        <x:v>141.02</x:v>
      </x:c>
      <x:c r="G394" s="8" t="n">
        <x:v>68.5673</x:v>
      </x:c>
      <x:c r="H394" s="8" t="n">
        <x:v>24.5699</x:v>
      </x:c>
      <x:c r="I394" s="8" t="n">
        <x:v>5.3711</x:v>
      </x:c>
      <x:c r="J394" s="8" t="n">
        <x:v>3.7141</x:v>
      </x:c>
      <x:c r="K394" s="8" t="n">
        <x:v>9.1423</x:v>
      </x:c>
      <x:c r="L394" s="8" t="n">
        <x:v>1.2571</x:v>
      </x:c>
      <x:c r="M394" s="8" t="n">
        <x:v>7.771</x:v>
      </x:c>
      <x:c r="N394" s="8" t="n">
        <x:v>20.6273</x:v>
      </x:c>
    </x:row>
    <x:row r="395" ht="19" customHeight="1">
      <x:c r="A395" s="7" t="n">
        <x:v>44835</x:v>
      </x:c>
      <x:c r="B395" s="8" t="n">
        <x:v>3.38026326856</x:v>
      </x:c>
      <x:c r="C395" s="8" t="n">
        <x:v>3.4441948094</x:v>
      </x:c>
      <x:c r="D395" s="8" t="n">
        <x:v>4.6356730456</x:v>
      </x:c>
      <x:c r="E395" s="8" t="n">
        <x:v>11.3172338316</x:v>
      </x:c>
      <x:c r="F395" s="8" t="n">
        <x:v>153.47</x:v>
      </x:c>
      <x:c r="G395" s="8" t="n">
        <x:v>71.8974</x:v>
      </x:c>
      <x:c r="H395" s="8" t="n">
        <x:v>28.8034</x:v>
      </x:c>
      <x:c r="I395" s="8" t="n">
        <x:v>6.1166</x:v>
      </x:c>
      <x:c r="J395" s="8" t="n">
        <x:v>7.7291</x:v>
      </x:c>
      <x:c r="K395" s="8" t="n">
        <x:v>8.3408</x:v>
      </x:c>
      <x:c r="L395" s="8" t="n">
        <x:v>1.6682</x:v>
      </x:c>
      <x:c r="M395" s="8" t="n">
        <x:v>4.8376</x:v>
      </x:c>
      <x:c r="N395" s="8" t="n">
        <x:v>24.077</x:v>
      </x:c>
    </x:row>
    <x:row r="396" ht="19" customHeight="1">
      <x:c r="A396" s="7" t="n">
        <x:v>44866</x:v>
      </x:c>
      <x:c r="B396" s="8" t="n">
        <x:v>3.34065447609</x:v>
      </x:c>
      <x:c r="C396" s="8" t="n">
        <x:v>3.42090686081</x:v>
      </x:c>
      <x:c r="D396" s="8" t="n">
        <x:v>4.63475580426</x:v>
      </x:c>
      <x:c r="E396" s="8" t="n">
        <x:v>11.3210943871</x:v>
      </x:c>
      <x:c r="F396" s="8" t="n">
        <x:v>137.04</x:v>
      </x:c>
      <x:c r="G396" s="8" t="n">
        <x:v>61.9092</x:v>
      </x:c>
      <x:c r="H396" s="8" t="n">
        <x:v>30.075</x:v>
      </x:c>
      <x:c r="I396" s="8" t="n">
        <x:v>10.5546</x:v>
      </x:c>
      <x:c r="J396" s="8" t="n">
        <x:v>6.0718</x:v>
      </x:c>
      <x:c r="K396" s="8" t="n">
        <x:v>5.6745</x:v>
      </x:c>
      <x:c r="L396" s="8" t="n">
        <x:v>0.6242</x:v>
      </x:c>
      <x:c r="M396" s="8" t="n">
        <x:v>2.5535</x:v>
      </x:c>
      <x:c r="N396" s="8" t="n">
        <x:v>19.5771</x:v>
      </x:c>
    </x:row>
    <x:row r="397" ht="19" customHeight="1">
      <x:c r="A397" s="7" t="n">
        <x:v>44896</x:v>
      </x:c>
      <x:c r="B397" s="8" t="n">
        <x:v>3.24179476279</x:v>
      </x:c>
      <x:c r="C397" s="8" t="n">
        <x:v>3.29874965572</x:v>
      </x:c>
      <x:c r="D397" s="8" t="n">
        <x:v>4.62988046995</x:v>
      </x:c>
      <x:c r="E397" s="8" t="n">
        <x:v>11.3135947383</x:v>
      </x:c>
      <x:c r="F397" s="8" t="n">
        <x:v>144.59</x:v>
      </x:c>
      <x:c r="G397" s="8" t="n">
        <x:v>68.5829</x:v>
      </x:c>
      <x:c r="H397" s="8" t="n">
        <x:v>30.6098</x:v>
      </x:c>
      <x:c r="I397" s="8" t="n">
        <x:v>10.1018</x:v>
      </x:c>
      <x:c r="J397" s="8" t="n">
        <x:v>5.2335</x:v>
      </x:c>
      <x:c r="K397" s="8" t="n">
        <x:v>2.1299</x:v>
      </x:c>
      <x:c r="L397" s="8" t="n">
        <x:v>2.7993</x:v>
      </x:c>
      <x:c r="M397" s="8" t="n">
        <x:v>4.3815</x:v>
      </x:c>
      <x:c r="N397" s="8" t="n">
        <x:v>20.7513</x:v>
      </x:c>
    </x:row>
    <x:row r="398" ht="19" customHeight="1">
      <x:c r="A398" s="7" t="n">
        <x:v>44927</x:v>
      </x:c>
      <x:c r="B398" s="8" t="n">
        <x:v>3.25823479643</x:v>
      </x:c>
      <x:c r="C398" s="8" t="n">
        <x:v>3.31278698376</x:v>
      </x:c>
      <x:c r="D398" s="8" t="n">
        <x:v>4.6334957615</x:v>
      </x:c>
      <x:c r="E398" s="8" t="n">
        <x:v>11.3155908944</x:v>
      </x:c>
      <x:c r="F398" s="8" t="n">
        <x:v>119.94</x:v>
      </x:c>
      <x:c r="G398" s="8" t="n">
        <x:v>61.1721</x:v>
      </x:c>
      <x:c r="H398" s="8" t="n">
        <x:v>21.6689</x:v>
      </x:c>
      <x:c r="I398" s="8" t="n">
        <x:v>10.1649</x:v>
      </x:c>
      <x:c r="J398" s="8" t="n">
        <x:v>4.6868</x:v>
      </x:c>
      <x:c r="K398" s="8" t="n">
        <x:v>2.2521</x:v>
      </x:c>
      <x:c r="L398" s="8" t="n">
        <x:v>1.9478</x:v>
      </x:c>
      <x:c r="M398" s="8" t="n">
        <x:v>2.313</x:v>
      </x:c>
      <x:c r="N398" s="8" t="n">
        <x:v>15.7343</x:v>
      </x:c>
    </x:row>
    <x:row r="399" ht="19" customHeight="1">
      <x:c r="A399" s="7" t="n">
        <x:v>44958</x:v>
      </x:c>
      <x:c r="B399" s="8" t="n">
        <x:v>3.23816120993</x:v>
      </x:c>
      <x:c r="C399" s="8" t="n">
        <x:v>3.31045462888</x:v>
      </x:c>
      <x:c r="D399" s="8" t="n">
        <x:v>4.63902667252</x:v>
      </x:c>
      <x:c r="E399" s="8" t="n">
        <x:v>11.32347837</x:v>
      </x:c>
      <x:c r="F399" s="8" t="n">
        <x:v>157.36</x:v>
      </x:c>
      <x:c r="G399" s="8" t="n">
        <x:v>77.6093</x:v>
      </x:c>
      <x:c r="H399" s="8" t="n">
        <x:v>39.8429</x:v>
      </x:c>
      <x:c r="I399" s="8" t="n">
        <x:v>6.8784</x:v>
      </x:c>
      <x:c r="J399" s="8" t="n">
        <x:v>3.7637</x:v>
      </x:c>
      <x:c r="K399" s="8" t="n">
        <x:v>3.569</x:v>
      </x:c>
      <x:c r="L399" s="8" t="n">
        <x:v>1.2329</x:v>
      </x:c>
      <x:c r="M399" s="8" t="n">
        <x:v>4.153</x:v>
      </x:c>
      <x:c r="N399" s="8" t="n">
        <x:v>20.3108</x:v>
      </x:c>
    </x:row>
    <x:row r="400" ht="19" customHeight="1">
      <x:c r="A400" s="7" t="n">
        <x:v>44986</x:v>
      </x:c>
      <x:c r="B400" s="8" t="n">
        <x:v>3.18962377994</x:v>
      </x:c>
      <x:c r="C400" s="8" t="n">
        <x:v>3.25754256679</x:v>
      </x:c>
      <x:c r="D400" s="8" t="n">
        <x:v>4.64099273045</x:v>
      </x:c>
      <x:c r="E400" s="8" t="n">
        <x:v>11.3229700517</x:v>
      </x:c>
      <x:c r="F400" s="8" t="n">
        <x:v>132.63</x:v>
      </x:c>
      <x:c r="G400" s="8" t="n">
        <x:v>55.5407</x:v>
      </x:c>
      <x:c r="H400" s="8" t="n">
        <x:v>43.1579</x:v>
      </x:c>
      <x:c r="I400" s="8" t="n">
        <x:v>6.9805</x:v>
      </x:c>
      <x:c r="J400" s="8" t="n">
        <x:v>2.7922</x:v>
      </x:c>
      <x:c r="K400" s="8" t="n">
        <x:v>4.3704</x:v>
      </x:c>
      <x:c r="L400" s="8" t="n">
        <x:v>0.3035</x:v>
      </x:c>
      <x:c r="M400" s="8" t="n">
        <x:v>2.428</x:v>
      </x:c>
      <x:c r="N400" s="8" t="n">
        <x:v>17.0568</x:v>
      </x:c>
    </x:row>
    <x:row r="401" ht="19" customHeight="1">
      <x:c r="A401" s="7" t="n">
        <x:v>45017</x:v>
      </x:c>
      <x:c r="B401" s="8" t="n">
        <x:v>3.2670769555</x:v>
      </x:c>
      <x:c r="C401" s="8" t="n">
        <x:v>3.33035603063</x:v>
      </x:c>
      <x:c r="D401" s="8" t="n">
        <x:v>4.63281567246</x:v>
      </x:c>
      <x:c r="E401" s="8" t="n">
        <x:v>11.3158736429</x:v>
      </x:c>
      <x:c r="F401" s="8" t="n">
        <x:v>134.28</x:v>
      </x:c>
      <x:c r="G401" s="8" t="n">
        <x:v>42.1022</x:v>
      </x:c>
      <x:c r="H401" s="8" t="n">
        <x:v>43.8704</x:v>
      </x:c>
      <x:c r="I401" s="8" t="n">
        <x:v>6.8057</x:v>
      </x:c>
      <x:c r="J401" s="8" t="n">
        <x:v>14.1453</x:v>
      </x:c>
      <x:c r="K401" s="8" t="n">
        <x:v>4.0701</x:v>
      </x:c>
      <x:c r="L401" s="8" t="n">
        <x:v>0.8674</x:v>
      </x:c>
      <x:c r="M401" s="8" t="n">
        <x:v>3.4029</x:v>
      </x:c>
      <x:c r="N401" s="8" t="n">
        <x:v>19.016</x:v>
      </x:c>
    </x:row>
    <x:row r="402" ht="19" customHeight="1">
      <x:c r="A402" s="7" t="n">
        <x:v>45047</x:v>
      </x:c>
      <x:c r="B402" s="8" t="n">
        <x:v>3.16115138268</x:v>
      </x:c>
      <x:c r="C402" s="8" t="n">
        <x:v>3.21407090364</x:v>
      </x:c>
      <x:c r="D402" s="8" t="n">
        <x:v>4.64053558407</x:v>
      </x:c>
      <x:c r="E402" s="8" t="n">
        <x:v>11.3064725173</x:v>
      </x:c>
      <x:c r="F402" s="8" t="n">
        <x:v>119.75</x:v>
      </x:c>
      <x:c r="G402" s="8" t="n">
        <x:v>52.1343</x:v>
      </x:c>
      <x:c r="H402" s="8" t="n">
        <x:v>28.1843</x:v>
      </x:c>
      <x:c r="I402" s="8" t="n">
        <x:v>5.4251</x:v>
      </x:c>
      <x:c r="J402" s="8" t="n">
        <x:v>10.5856</x:v>
      </x:c>
      <x:c r="K402" s="8" t="n">
        <x:v>2.3818</x:v>
      </x:c>
      <x:c r="L402" s="8" t="n">
        <x:v>0.5293</x:v>
      </x:c>
      <x:c r="M402" s="8" t="n">
        <x:v>2.051</x:v>
      </x:c>
      <x:c r="N402" s="8" t="n">
        <x:v>18.4587</x:v>
      </x:c>
    </x:row>
    <x:row r="403" ht="19" customHeight="1">
      <x:c r="A403" s="7" t="n">
        <x:v>45078</x:v>
      </x:c>
      <x:c r="B403" s="8" t="n">
        <x:v>3.14015674122</x:v>
      </x:c>
      <x:c r="C403" s="8" t="n">
        <x:v>3.20344893442</x:v>
      </x:c>
      <x:c r="D403" s="8" t="n">
        <x:v>4.64372726732</x:v>
      </x:c>
      <x:c r="E403" s="8" t="n">
        <x:v>11.3137483559</x:v>
      </x:c>
      <x:c r="F403" s="8" t="n">
        <x:v>123.59</x:v>
      </x:c>
      <x:c r="G403" s="8" t="n">
        <x:v>45.9458</x:v>
      </x:c>
      <x:c r="H403" s="8" t="n">
        <x:v>35.5841</x:v>
      </x:c>
      <x:c r="I403" s="8" t="n">
        <x:v>5.658</x:v>
      </x:c>
      <x:c r="J403" s="8" t="n">
        <x:v>7.9076</x:v>
      </x:c>
      <x:c r="K403" s="8" t="n">
        <x:v>2.7949</x:v>
      </x:c>
      <x:c r="L403" s="8" t="n">
        <x:v>8.2484</x:v>
      </x:c>
      <x:c r="M403" s="8" t="n">
        <x:v>1.4997</x:v>
      </x:c>
      <x:c r="N403" s="8" t="n">
        <x:v>15.9515</x:v>
      </x:c>
    </x:row>
    <x:row r="404" ht="19" customHeight="1">
      <x:c r="A404" s="7" t="n">
        <x:v>45108</x:v>
      </x:c>
      <x:c r="B404" s="8" t="n">
        <x:v>3.21779516803</x:v>
      </x:c>
      <x:c r="C404" s="8" t="n">
        <x:v>3.26954188924</x:v>
      </x:c>
      <x:c r="D404" s="8" t="n">
        <x:v>4.64003460504</x:v>
      </x:c>
      <x:c r="E404" s="8" t="n">
        <x:v>11.3048050228</x:v>
      </x:c>
      <x:c r="F404" s="8" t="n">
        <x:v>124.44</x:v>
      </x:c>
      <x:c r="G404" s="8" t="n">
        <x:v>50.326</x:v>
      </x:c>
      <x:c r="H404" s="8" t="n">
        <x:v>40.4258</x:v>
      </x:c>
      <x:c r="I404" s="8" t="n">
        <x:v>3.6438</x:v>
      </x:c>
      <x:c r="J404" s="8" t="n">
        <x:v>3.9188</x:v>
      </x:c>
      <x:c r="K404" s="8" t="n">
        <x:v>2.5438</x:v>
      </x:c>
      <x:c r="L404" s="8" t="n">
        <x:v>5.2939</x:v>
      </x:c>
      <x:c r="M404" s="8" t="n">
        <x:v>1.925</x:v>
      </x:c>
      <x:c r="N404" s="8" t="n">
        <x:v>16.3628</x:v>
      </x:c>
    </x:row>
    <x:row r="405" ht="19" customHeight="1">
      <x:c r="A405" s="7" t="n">
        <x:v>45139</x:v>
      </x:c>
      <x:c r="B405" s="8" t="n">
        <x:v>3.28056956142</x:v>
      </x:c>
      <x:c r="C405" s="8" t="n">
        <x:v>3.33740710905</x:v>
      </x:c>
      <x:c r="D405" s="8" t="n">
        <x:v>4.64515802005</x:v>
      </x:c>
      <x:c r="E405" s="8" t="n">
        <x:v>11.299270328</x:v>
      </x:c>
      <x:c r="F405" s="8" t="n">
        <x:v>112.79</x:v>
      </x:c>
      <x:c r="G405" s="8" t="n">
        <x:v>42.4794</x:v>
      </x:c>
      <x:c r="H405" s="8" t="n">
        <x:v>25.8085</x:v>
      </x:c>
      <x:c r="I405" s="8" t="n">
        <x:v>7.1148</x:v>
      </x:c>
      <x:c r="J405" s="8" t="n">
        <x:v>2.6506</x:v>
      </x:c>
      <x:c r="K405" s="8" t="n">
        <x:v>1.7438</x:v>
      </x:c>
      <x:c r="L405" s="8" t="n">
        <x:v>7.6728</x:v>
      </x:c>
      <x:c r="M405" s="8" t="n">
        <x:v>3.5574</x:v>
      </x:c>
      <x:c r="N405" s="8" t="n">
        <x:v>21.7628</x:v>
      </x:c>
    </x:row>
    <x:row r="406" ht="19" customHeight="1">
      <x:c r="A406" s="7" t="n">
        <x:v>45170</x:v>
      </x:c>
      <x:c r="B406" s="8" t="n">
        <x:v>3.37088001584</x:v>
      </x:c>
      <x:c r="C406" s="8" t="n">
        <x:v>3.41773543312</x:v>
      </x:c>
      <x:c r="D406" s="8" t="n">
        <x:v>4.64718469909</x:v>
      </x:c>
      <x:c r="E406" s="8" t="n">
        <x:v>11.3111069504</x:v>
      </x:c>
      <x:c r="F406" s="8" t="n">
        <x:v>117.35</x:v>
      </x:c>
      <x:c r="G406" s="8" t="n">
        <x:v>44.5923</x:v>
      </x:c>
      <x:c r="H406" s="8" t="n">
        <x:v>42.196</x:v>
      </x:c>
      <x:c r="I406" s="8" t="n">
        <x:v>2.2227</x:v>
      </x:c>
      <x:c r="J406" s="8" t="n">
        <x:v>3.4035</x:v>
      </x:c>
      <x:c r="K406" s="8" t="n">
        <x:v>0.9724</x:v>
      </x:c>
      <x:c r="L406" s="8" t="n">
        <x:v>2.2227</x:v>
      </x:c>
      <x:c r="M406" s="8" t="n">
        <x:v>1.7365</x:v>
      </x:c>
      <x:c r="N406" s="8" t="n">
        <x:v>20.004</x:v>
      </x:c>
    </x:row>
    <x:row r="407" ht="19" customHeight="1">
      <x:c r="A407" s="7" t="n">
        <x:v>45200</x:v>
      </x:c>
      <x:c r="B407" s="8" t="n">
        <x:v>3.32621036714</x:v>
      </x:c>
      <x:c r="C407" s="8" t="n">
        <x:v>3.38251211647</x:v>
      </x:c>
      <x:c r="D407" s="8" t="n">
        <x:v>4.64893082178</x:v>
      </x:c>
      <x:c r="E407" s="8" t="n">
        <x:v>11.3154284391</x:v>
      </x:c>
      <x:c r="F407" s="8" t="n">
        <x:v>242.19</x:v>
      </x:c>
      <x:c r="G407" s="8" t="n">
        <x:v>175.9485</x:v>
      </x:c>
      <x:c r="H407" s="8" t="n">
        <x:v>27.461</x:v>
      </x:c>
      <x:c r="I407" s="8" t="n">
        <x:v>16.8938</x:v>
      </x:c>
      <x:c r="J407" s="8" t="n">
        <x:v>0.6156</x:v>
      </x:c>
      <x:c r="K407" s="8" t="n">
        <x:v>1.4363</x:v>
      </x:c>
      <x:c r="L407" s="8" t="n">
        <x:v>1.0259</x:v>
      </x:c>
      <x:c r="M407" s="8" t="n">
        <x:v>3.967</x:v>
      </x:c>
      <x:c r="N407" s="8" t="n">
        <x:v>14.8419</x:v>
      </x:c>
    </x:row>
    <x:row r="408" ht="19" customHeight="1">
      <x:c r="A408" s="7" t="n">
        <x:v>45231</x:v>
      </x:c>
      <x:c r="B408" s="8" t="n">
        <x:v>3.22731654791</x:v>
      </x:c>
      <x:c r="C408" s="8" t="n">
        <x:v>3.29270745376</x:v>
      </x:c>
      <x:c r="D408" s="8" t="n">
        <x:v>4.65222404894</x:v>
      </x:c>
      <x:c r="E408" s="8" t="n">
        <x:v>11.3253141523</x:v>
      </x:c>
      <x:c r="F408" s="8" t="n">
        <x:v>193.7</x:v>
      </x:c>
      <x:c r="G408" s="8" t="n">
        <x:v>135.2786</x:v>
      </x:c>
      <x:c r="H408" s="8" t="n">
        <x:v>30.0699</x:v>
      </x:c>
      <x:c r="I408" s="8" t="n">
        <x:v>8.7346</x:v>
      </x:c>
      <x:c r="J408" s="8" t="n">
        <x:v>1.8615</x:v>
      </x:c>
      <x:c r="K408" s="8" t="n">
        <x:v>1.0023</x:v>
      </x:c>
      <x:c r="L408" s="8" t="n">
        <x:v>0.8591</x:v>
      </x:c>
      <x:c r="M408" s="8" t="n">
        <x:v>0.9307</x:v>
      </x:c>
      <x:c r="N408" s="8" t="n">
        <x:v>14.9633</x:v>
      </x:c>
    </x:row>
    <x:row r="409" ht="19" customHeight="1">
      <x:c r="A409" s="7" t="n">
        <x:v>45261</x:v>
      </x:c>
      <x:c r="B409" s="8" t="n">
        <x:v>3.147943713</x:v>
      </x:c>
      <x:c r="C409" s="8" t="n">
        <x:v>3.22462139869</x:v>
      </x:c>
      <x:c r="D409" s="8" t="n">
        <x:v>4.65222476342</x:v>
      </x:c>
      <x:c r="E409" s="8" t="n">
        <x:v>11.3289994968</x:v>
      </x:c>
      <x:c r="F409" s="8" t="n">
        <x:v>173.86</x:v>
      </x:c>
      <x:c r="G409" s="8" t="n">
        <x:v>104.5414</x:v>
      </x:c>
      <x:c r="H409" s="8" t="n">
        <x:v>36.6318</x:v>
      </x:c>
      <x:c r="I409" s="8" t="n">
        <x:v>7.5377</x:v>
      </x:c>
      <x:c r="J409" s="8" t="n">
        <x:v>2.0429</x:v>
      </x:c>
      <x:c r="K409" s="8" t="n">
        <x:v>1.4089</x:v>
      </x:c>
      <x:c r="L409" s="8" t="n">
        <x:v>0.634</x:v>
      </x:c>
      <x:c r="M409" s="8" t="n">
        <x:v>3.8745</x:v>
      </x:c>
      <x:c r="N409" s="8" t="n">
        <x:v>17.1888</x:v>
      </x:c>
    </x:row>
    <x:row r="410" ht="19" customHeight="1">
      <x:c r="A410" s="7" t="n">
        <x:v>45292</x:v>
      </x:c>
      <x:c r="B410" s="8" t="n">
        <x:v>3.17566262548</x:v>
      </x:c>
      <x:c r="C410" s="8" t="n">
        <x:v>3.25309806769</x:v>
      </x:c>
      <x:c r="D410" s="8" t="n">
        <x:v>4.64835490018</x:v>
      </x:c>
      <x:c r="E410" s="8" t="n">
        <x:v>11.311796451</x:v>
      </x:c>
      <x:c r="F410" s="8" t="n">
        <x:v>161.94</x:v>
      </x:c>
      <x:c r="G410" s="8" t="n">
        <x:v>98.2247</x:v>
      </x:c>
      <x:c r="H410" s="8" t="n">
        <x:v>34.5821</x:v>
      </x:c>
      <x:c r="I410" s="8" t="n">
        <x:v>9.0088</x:v>
      </x:c>
      <x:c r="J410" s="8" t="n">
        <x:v>2.2522</x:v>
      </x:c>
      <x:c r="K410" s="8" t="n">
        <x:v>1.1624</x:v>
      </x:c>
      <x:c r="L410" s="8" t="n">
        <x:v>0.7992</x:v>
      </x:c>
      <x:c r="M410" s="8" t="n">
        <x:v>2.0342</x:v>
      </x:c>
      <x:c r="N410" s="8" t="n">
        <x:v>13.8764</x:v>
      </x:c>
    </x:row>
    <x:row r="411" ht="19" customHeight="1">
      <x:c r="A411" s="7" t="n">
        <x:v>45323</x:v>
      </x:c>
      <x:c r="B411" s="8" t="n">
        <x:v>3.21253030454</x:v>
      </x:c>
      <x:c r="C411" s="8" t="n">
        <x:v>3.29009047097</x:v>
      </x:c>
      <x:c r="D411" s="8" t="n">
        <x:v>4.65366056687</x:v>
      </x:c>
      <x:c r="E411" s="8" t="n">
        <x:v>11.3202398165</x:v>
      </x:c>
      <x:c r="F411" s="8" t="n">
        <x:v>174.52</x:v>
      </x:c>
      <x:c r="G411" s="8" t="n">
        <x:v>95.0205</x:v>
      </x:c>
      <x:c r="H411" s="8" t="n">
        <x:v>44.304</x:v>
      </x:c>
      <x:c r="I411" s="8" t="n">
        <x:v>3.2791</x:v>
      </x:c>
      <x:c r="J411" s="8" t="n">
        <x:v>2.3318</x:v>
      </x:c>
      <x:c r="K411" s="8" t="n">
        <x:v>3.4977</x:v>
      </x:c>
      <x:c r="L411" s="8" t="n">
        <x:v>0.3643</x:v>
      </x:c>
      <x:c r="M411" s="8" t="n">
        <x:v>5.9023</x:v>
      </x:c>
      <x:c r="N411" s="8" t="n">
        <x:v>19.8202</x:v>
      </x:c>
    </x:row>
    <x:row r="412" ht="19" customHeight="1">
      <x:c r="A412" s="7" t="n">
        <x:v>45352</x:v>
      </x:c>
      <x:c r="B412" s="8" t="n">
        <x:v>3.25896182369</x:v>
      </x:c>
      <x:c r="C412" s="8" t="n">
        <x:v>3.30852502982</x:v>
      </x:c>
      <x:c r="D412" s="8" t="n">
        <x:v>4.65073358252</x:v>
      </x:c>
      <x:c r="E412" s="8" t="n">
        <x:v>11.3252077496</x:v>
      </x:c>
      <x:c r="F412" s="8" t="n">
        <x:v>142.41</x:v>
      </x:c>
      <x:c r="G412" s="8" t="n">
        <x:v>67.2116</x:v>
      </x:c>
      <x:c r="H412" s="8" t="n">
        <x:v>36.0086</x:v>
      </x:c>
      <x:c r="I412" s="8" t="n">
        <x:v>9.8144</x:v>
      </x:c>
      <x:c r="J412" s="8" t="n">
        <x:v>3.7904</x:v>
      </x:c>
      <x:c r="K412" s="8" t="n">
        <x:v>3.5873</x:v>
      </x:c>
      <x:c r="L412" s="8" t="n">
        <x:v>1.3537</x:v>
      </x:c>
      <x:c r="M412" s="8" t="n">
        <x:v>3.5196</x:v>
      </x:c>
      <x:c r="N412" s="8" t="n">
        <x:v>17.1244</x:v>
      </x:c>
    </x:row>
    <x:row r="413" ht="19" customHeight="1">
      <x:c r="A413" s="7" t="n">
        <x:v>45383</x:v>
      </x:c>
      <x:c r="B413" s="8" t="n">
        <x:v>3.30565396496</x:v>
      </x:c>
      <x:c r="C413" s="8" t="n">
        <x:v>3.35803629706</x:v>
      </x:c>
      <x:c r="D413" s="8" t="n">
        <x:v>4.65417217852</x:v>
      </x:c>
      <x:c r="E413" s="8" t="n">
        <x:v>11.3187458701</x:v>
      </x:c>
      <x:c r="F413" s="8" t="n">
        <x:v>172.93</x:v>
      </x:c>
      <x:c r="G413" s="8" t="n">
        <x:v>104.2083</x:v>
      </x:c>
      <x:c r="H413" s="8" t="n">
        <x:v>34.8433</x:v>
      </x:c>
      <x:c r="I413" s="8" t="n">
        <x:v>8.005</x:v>
      </x:c>
      <x:c r="J413" s="8" t="n">
        <x:v>4.4314</x:v>
      </x:c>
      <x:c r="K413" s="8" t="n">
        <x:v>1.7154</x:v>
      </x:c>
      <x:c r="L413" s="8" t="n">
        <x:v>0.7862</x:v>
      </x:c>
      <x:c r="M413" s="8" t="n">
        <x:v>2.7875</x:v>
      </x:c>
      <x:c r="N413" s="8" t="n">
        <x:v>16.153</x:v>
      </x:c>
    </x:row>
    <x:row r="414" ht="19" customHeight="1">
      <x:c r="A414" s="7" t="n">
        <x:v>45413</x:v>
      </x:c>
      <x:c r="B414" s="8" t="n">
        <x:v>3.24068464969</x:v>
      </x:c>
      <x:c r="C414" s="8" t="n">
        <x:v>3.26207385604</x:v>
      </x:c>
      <x:c r="D414" s="8" t="n">
        <x:v>4.65748798432</x:v>
      </x:c>
      <x:c r="E414" s="8" t="n">
        <x:v>11.3100789337</x:v>
      </x:c>
      <x:c r="F414" s="8" t="n">
        <x:v>174.4</x:v>
      </x:c>
      <x:c r="G414" s="8" t="n">
        <x:v>92.2115</x:v>
      </x:c>
      <x:c r="H414" s="8" t="n">
        <x:v>41.6127</x:v>
      </x:c>
      <x:c r="I414" s="8" t="n">
        <x:v>8.5714</x:v>
      </x:c>
      <x:c r="J414" s="8" t="n">
        <x:v>3.6636</x:v>
      </x:c>
      <x:c r="K414" s="8" t="n">
        <x:v>3.7327</x:v>
      </x:c>
      <x:c r="L414" s="8" t="n">
        <x:v>1.2442</x:v>
      </x:c>
      <x:c r="M414" s="8" t="n">
        <x:v>5.1152</x:v>
      </x:c>
      <x:c r="N414" s="8" t="n">
        <x:v>18.2488</x:v>
      </x:c>
    </x:row>
    <x:row r="415" ht="19" customHeight="1">
      <x:c r="A415" s="7" t="n">
        <x:v>45444</x:v>
      </x:c>
      <x:c r="B415" s="8" t="n">
        <x:v>3.23797392417</x:v>
      </x:c>
      <x:c r="C415" s="8" t="n">
        <x:v>3.26858981989</x:v>
      </x:c>
      <x:c r="D415" s="8" t="n">
        <x:v>4.65908554348</x:v>
      </x:c>
      <x:c r="E415" s="8" t="n">
        <x:v>11.3063338222</x:v>
      </x:c>
      <x:c r="F415" s="8" t="n">
        <x:v>128.28</x:v>
      </x:c>
      <x:c r="G415" s="8" t="n">
        <x:v>64.773</x:v>
      </x:c>
      <x:c r="H415" s="8" t="n">
        <x:v>30.1711</x:v>
      </x:c>
      <x:c r="I415" s="8" t="n">
        <x:v>5.4857</x:v>
      </x:c>
      <x:c r="J415" s="8" t="n">
        <x:v>3.9384</x:v>
      </x:c>
      <x:c r="K415" s="8" t="n">
        <x:v>3.7274</x:v>
      </x:c>
      <x:c r="L415" s="8" t="n">
        <x:v>0.633</x:v>
      </x:c>
      <x:c r="M415" s="8" t="n">
        <x:v>2.8132</x:v>
      </x:c>
      <x:c r="N415" s="8" t="n">
        <x:v>16.7383</x:v>
      </x:c>
    </x:row>
    <x:row r="416" ht="19" customHeight="1">
      <x:c r="A416" s="7" t="n">
        <x:v>45474</x:v>
      </x:c>
      <x:c r="B416" s="8" t="n">
        <x:v>3.26142799805</x:v>
      </x:c>
      <x:c r="C416" s="8" t="n">
        <x:v>3.30156516155</x:v>
      </x:c>
      <x:c r="D416" s="8" t="n">
        <x:v>4.66074649708</x:v>
      </x:c>
      <x:c r="E416" s="8" t="n">
        <x:v>11.3100233648</x:v>
      </x:c>
      <x:c r="F416" s="8" t="n">
        <x:v>138.87</x:v>
      </x:c>
      <x:c r="G416" s="8" t="n">
        <x:v>55.0495</x:v>
      </x:c>
      <x:c r="H416" s="8" t="n">
        <x:v>32.1181</x:v>
      </x:c>
      <x:c r="I416" s="8" t="n">
        <x:v>22.8601</x:v>
      </x:c>
      <x:c r="J416" s="8" t="n">
        <x:v>5.9821</x:v>
      </x:c>
      <x:c r="K416" s="8" t="n">
        <x:v>0.4985</x:v>
      </x:c>
      <x:c r="L416" s="8" t="n">
        <x:v>0.5697</x:v>
      </x:c>
      <x:c r="M416" s="8" t="n">
        <x:v>1.9228</x:v>
      </x:c>
      <x:c r="N416" s="8" t="n">
        <x:v>19.8691</x:v>
      </x:c>
    </x:row>
    <x:row r="417" ht="19" customHeight="1">
      <x:c r="A417" s="7" t="n">
        <x:v>45505</x:v>
      </x:c>
      <x:c r="B417" s="8" t="n">
        <x:v>3.19522068552</x:v>
      </x:c>
      <x:c r="C417" s="8" t="n">
        <x:v>3.24209630729</x:v>
      </x:c>
      <x:c r="D417" s="8" t="n">
        <x:v>4.66429254957</x:v>
      </x:c>
      <x:c r="E417" s="8" t="n">
        <x:v>11.3127041764</x:v>
      </x:c>
      <x:c r="F417" s="8" t="n">
        <x:v>163.36</x:v>
      </x:c>
      <x:c r="G417" s="8" t="n">
        <x:v>78.851</x:v>
      </x:c>
      <x:c r="H417" s="8" t="n">
        <x:v>39.894</x:v>
      </x:c>
      <x:c r="I417" s="8" t="n">
        <x:v>15.208</x:v>
      </x:c>
      <x:c r="J417" s="8" t="n">
        <x:v>6.4868</x:v>
      </x:c>
      <x:c r="K417" s="8" t="n">
        <x:v>2.0181</x:v>
      </x:c>
      <x:c r="L417" s="8" t="n">
        <x:v>2.883</x:v>
      </x:c>
      <x:c r="M417" s="8" t="n">
        <x:v>2.6668</x:v>
      </x:c>
      <x:c r="N417" s="8" t="n">
        <x:v>15.3522</x:v>
      </x:c>
    </x:row>
    <x:row r="418" ht="19" customHeight="1">
      <x:c r="A418" s="7" t="n">
        <x:v>45536</x:v>
      </x:c>
      <x:c r="B418" s="8" t="n">
        <x:v>3.10536665227</x:v>
      </x:c>
      <x:c r="C418" s="8" t="n">
        <x:v>3.1577840299</x:v>
      </x:c>
      <x:c r="D418" s="8" t="n">
        <x:v>4.66248900096</x:v>
      </x:c>
      <x:c r="E418" s="8" t="n">
        <x:v>11.2994328155</x:v>
      </x:c>
      <x:c r="F418" s="8" t="n">
        <x:v>163.06</x:v>
      </x:c>
      <x:c r="G418" s="8" t="n">
        <x:v>82.9501</x:v>
      </x:c>
      <x:c r="H418" s="8" t="n">
        <x:v>31.4613</x:v>
      </x:c>
      <x:c r="I418" s="8" t="n">
        <x:v>18.134</x:v>
      </x:c>
      <x:c r="J418" s="8" t="n">
        <x:v>4.0783</x:v>
      </x:c>
      <x:c r="K418" s="8" t="n">
        <x:v>3.2772</x:v>
      </x:c>
      <x:c r="L418" s="8" t="n">
        <x:v>0.7283</x:v>
      </x:c>
      <x:c r="M418" s="8" t="n">
        <x:v>6.4816</x:v>
      </x:c>
      <x:c r="N418" s="8" t="n">
        <x:v>15.9491</x:v>
      </x:c>
    </x:row>
    <x:row r="419" ht="19" customHeight="1">
      <x:c r="A419" s="7" t="n">
        <x:v>45566</x:v>
      </x:c>
      <x:c r="B419" s="8" t="n">
        <x:v>3.12712359672</x:v>
      </x:c>
      <x:c r="C419" s="8" t="n">
        <x:v>3.17644940611</x:v>
      </x:c>
      <x:c r="D419" s="8" t="n">
        <x:v>4.66913121459</x:v>
      </x:c>
      <x:c r="E419" s="8" t="n">
        <x:v>11.3135734538</x:v>
      </x:c>
      <x:c r="F419" s="8" t="n">
        <x:v>163.78</x:v>
      </x:c>
      <x:c r="G419" s="8" t="n">
        <x:v>106.5447</x:v>
      </x:c>
      <x:c r="H419" s="8" t="n">
        <x:v>26.8641</x:v>
      </x:c>
      <x:c r="I419" s="8" t="n">
        <x:v>9.0482</x:v>
      </x:c>
      <x:c r="J419" s="8" t="n">
        <x:v>1.7535</x:v>
      </x:c>
      <x:c r="K419" s="8" t="n">
        <x:v>4.2085</x:v>
      </x:c>
      <x:c r="L419" s="8" t="n">
        <x:v>0.491</x:v>
      </x:c>
      <x:c r="M419" s="8" t="n">
        <x:v>2.7355</x:v>
      </x:c>
      <x:c r="N419" s="8" t="n">
        <x:v>12.1344</x:v>
      </x:c>
    </x:row>
    <x:row r="420" ht="19" customHeight="1">
      <x:c r="A420" s="7" t="n">
        <x:v>45597</x:v>
      </x:c>
      <x:c r="B420" s="8" t="n">
        <x:v>3.09553918181</x:v>
      </x:c>
      <x:c r="C420" s="8" t="n">
        <x:v>3.15654215361</x:v>
      </x:c>
      <x:c r="D420" s="8" t="n">
        <x:v>4.66918290605</x:v>
      </x:c>
      <x:c r="E420" s="8" t="n">
        <x:v>11.3161055882</x:v>
      </x:c>
      <x:c r="F420" s="8" t="n">
        <x:v>141.74</x:v>
      </x:c>
      <x:c r="G420" s="8" t="n">
        <x:v>68.8837</x:v>
      </x:c>
      <x:c r="H420" s="8" t="n">
        <x:v>39.8688</x:v>
      </x:c>
      <x:c r="I420" s="8" t="n">
        <x:v>7.7326</x:v>
      </x:c>
      <x:c r="J420" s="8" t="n">
        <x:v>3.4052</x:v>
      </x:c>
      <x:c r="K420" s="8" t="n">
        <x:v>2.1282</x:v>
      </x:c>
      <x:c r="L420" s="8" t="n">
        <x:v>1.2769</x:v>
      </x:c>
      <x:c r="M420" s="8" t="n">
        <x:v>4.1855</x:v>
      </x:c>
      <x:c r="N420" s="8" t="n">
        <x:v>14.2591</x:v>
      </x:c>
    </x:row>
    <x:row r="421" ht="19" customHeight="1">
      <x:c r="A421" s="7" t="n">
        <x:v>45627</x:v>
      </x:c>
      <x:c r="B421" s="8" t="n">
        <x:v>3.09457292229</x:v>
      </x:c>
      <x:c r="C421" s="8" t="n">
        <x:v>3.14653627166</x:v>
      </x:c>
      <x:c r="D421" s="8" t="n">
        <x:v>4.67521706375</x:v>
      </x:c>
      <x:c r="E421" s="8" t="n">
        <x:v>11.3212546464</x:v>
      </x:c>
      <x:c r="F421" s="8" t="n">
        <x:v>170.84</x:v>
      </x:c>
      <x:c r="G421" s="8" t="n">
        <x:v>59.4876</x:v>
      </x:c>
      <x:c r="H421" s="8" t="n">
        <x:v>38.0392</x:v>
      </x:c>
      <x:c r="I421" s="8" t="n">
        <x:v>14.3488</x:v>
      </x:c>
      <x:c r="J421" s="8" t="n">
        <x:v>23.9893</x:v>
      </x:c>
      <x:c r="K421" s="8" t="n">
        <x:v>1.9431</x:v>
      </x:c>
      <x:c r="L421" s="8" t="n">
        <x:v>12.032</x:v>
      </x:c>
      <x:c r="M421" s="8" t="n">
        <x:v>5.6797</x:v>
      </x:c>
      <x:c r="N421" s="8" t="n">
        <x:v>15.3203</x:v>
      </x:c>
    </x:row>
    <x:row r="422" ht="19" customHeight="1">
      <x:c r="A422" s="7" t="n">
        <x:v>45658</x:v>
      </x:c>
      <x:c r="B422" s="8" t="n">
        <x:v>3.1674077702</x:v>
      </x:c>
      <x:c r="C422" s="8" t="n">
        <x:v>3.21296109458</x:v>
      </x:c>
      <x:c r="D422" s="8" t="n">
        <x:v>4.67621166217</x:v>
      </x:c>
      <x:c r="E422" s="8" t="n">
        <x:v>11.3163061344</x:v>
      </x:c>
      <x:c r="F422" s="8" t="n">
        <x:v>168.78</x:v>
      </x:c>
      <x:c r="G422" s="8" t="n">
        <x:v>59.7852</x:v>
      </x:c>
      <x:c r="H422" s="8" t="n">
        <x:v>50.2887</x:v>
      </x:c>
      <x:c r="I422" s="8" t="n">
        <x:v>18.5615</x:v>
      </x:c>
      <x:c r="J422" s="8" t="n">
        <x:v>6.7627</x:v>
      </x:c>
      <x:c r="K422" s="8" t="n">
        <x:v>2.2303</x:v>
      </x:c>
      <x:c r="L422" s="8" t="n">
        <x:v>2.3741</x:v>
      </x:c>
      <x:c r="M422" s="8" t="n">
        <x:v>11.1513</x:v>
      </x:c>
      <x:c r="N422" s="8" t="n">
        <x:v>17.6262</x:v>
      </x:c>
    </x:row>
    <x:row r="423" ht="19" customHeight="1">
      <x:c r="A423" s="7" t="n">
        <x:v>45689</x:v>
      </x:c>
      <x:c r="B423" s="8" t="n">
        <x:v>3.10796976078</x:v>
      </x:c>
      <x:c r="C423" s="8" t="n">
        <x:v>3.16119045699</x:v>
      </x:c>
      <x:c r="D423" s="8" t="n">
        <x:v>4.68261390847</x:v>
      </x:c>
      <x:c r="E423" s="8" t="n">
        <x:v>11.319563389</x:v>
      </x:c>
      <x:c r="F423" s="8" t="n">
        <x:v>181.79</x:v>
      </x:c>
      <x:c r="G423" s="8" t="n">
        <x:v>48.4773</x:v>
      </x:c>
      <x:c r="H423" s="8" t="n">
        <x:v>85.8763</x:v>
      </x:c>
      <x:c r="I423" s="8" t="n">
        <x:v>9.8144</x:v>
      </x:c>
      <x:c r="J423" s="8" t="n">
        <x:v>2.3049</x:v>
      </x:c>
      <x:c r="K423" s="8" t="n">
        <x:v>1.7101</x:v>
      </x:c>
      <x:c r="L423" s="8" t="n">
        <x:v>1.6357</x:v>
      </x:c>
      <x:c r="M423" s="8" t="n">
        <x:v>14.9447</x:v>
      </x:c>
      <x:c r="N423" s="8" t="n">
        <x:v>17.0265</x:v>
      </x:c>
    </x:row>
    <x:row r="424" ht="19" customHeight="1">
      <x:c r="A424" s="7" t="n">
        <x:v>45717</x:v>
      </x:c>
      <x:c r="B424" s="8" t="n">
        <x:v>3.06055219419</x:v>
      </x:c>
      <x:c r="C424" s="8" t="n">
        <x:v>3.12427524517</x:v>
      </x:c>
      <x:c r="D424" s="8" t="n">
        <x:v>4.68761461829</x:v>
      </x:c>
      <x:c r="E424" s="8" t="n">
        <x:v>11.3330923867</x:v>
      </x:c>
      <x:c r="F424" s="8" t="n">
        <x:v>187.92</x:v>
      </x:c>
      <x:c r="G424" s="8" t="n">
        <x:v>57.9353</x:v>
      </x:c>
      <x:c r="H424" s="8" t="n">
        <x:v>75.8132</x:v>
      </x:c>
      <x:c r="I424" s="8" t="n">
        <x:v>3.2261</x:v>
      </x:c>
      <x:c r="J424" s="8" t="n">
        <x:v>9.4767</x:v>
      </x:c>
      <x:c r="K424" s="8" t="n">
        <x:v>2.6212</x:v>
      </x:c>
      <x:c r="L424" s="8" t="n">
        <x:v>1.277</x:v>
      </x:c>
      <x:c r="M424" s="8" t="n">
        <x:v>20.9696</x:v>
      </x:c>
      <x:c r="N424" s="8" t="n">
        <x:v>16.6009</x:v>
      </x:c>
    </x:row>
    <x:row r="425" ht="19" customHeight="1">
      <x:c r="A425" s="7" t="n">
        <x:v>45748</x:v>
      </x:c>
      <x:c r="B425" s="8" t="n">
        <x:v>2.98757551409</x:v>
      </x:c>
      <x:c r="C425" s="8" t="n">
        <x:v>3.05732353003</x:v>
      </x:c>
      <x:c r="D425" s="8" t="n">
        <x:v>4.68570335325</x:v>
      </x:c>
      <x:c r="E425" s="8" t="n">
        <x:v>11.3263340373</x:v>
      </x:c>
      <x:c r="F425" s="8" t="n">
        <x:v>179.63</x:v>
      </x:c>
      <x:c r="G425" s="8" t="n">
        <x:v>47.5339</x:v>
      </x:c>
      <x:c r="H425" s="8" t="n">
        <x:v>53.2173</x:v>
      </x:c>
      <x:c r="I425" s="8" t="n">
        <x:v>7.0956</x:v>
      </x:c>
      <x:c r="J425" s="8" t="n">
        <x:v>4.2712</x:v>
      </x:c>
      <x:c r="K425" s="8" t="n">
        <x:v>3.3756</x:v>
      </x:c>
      <x:c r="L425" s="8" t="n">
        <x:v>1.9289</x:v>
      </x:c>
      <x:c r="M425" s="8" t="n">
        <x:v>48.4295</x:v>
      </x:c>
      <x:c r="N425" s="8" t="n">
        <x:v>13.7779</x:v>
      </x:c>
    </x:row>
    <x:row r="426" ht="19" customHeight="1">
      <x:c r="A426" s="7" t="n">
        <x:v>45778</x:v>
      </x:c>
      <x:c r="B426" s="8" t="n">
        <x:v>2.96478613301</x:v>
      </x:c>
      <x:c r="C426" s="8" t="n">
        <x:v>3.00080329411</x:v>
      </x:c>
      <x:c r="D426" s="8" t="n">
        <x:v>4.68955258929</x:v>
      </x:c>
      <x:c r="E426" s="8" t="n">
        <x:v>11.3274164856</x:v>
      </x:c>
      <x:c r="F426" s="8" t="n">
        <x:v>172.98</x:v>
      </x:c>
      <x:c r="G426" s="8" t="n">
        <x:v>62.4822</x:v>
      </x:c>
      <x:c r="H426" s="8" t="n">
        <x:v>57.7289</x:v>
      </x:c>
      <x:c r="I426" s="8" t="n">
        <x:v>12.5378</x:v>
      </x:c>
      <x:c r="J426" s="8" t="n">
        <x:v>3.3756</x:v>
      </x:c>
      <x:c r="K426" s="8" t="n">
        <x:v>1.4467</x:v>
      </x:c>
      <x:c r="L426" s="8" t="n">
        <x:v>0.2067</x:v>
      </x:c>
      <x:c r="M426" s="8" t="n">
        <x:v>17.2911</x:v>
      </x:c>
      <x:c r="N426" s="8" t="n">
        <x:v>17.9111</x:v>
      </x:c>
    </x:row>
    <x:row r="427" ht="19" customHeight="1">
      <x:c r="A427" s="7" t="n">
        <x:v>45809</x:v>
      </x:c>
      <x:c r="B427" s="8" t="n">
        <x:v>3.05437942542</x:v>
      </x:c>
      <x:c r="C427" s="8" t="n">
        <x:v>3.10123277661</x:v>
      </x:c>
      <x:c r="D427" s="8" t="n">
        <x:v>4.69158116842</x:v>
      </x:c>
      <x:c r="E427" s="8" t="n">
        <x:v>11.3404357732</x:v>
      </x:c>
      <x:c r="F427" s="8" t="n">
        <x:v>212.69</x:v>
      </x:c>
      <x:c r="G427" s="8" t="n">
        <x:v>118.1611</x:v>
      </x:c>
      <x:c r="H427" s="8" t="n">
        <x:v>42.6392</x:v>
      </x:c>
      <x:c r="I427" s="8" t="n">
        <x:v>14.8876</x:v>
      </x:c>
      <x:c r="J427" s="8" t="n">
        <x:v>6.2875</x:v>
      </x:c>
      <x:c r="K427" s="8" t="n">
        <x:v>5.4925</x:v>
      </x:c>
      <x:c r="L427" s="8" t="n">
        <x:v>0.2891</x:v>
      </x:c>
      <x:c r="M427" s="8" t="n">
        <x:v>8.8169</x:v>
      </x:c>
      <x:c r="N427" s="8" t="n">
        <x:v>16.1162</x:v>
      </x:c>
    </x:row>
    <x:row r="428" ht="19" customHeight="1">
      <x:c r="A428" s="7" t="n">
        <x:v>45839</x:v>
      </x:c>
      <x:c r="B428" s="8" t="n">
        <x:v>3.05532054852</x:v>
      </x:c>
      <x:c r="C428" s="8" t="n">
        <x:v>3.09333703209</x:v>
      </x:c>
      <x:c r="D428" s="8" t="n">
        <x:v>4.69392945368</x:v>
      </x:c>
      <x:c r="E428" s="8" t="n">
        <x:v>11.3452455712</x:v>
      </x:c>
      <x:c r="F428" s="8" t="n">
        <x:v>151.5</x:v>
      </x:c>
      <x:c r="G428" s="8" t="n">
        <x:v>61.8326</x:v>
      </x:c>
      <x:c r="H428" s="8" t="n">
        <x:v>41.3797</x:v>
      </x:c>
      <x:c r="I428" s="8" t="n">
        <x:v>7.1111</x:v>
      </x:c>
      <x:c r="J428" s="8" t="n">
        <x:v>4.6053</x:v>
      </x:c>
      <x:c r="K428" s="8" t="n">
        <x:v>1.5577</x:v>
      </x:c>
      <x:c r="L428" s="8" t="n">
        <x:v>0</x:v>
      </x:c>
      <x:c r="M428" s="8" t="n">
        <x:v>13.9513</x:v>
      </x:c>
      <x:c r="N428" s="8" t="n">
        <x:v>21.0624</x:v>
      </x:c>
    </x:row>
    <x:row r="429" ht="19" customHeight="1">
      <x:c r="A429" s="7" t="n">
        <x:v>45870</x:v>
      </x:c>
      <x:c r="B429" s="8" t="n">
        <x:v>2.99884844044</x:v>
      </x:c>
      <x:c r="C429" s="8" t="n">
        <x:v>3.04421145028</x:v>
      </x:c>
      <x:c r="D429" s="8" t="n">
        <x:v>4.69198876417</x:v>
      </x:c>
      <x:c r="E429" s="8" t="n">
        <x:v>11.3509094886</x:v>
      </x:c>
      <x:c r="F429" s="8" t="n">
        <x:v>154.08</x:v>
      </x:c>
      <x:c r="G429" s="8" t="n">
        <x:v>60.8801</x:v>
      </x:c>
      <x:c r="H429" s="8" t="n">
        <x:v>48.6351</x:v>
      </x:c>
      <x:c r="I429" s="8" t="n">
        <x:v>6.5537</x:v>
      </x:c>
      <x:c r="J429" s="8" t="n">
        <x:v>3.3113</x:v>
      </x:c>
      <x:c r="K429" s="8" t="n">
        <x:v>3.3113</x:v>
      </x:c>
      <x:c r="L429" s="8" t="n">
        <x:v>0.8968</x:v>
      </x:c>
      <x:c r="M429" s="8" t="n">
        <x:v>14.1421</x:v>
      </x:c>
      <x:c r="N429" s="8" t="n">
        <x:v>16.3497</x:v>
      </x:c>
    </x:row>
    <x:row r="430" ht="19" customHeight="1">
      <x:c r="A430" s="7" t="n">
        <x:v>45901</x:v>
      </x:c>
      <x:c r="B430" s="8" t="n">
        <x:v>2.98192867108</x:v>
      </x:c>
      <x:c r="C430" s="8" t="n">
        <x:v>3.04303141865</x:v>
      </x:c>
      <x:c r="D430" s="8" t="n">
        <x:v>4.70071766268</x:v>
      </x:c>
      <x:c r="E430" s="8" t="n">
        <x:v>11.3640162695</x:v>
      </x:c>
      <x:c r="F430" s="8" t="n">
        <x:v>164.41</x:v>
      </x:c>
      <x:c r="G430" s="8" t="n">
        <x:v>64.0326</x:v>
      </x:c>
      <x:c r="H430" s="8" t="n">
        <x:v>49.9482</x:v>
      </x:c>
      <x:c r="I430" s="8" t="n">
        <x:v>18.138</x:v>
      </x:c>
      <x:c r="J430" s="8" t="n">
        <x:v>6.4582</x:v>
      </x:c>
      <x:c r="K430" s="8" t="n">
        <x:v>2.2673</x:v>
      </x:c>
      <x:c r="L430" s="8" t="n">
        <x:v>3.2978</x:v>
      </x:c>
      <x:c r="M430" s="8" t="n">
        <x:v>7.214</x:v>
      </x:c>
      <x:c r="N430" s="8" t="n">
        <x:v>13.0539</x:v>
      </x:c>
    </x:row>
    <x:row r="431" ht="19" customHeight="1">
      <x:c r="A431" s="7" t="n">
        <x:v>45931</x:v>
      </x:c>
      <x:c r="B431" s="8">
        <x:v>2.93147993732</x:v>
      </x:c>
      <x:c r="C431" s="8">
        <x:v>2.98969616632</x:v>
      </x:c>
      <x:c r="D431" s="8" t="n">
        <x:v>4.69732387877</x:v>
      </x:c>
      <x:c r="E431" s="8" t="n">
        <x:v>11.3633838291</x:v>
      </x:c>
      <x:c r="F431" s="8" t="n">
        <x:v>174.93</x:v>
      </x:c>
      <x:c r="G431" s="8" t="n">
        <x:v>71.529</x:v>
      </x:c>
      <x:c r="H431" s="8" t="n">
        <x:v>48.1074</x:v>
      </x:c>
      <x:c r="I431" s="8" t="n">
        <x:v>8.9162</x:v>
      </x:c>
      <x:c r="J431" s="8" t="n">
        <x:v>4.8573</x:v>
      </x:c>
      <x:c r="K431" s="8" t="n">
        <x:v>4.1919</x:v>
      </x:c>
      <x:c r="L431" s="8" t="n">
        <x:v>2.1958</x:v>
      </x:c>
      <x:c r="M431" s="8" t="n">
        <x:v>14.3723</x:v>
      </x:c>
      <x:c r="N431" s="8" t="n">
        <x:v>20.76</x:v>
      </x:c>
    </x:row>
    <x:row r="432" ht="19" customHeight="1">
      <x:c r="A432" s="7" t="n">
        <x:v>45962</x:v>
      </x:c>
      <x:c r="B432" s="8" t="n">
        <x:v>2.91649523885</x:v>
      </x:c>
      <x:c r="C432" s="8" t="n">
        <x:v>2.97690436664</x:v>
      </x:c>
      <x:c r="D432" s="8" t="n">
        <x:v>4.70080248469</x:v>
      </x:c>
      <x:c r="E432" s="8" t="n">
        <x:v>11.3630307085</x:v>
      </x:c>
      <x:c r="F432" s="8" t="n">
        <x:v>132.3</x:v>
      </x:c>
      <x:c r="G432" s="8" t="n">
        <x:v>38.0858</x:v>
      </x:c>
      <x:c r="H432" s="8" t="n">
        <x:v>47.6966</x:v>
      </x:c>
      <x:c r="I432" s="8" t="n">
        <x:v>13.2193</x:v>
      </x:c>
      <x:c r="J432" s="8" t="n">
        <x:v>7.1456</x:v>
      </x:c>
      <x:c r="K432" s="8" t="n">
        <x:v>4.7875</x:v>
      </x:c>
      <x:c r="L432" s="8" t="n">
        <x:v>1.0718</x:v>
      </x:c>
      <x:c r="M432" s="8" t="n">
        <x:v>4.9304</x:v>
      </x:c>
      <x:c r="N432" s="8" t="n">
        <x:v>15.3629</x:v>
      </x:c>
    </x:row>
    <x:row r="433" ht="19" customHeight="1">
      <x:c r="A433" s="7" t="n">
        <x:v>45992</x:v>
      </x:c>
      <x:c r="B433" s="8" t="n">
        <x:v>2.87810335247</x:v>
      </x:c>
      <x:c r="C433" s="8" t="n">
        <x:v>2.95398406915</x:v>
      </x:c>
      <x:c r="D433" s="8" t="n">
        <x:v>4.70737872595</x:v>
      </x:c>
      <x:c r="E433" s="8" t="n">
        <x:v>11.3608404568</x:v>
      </x:c>
      <x:c r="F433" s="8" t="n">
        <x:v>163.92</x:v>
      </x:c>
      <x:c r="G433" s="8" t="n">
        <x:v>60.8618</x:v>
      </x:c>
      <x:c r="H433" s="8" t="n">
        <x:v>46.0002</x:v>
      </x:c>
      <x:c r="I433" s="8" t="n">
        <x:v>26.3617</x:v>
      </x:c>
      <x:c r="J433" s="8" t="n">
        <x:v>3.3616</x:v>
      </x:c>
      <x:c r="K433" s="8" t="n">
        <x:v>1.8577</x:v>
      </x:c>
      <x:c r="L433" s="8" t="n">
        <x:v>0.7962</x:v>
      </x:c>
      <x:c r="M433" s="8" t="n">
        <x:v>7.9616</x:v>
      </x:c>
      <x:c r="N433" s="8" t="n">
        <x:v>16.7193</x:v>
      </x:c>
    </x:row>
    <x:row r="434" ht="19" customHeight="1">
      <x:c r="A434" s="7" t="n">
        <x:v>46023</x:v>
      </x:c>
      <x:c r="B434" s="8" t="n">
        <x:v>2.91148175508</x:v>
      </x:c>
      <x:c r="C434" s="8" t="n">
        <x:v>3.01517532587</x:v>
      </x:c>
      <x:c r="D434" s="8" t="n">
        <x:v>4.70963666293</x:v>
      </x:c>
      <x:c r="E434" s="8" t="n">
        <x:v>11.3451403694</x:v>
      </x:c>
      <x:c r="F434" s="8" t="n">
        <x:v>198.62</x:v>
      </x:c>
      <x:c r="G434" s="8" t="n">
        <x:v>67.7802</x:v>
      </x:c>
      <x:c r="H434" s="8" t="n">
        <x:v>67.4984</x:v>
      </x:c>
      <x:c r="I434" s="8" t="n">
        <x:v>5.2139</x:v>
      </x:c>
      <x:c r="J434" s="8" t="n">
        <x:v>12.8233</x:v>
      </x:c>
      <x:c r="K434" s="8" t="n">
        <x:v>1.0569</x:v>
      </x:c>
      <x:c r="L434" s="8" t="n">
        <x:v>14.2324</x:v>
      </x:c>
      <x:c r="M434" s="8" t="n">
        <x:v>10.5686</x:v>
      </x:c>
      <x:c r="N434" s="8" t="n">
        <x:v>19.4463</x:v>
      </x:c>
    </x:row>
    <x:row r="435" ht="19" customHeight="1">
      <x:c r="A435" s="7" t="n">
        <x:v>46054</x:v>
      </x:c>
      <x:c r="B435" s="8" t="n">
        <x:v>2.98062452632</x:v>
      </x:c>
      <x:c r="C435" s="8" t="n">
        <x:v>3.07493365564</x:v>
      </x:c>
      <x:c r="D435" s="8" t="n">
        <x:v>4.71610781829</x:v>
      </x:c>
      <x:c r="E435" s="8" t="n">
        <x:v>11.3697650092</x:v>
      </x:c>
      <x:c r="F435" s="8" t="n">
        <x:v>145.92</x:v>
      </x:c>
      <x:c r="G435" s="8" t="n">
        <x:v>50.3009</x:v>
      </x:c>
      <x:c r="H435" s="8" t="n">
        <x:v>50.9336</x:v>
      </x:c>
      <x:c r="I435" s="8" t="n">
        <x:v>6.169</x:v>
      </x:c>
      <x:c r="J435" s="8" t="n">
        <x:v>4.7454</x:v>
      </x:c>
      <x:c r="K435" s="8" t="n">
        <x:v>8.6998</x:v>
      </x:c>
      <x:c r="L435" s="8" t="n">
        <x:v>1.9772</x:v>
      </x:c>
      <x:c r="M435" s="8" t="n">
        <x:v>6.2481</x:v>
      </x:c>
      <x:c r="N435" s="8" t="n">
        <x:v>16.846</x:v>
      </x:c>
    </x:row>
    <x:row r="436" ht="19" customHeight="1">
      <x:c r="A436" s="7" t="n">
        <x:v>46082</x:v>
      </x:c>
      <x:c r="B436" s="8" t="n">
        <x:v>3.32021668281</x:v>
      </x:c>
      <x:c r="C436" s="8" t="n">
        <x:v>3.441180375</x:v>
      </x:c>
      <x:c r="D436" s="8" t="n">
        <x:v>4.6975113981</x:v>
      </x:c>
      <x:c r="E436" s="8"/>
      <x:c r="F436" s="8" t="n">
        <x:v>279.73</x:v>
      </x:c>
      <x:c r="G436" s="8" t="n">
        <x:v>220.048</x:v>
      </x:c>
      <x:c r="H436" s="8" t="n">
        <x:v>23.9668</x:v>
      </x:c>
      <x:c r="I436" s="8" t="n">
        <x:v>13.2757</x:v>
      </x:c>
      <x:c r="J436" s="8" t="n">
        <x:v>1.0574</x:v>
      </x:c>
      <x:c r="K436" s="8" t="n">
        <x:v>1.8797</x:v>
      </x:c>
      <x:c r="L436" s="8" t="n">
        <x:v>0.8224</x:v>
      </x:c>
      <x:c r="M436" s="8" t="n">
        <x:v>8.4589</x:v>
      </x:c>
      <x:c r="N436" s="8" t="n">
        <x:v>10.2211</x:v>
      </x:c>
    </x:row>
    <x:row r="437" ht="19" customHeight="1">
      <x:c r="A437" s="7" t="n">
        <x:v>46113</x:v>
      </x:c>
      <x:c r="B437" s="8" t="n">
        <x:v>3.40717514115</x:v>
      </x:c>
      <x:c r="C437" s="8" t="n">
        <x:v>3.5634595648</x:v>
      </x:c>
      <x:c r="D437" s="8" t="n">
        <x:v>4.69802890135</x:v>
      </x:c>
      <x:c r="E437" s="8"/>
      <x:c r="F437" s="8" t="n">
        <x:v>232.36</x:v>
      </x:c>
      <x:c r="G437" s="8" t="n">
        <x:v>146.4622</x:v>
      </x:c>
      <x:c r="H437" s="8" t="n">
        <x:v>44.9215</x:v>
      </x:c>
      <x:c r="I437" s="8" t="n">
        <x:v>11.4899</x:v>
      </x:c>
      <x:c r="J437" s="8" t="n">
        <x:v>2.6302</x:v>
      </x:c>
      <x:c r="K437" s="8" t="n">
        <x:v>3.4608</x:v>
      </x:c>
      <x:c r="L437" s="8" t="n">
        <x:v>1.2459</x:v>
      </x:c>
      <x:c r="M437" s="8" t="n">
        <x:v>7.2677</x:v>
      </x:c>
      <x:c r="N437" s="8" t="n">
        <x:v>14.8816</x:v>
      </x:c>
    </x:row>
    <x:row r="438" ht="19" customHeight="1">
      <x:c r="A438" s="7" t="n">
        <x:v>46143</x:v>
      </x:c>
      <x:c r="B438" s="8" t="n">
        <x:v>3.42033858083</x:v>
      </x:c>
      <x:c r="C438" s="8" t="n">
        <x:v>3.46822845969</x:v>
      </x:c>
      <x:c r="D438" s="8" t="n">
        <x:v>4.69895314412</x:v>
      </x:c>
      <x:c r="E438" s="8"/>
      <x:c r="F438" s="8" t="n">
        <x:v>192.7</x:v>
      </x:c>
      <x:c r="G438" s="8" t="n">
        <x:v>103.5576</x:v>
      </x:c>
      <x:c r="H438" s="8" t="n">
        <x:v>48.345</x:v>
      </x:c>
      <x:c r="I438" s="8" t="n">
        <x:v>11.6953</x:v>
      </x:c>
      <x:c r="J438" s="8" t="n">
        <x:v>1.0879</x:v>
      </x:c>
      <x:c r="K438" s="8" t="n">
        <x:v>1.2239</x:v>
      </x:c>
      <x:c r="L438" s="8" t="n">
        <x:v>1.1559</x:v>
      </x:c>
      <x:c r="M438" s="8" t="n">
        <x:v>7.2076</x:v>
      </x:c>
      <x:c r="N438" s="8" t="n">
        <x:v>18.4269</x:v>
      </x:c>
    </x:row>
    <x:row r="439" ht="19" customHeight="1">
      <x:c r="A439" s="7" t="n">
        <x:v>46174</x:v>
      </x:c>
      <x:c r="B439" s="8" t="n">
        <x:v>3.2387392959</x:v>
      </x:c>
      <x:c r="C439" s="8" t="n">
        <x:v>3.24567193632</x:v>
      </x:c>
      <x:c r="D439" s="8" t="n">
        <x:v>4.71217610645</x:v>
      </x:c>
      <x:c r="E439" s="8"/>
      <x:c r="F439" s="8" t="n">
        <x:v>177.08</x:v>
      </x:c>
      <x:c r="G439" s="8" t="n">
        <x:v>99.594</x:v>
      </x:c>
      <x:c r="H439" s="8" t="n">
        <x:v>48.0327</x:v>
      </x:c>
      <x:c r="I439" s="8" t="n">
        <x:v>4.1768</x:v>
      </x:c>
      <x:c r="J439" s="8" t="n">
        <x:v>3.6007</x:v>
      </x:c>
      <x:c r="K439" s="8" t="n">
        <x:v>1.5123</x:v>
      </x:c>
      <x:c r="L439" s="8" t="n">
        <x:v>0.4321</x:v>
      </x:c>
      <x:c r="M439" s="8" t="n">
        <x:v>4.6088</x:v>
      </x:c>
      <x:c r="N439" s="8" t="n">
        <x:v>15.1227</x:v>
      </x:c>
    </x:row>
    <x:row r="440" ht="19" customHeight="1">
      <x:c r="A440" s="7" t="n">
        <x:v>46204</x:v>
      </x:c>
      <x:c r="B440" s="8" t="n">
        <x:v>3.18534958183</x:v>
      </x:c>
      <x:c r="C440" s="8" t="n">
        <x:v>3.22554498187</x:v>
      </x:c>
      <x:c r="D440" s="8"/>
      <x:c r="E440" s="8"/>
      <x:c r="F440" s="8" t="n">
        <x:v>173.34</x:v>
      </x:c>
      <x:c r="G440" s="8" t="n">
        <x:v>106.521</x:v>
      </x:c>
      <x:c r="H440" s="8" t="n">
        <x:v>32.1927</x:v>
      </x:c>
      <x:c r="I440" s="8" t="n">
        <x:v>7.6484</x:v>
      </x:c>
      <x:c r="J440" s="8" t="n">
        <x:v>1.8773</x:v>
      </x:c>
      <x:c r="K440" s="8" t="n">
        <x:v>2.5031</x:v>
      </x:c>
      <x:c r="L440" s="8" t="n">
        <x:v>1.5297</x:v>
      </x:c>
      <x:c r="M440" s="8" t="n">
        <x:v>6.2578</x:v>
      </x:c>
      <x:c r="N440" s="8" t="n">
        <x:v>14.81</x:v>
      </x:c>
    </x:row>
    <x:row r="441" ht="19" customHeight="1">
      <x:c r="A441" s="7" t="n">
        <x:v>46235</x:v>
      </x:c>
      <x:c r="B441" s="8" t="n">
        <x:v>3.22326266781</x:v>
      </x:c>
      <x:c r="C441" s="8" t="n">
        <x:v>3.30537529553</x:v>
      </x:c>
      <x:c r="D441" s="8"/>
      <x:c r="E441" s="8"/>
      <x:c r="F441" s="8" t="n">
        <x:v>152.04</x:v>
      </x:c>
      <x:c r="G441" s="8" t="n">
        <x:v>70.1451</x:v>
      </x:c>
      <x:c r="H441" s="8" t="n">
        <x:v>37.2314</x:v>
      </x:c>
      <x:c r="I441" s="8" t="n">
        <x:v>7.0074</x:v>
      </x:c>
      <x:c r="J441" s="8" t="n">
        <x:v>1.5572</x:v>
      </x:c>
      <x:c r="K441" s="8" t="n">
        <x:v>1.2741</x:v>
      </x:c>
      <x:c r="L441" s="8" t="n">
        <x:v>0.3539</x:v>
      </x:c>
      <x:c r="M441" s="8" t="n">
        <x:v>15.7136</x:v>
      </x:c>
      <x:c r="N441" s="8" t="n">
        <x:v>18.7573</x:v>
      </x:c>
    </x:row>
  </x:sheetData>
  <x:pageMargins left="0.7" right="0.7" top="0.75" bottom="0.75" header="0.3" footer="0.3"/>
  <x:tableParts count="1">
    <x:tablePart ns1:id="R68c8e0e141084758"/>
  </x:tableParts>
</x:worksheet>
</file>

<file path=xl/worksheets/sheet2.xml><?xml version="1.0" encoding="utf-8"?>
<x:worksheet xmlns:x="http://schemas.openxmlformats.org/spreadsheetml/2006/main">
  <x:sheetPr>
    <x:tabColor rgb="FF56708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</x:cols>
  <x:sheetData>
    <x:row r="1" ht="40" customHeight="1">
      <x:c r="A1" s="12" t="str">
        <x:v>date</x:v>
      </x:c>
      <x:c r="B1" s="12" t="str">
        <x:v>log1p_gpr_ai</x:v>
      </x:c>
      <x:c r="C1" s="12" t="str">
        <x:v>log1p_military_conflict</x:v>
      </x:c>
      <x:c r="D1" s="12" t="str">
        <x:v>log1p_diplomatic_tension</x:v>
      </x:c>
      <x:c r="E1" s="12" t="str">
        <x:v>log1p_terrorism</x:v>
      </x:c>
      <x:c r="F1" s="12" t="str">
        <x:v>log1p_civil_war</x:v>
      </x:c>
      <x:c r="G1" s="12" t="str">
        <x:v>log1p_nuclear_threat</x:v>
      </x:c>
      <x:c r="H1" s="12" t="str">
        <x:v>log1p_coup</x:v>
      </x:c>
      <x:c r="I1" s="12" t="str">
        <x:v>log1p_sanctions</x:v>
      </x:c>
      <x:c r="J1" s="12" t="str">
        <x:v>log1p_other</x:v>
      </x:c>
      <x:c r="K1" s="12" t="str">
        <x:v>d2_gpr_ai</x:v>
      </x:c>
      <x:c r="L1" s="12" t="str">
        <x:v>d2_military_conflict</x:v>
      </x:c>
      <x:c r="M1" s="12" t="str">
        <x:v>d2_diplomatic_tension</x:v>
      </x:c>
      <x:c r="N1" s="12" t="str">
        <x:v>d2_terrorism</x:v>
      </x:c>
      <x:c r="O1" s="12" t="str">
        <x:v>d2_civil_war</x:v>
      </x:c>
      <x:c r="P1" s="12" t="str">
        <x:v>d2_nuclear_threat</x:v>
      </x:c>
      <x:c r="Q1" s="12" t="str">
        <x:v>d2_coup</x:v>
      </x:c>
      <x:c r="R1" s="12" t="str">
        <x:v>d2_sanctions</x:v>
      </x:c>
      <x:c r="S1" s="12" t="str">
        <x:v>d2_other</x:v>
      </x:c>
      <x:c r="T1" s="12" t="str">
        <x:v>d_lgop</x:v>
      </x:c>
    </x:row>
    <x:row r="2" ht="19" customHeight="1">
      <x:c r="A2" s="7" t="n">
        <x:f>'Monthly data'!A2</x:f>
        <x:v>32874</x:v>
      </x:c>
      <x:c r="B2" s="8" t="n">
        <x:f>IF(ISNUMBER('Monthly data'!F2),LN(1+'Monthly data'!F2),"")</x:f>
        <x:v>4.667581446109488</x:v>
      </x:c>
      <x:c r="C2" s="8" t="n">
        <x:f>IF(ISNUMBER('Monthly data'!G2),LN(1+'Monthly data'!G2),"")</x:f>
        <x:v>3.06182427491608</x:v>
      </x:c>
      <x:c r="D2" s="8" t="n">
        <x:f>IF(ISNUMBER('Monthly data'!H2),LN(1+'Monthly data'!H2),"")</x:f>
        <x:v>3.7077183819067634</x:v>
      </x:c>
      <x:c r="E2" s="8" t="n">
        <x:f>IF(ISNUMBER('Monthly data'!I2),LN(1+'Monthly data'!I2),"")</x:f>
        <x:v>2.3747476025334135</x:v>
      </x:c>
      <x:c r="F2" s="8" t="n">
        <x:f>IF(ISNUMBER('Monthly data'!J2),LN(1+'Monthly data'!J2),"")</x:f>
        <x:v>3.1267298337347005</x:v>
      </x:c>
      <x:c r="G2" s="8" t="n">
        <x:f>IF(ISNUMBER('Monthly data'!K2),LN(1+'Monthly data'!K2),"")</x:f>
        <x:v>0.5099452363386834</x:v>
      </x:c>
      <x:c r="H2" s="8" t="n">
        <x:f>IF(ISNUMBER('Monthly data'!L2),LN(1+'Monthly data'!L2),"")</x:f>
        <x:v>1.2765352971271513</x:v>
      </x:c>
      <x:c r="I2" s="8" t="n">
        <x:f>IF(ISNUMBER('Monthly data'!M2),LN(1+'Monthly data'!M2),"")</x:f>
        <x:v>0.4132348453725251</x:v>
      </x:c>
      <x:c r="J2" s="8" t="n">
        <x:f>IF(ISNUMBER('Monthly data'!N2),LN(1+'Monthly data'!N2),"")</x:f>
        <x:v>2.3982679306255434</x:v>
      </x:c>
      <x:c r="K2" s="8" t="str">
        <x:f>""</x:f>
      </x:c>
      <x:c r="L2" s="8" t="str">
        <x:f>""</x:f>
      </x:c>
      <x:c r="M2" s="8" t="str">
        <x:f>""</x:f>
      </x:c>
      <x:c r="N2" s="8" t="str">
        <x:f>""</x:f>
      </x:c>
      <x:c r="O2" s="8" t="str">
        <x:f>""</x:f>
      </x:c>
      <x:c r="P2" s="8" t="str">
        <x:f>""</x:f>
      </x:c>
      <x:c r="Q2" s="8" t="str">
        <x:f>""</x:f>
      </x:c>
      <x:c r="R2" s="8" t="str">
        <x:f>""</x:f>
      </x:c>
      <x:c r="S2" s="8" t="str">
        <x:f>""</x:f>
      </x:c>
      <x:c r="T2" s="8" t="str">
        <x:f>""</x:f>
      </x:c>
    </x:row>
    <x:row r="3" ht="19" customHeight="1">
      <x:c r="A3" s="7" t="n">
        <x:f>'Monthly data'!A3</x:f>
        <x:v>32905</x:v>
      </x:c>
      <x:c r="B3" s="8" t="n">
        <x:f>IF(ISNUMBER('Monthly data'!F3),LN(1+'Monthly data'!F3),"")</x:f>
        <x:v>4.5810823904590015</x:v>
      </x:c>
      <x:c r="C3" s="8" t="n">
        <x:f>IF(ISNUMBER('Monthly data'!G3),LN(1+'Monthly data'!G3),"")</x:f>
        <x:v>2.1756603994203787</x:v>
      </x:c>
      <x:c r="D3" s="8" t="n">
        <x:f>IF(ISNUMBER('Monthly data'!H3),LN(1+'Monthly data'!H3),"")</x:f>
        <x:v>3.885705723777439</x:v>
      </x:c>
      <x:c r="E3" s="8" t="n">
        <x:f>IF(ISNUMBER('Monthly data'!I3),LN(1+'Monthly data'!I3),"")</x:f>
        <x:v>1.915892670209165</x:v>
      </x:c>
      <x:c r="F3" s="8" t="n">
        <x:f>IF(ISNUMBER('Monthly data'!J3),LN(1+'Monthly data'!J3),"")</x:f>
        <x:v>3.079029678948023</x:v>
      </x:c>
      <x:c r="G3" s="8" t="n">
        <x:f>IF(ISNUMBER('Monthly data'!K3),LN(1+'Monthly data'!K3),"")</x:f>
        <x:v>1.036417685074992</x:v>
      </x:c>
      <x:c r="H3" s="8" t="n">
        <x:f>IF(ISNUMBER('Monthly data'!L3),LN(1+'Monthly data'!L3),"")</x:f>
        <x:v>0.8026291911769422</x:v>
      </x:c>
      <x:c r="I3" s="8" t="n">
        <x:f>IF(ISNUMBER('Monthly data'!M3),LN(1+'Monthly data'!M3),"")</x:f>
        <x:v>1.036417685074992</x:v>
      </x:c>
      <x:c r="J3" s="8" t="n">
        <x:f>IF(ISNUMBER('Monthly data'!N3),LN(1+'Monthly data'!N3),"")</x:f>
        <x:v>2.3712712507824927</x:v>
      </x:c>
      <x:c r="K3" s="8" t="str">
        <x:f>""</x:f>
      </x:c>
      <x:c r="L3" s="8" t="str">
        <x:f>""</x:f>
      </x:c>
      <x:c r="M3" s="8" t="str">
        <x:f>""</x:f>
      </x:c>
      <x:c r="N3" s="8" t="str">
        <x:f>""</x:f>
      </x:c>
      <x:c r="O3" s="8" t="str">
        <x:f>""</x:f>
      </x:c>
      <x:c r="P3" s="8" t="str">
        <x:f>""</x:f>
      </x:c>
      <x:c r="Q3" s="8" t="str">
        <x:f>""</x:f>
      </x:c>
      <x:c r="R3" s="8" t="str">
        <x:f>""</x:f>
      </x:c>
      <x:c r="S3" s="8" t="str">
        <x:f>""</x:f>
      </x:c>
      <x:c r="T3" s="8" t="n">
        <x:f>IF(COUNT('Monthly data'!E2:E3)=2,'Monthly data'!E3-'Monthly data'!E2,"")</x:f>
        <x:v>0.0042215988000009474</x:v>
      </x:c>
    </x:row>
    <x:row r="4" ht="19" customHeight="1">
      <x:c r="A4" s="7" t="n">
        <x:f>'Monthly data'!A4</x:f>
        <x:v>32933</x:v>
      </x:c>
      <x:c r="B4" s="8" t="n">
        <x:f>IF(ISNUMBER('Monthly data'!F4),LN(1+'Monthly data'!F4),"")</x:f>
        <x:v>4.5462690780679305</x:v>
      </x:c>
      <x:c r="C4" s="8" t="n">
        <x:f>IF(ISNUMBER('Monthly data'!G4),LN(1+'Monthly data'!G4),"")</x:f>
        <x:v>1.9493898023195624</x:v>
      </x:c>
      <x:c r="D4" s="8" t="n">
        <x:f>IF(ISNUMBER('Monthly data'!H4),LN(1+'Monthly data'!H4),"")</x:f>
        <x:v>3.9078623619426818</x:v>
      </x:c>
      <x:c r="E4" s="8" t="n">
        <x:f>IF(ISNUMBER('Monthly data'!I4),LN(1+'Monthly data'!I4),"")</x:f>
        <x:v>1.9597426093649892</x:v>
      </x:c>
      <x:c r="F4" s="8" t="n">
        <x:f>IF(ISNUMBER('Monthly data'!J4),LN(1+'Monthly data'!J4),"")</x:f>
        <x:v>2.823115472907749</x:v>
      </x:c>
      <x:c r="G4" s="8" t="n">
        <x:f>IF(ISNUMBER('Monthly data'!K4),LN(1+'Monthly data'!K4),"")</x:f>
        <x:v>1.416314222106059</x:v>
      </x:c>
      <x:c r="H4" s="8" t="n">
        <x:f>IF(ISNUMBER('Monthly data'!L4),LN(1+'Monthly data'!L4),"")</x:f>
        <x:v>1.5996299714430147</x:v>
      </x:c>
      <x:c r="I4" s="8" t="n">
        <x:f>IF(ISNUMBER('Monthly data'!M4),LN(1+'Monthly data'!M4),"")</x:f>
        <x:v>0.47610994767749637</x:v>
      </x:c>
      <x:c r="J4" s="8" t="n">
        <x:f>IF(ISNUMBER('Monthly data'!N4),LN(1+'Monthly data'!N4),"")</x:f>
        <x:v>2.2878368706451373</x:v>
      </x:c>
      <x:c r="K4" s="8" t="n">
        <x:f>IF(COUNT('Monthly data'!F2:F4)=3,'Monthly data'!F4-2*'Monthly data'!F3+'Monthly data'!F2,"")</x:f>
        <x:v>5.47999999999999</x:v>
      </x:c>
      <x:c r="L4" s="8" t="n">
        <x:f>IF(COUNT('Monthly data'!G2:G4)=3,'Monthly data'!G4-2*'Monthly data'!G3+'Monthly data'!G2,"")</x:f>
        <x:v>10.774899999999999</x:v>
      </x:c>
      <x:c r="M4" s="8" t="n">
        <x:f>IF(COUNT('Monthly data'!H2:H4)=3,'Monthly data'!H4-2*'Monthly data'!H3+'Monthly data'!H2,"")</x:f>
        <x:v>-6.849500000000006</x:v>
      </x:c>
      <x:c r="N4" s="8" t="n">
        <x:f>IF(COUNT('Monthly data'!I2:I4)=3,'Monthly data'!I4-2*'Monthly data'!I3+'Monthly data'!I2,"")</x:f>
        <x:v>4.2598</x:v>
      </x:c>
      <x:c r="O4" s="8" t="n">
        <x:f>IF(COUNT('Monthly data'!J2:J4)=3,'Monthly data'!J4-2*'Monthly data'!J3+'Monthly data'!J2,"")</x:f>
        <x:v>-3.8461000000000034</x:v>
      </x:c>
      <x:c r="P4" s="8" t="n">
        <x:f>IF(COUNT('Monthly data'!K2:K4)=3,'Monthly data'!K4-2*'Monthly data'!K3+'Monthly data'!K2,"")</x:f>
        <x:v>0.14890000000000025</x:v>
      </x:c>
      <x:c r="Q4" s="8" t="n">
        <x:f>IF(COUNT('Monthly data'!L2:L4)=3,'Monthly data'!L4-2*'Monthly data'!L3+'Monthly data'!L2,"")</x:f>
        <x:v>4.0725999999999996</x:v>
      </x:c>
      <x:c r="R4" s="8" t="n">
        <x:f>IF(COUNT('Monthly data'!M2:M4)=3,'Monthly data'!M4-2*'Monthly data'!M3+'Monthly data'!M2,"")</x:f>
        <x:v>-2.5167</x:v>
      </x:c>
      <x:c r="S4" s="8" t="n">
        <x:f>IF(COUNT('Monthly data'!N2:N4)=3,'Monthly data'!N4-2*'Monthly data'!N3+'Monthly data'!N2,"")</x:f>
        <x:v>-0.5643000000000011</x:v>
      </x:c>
      <x:c r="T4" s="8" t="n">
        <x:f>IF(COUNT('Monthly data'!E3:E4)=2,'Monthly data'!E4-'Monthly data'!E3,"")</x:f>
        <x:v>0.01344880979999985</x:v>
      </x:c>
    </x:row>
    <x:row r="5" ht="19" customHeight="1">
      <x:c r="A5" s="7" t="n">
        <x:f>'Monthly data'!A5</x:f>
        <x:v>32964</x:v>
      </x:c>
      <x:c r="B5" s="8" t="n">
        <x:f>IF(ISNUMBER('Monthly data'!F5),LN(1+'Monthly data'!F5),"")</x:f>
        <x:v>4.585069514281089</x:v>
      </x:c>
      <x:c r="C5" s="8" t="n">
        <x:f>IF(ISNUMBER('Monthly data'!G5),LN(1+'Monthly data'!G5),"")</x:f>
        <x:v>2.276764594579526</x:v>
      </x:c>
      <x:c r="D5" s="8" t="n">
        <x:f>IF(ISNUMBER('Monthly data'!H5),LN(1+'Monthly data'!H5),"")</x:f>
        <x:v>3.8317561059588403</x:v>
      </x:c>
      <x:c r="E5" s="8" t="n">
        <x:f>IF(ISNUMBER('Monthly data'!I5),LN(1+'Monthly data'!I5),"")</x:f>
        <x:v>2.369355496627898</x:v>
      </x:c>
      <x:c r="F5" s="8" t="n">
        <x:f>IF(ISNUMBER('Monthly data'!J5),LN(1+'Monthly data'!J5),"")</x:f>
        <x:v>2.612405298617832</x:v>
      </x:c>
      <x:c r="G5" s="8" t="n">
        <x:f>IF(ISNUMBER('Monthly data'!K5),LN(1+'Monthly data'!K5),"")</x:f>
        <x:v>1.8371470256912297</x:v>
      </x:c>
      <x:c r="H5" s="8" t="n">
        <x:f>IF(ISNUMBER('Monthly data'!L5),LN(1+'Monthly data'!L5),"")</x:f>
        <x:v>0.8156302647744937</x:v>
      </x:c>
      <x:c r="I5" s="8" t="n">
        <x:f>IF(ISNUMBER('Monthly data'!M5),LN(1+'Monthly data'!M5),"")</x:f>
        <x:v>1.92899648753314</x:v>
      </x:c>
      <x:c r="J5" s="8" t="n">
        <x:f>IF(ISNUMBER('Monthly data'!N5),LN(1+'Monthly data'!N5),"")</x:f>
        <x:v>2.238302539094066</x:v>
      </x:c>
      <x:c r="K5" s="8" t="n">
        <x:f>IF(COUNT('Monthly data'!F3:F5)=3,'Monthly data'!F5-2*'Monthly data'!F4+'Monthly data'!F3,"")</x:f>
        <x:v>7.070000000000007</x:v>
      </x:c>
      <x:c r="L5" s="8" t="n">
        <x:f>IF(COUNT('Monthly data'!G3:G5)=3,'Monthly data'!G5-2*'Monthly data'!G4+'Monthly data'!G3,"")</x:f>
        <x:v>4.504300000000001</x:v>
      </x:c>
      <x:c r="M5" s="8" t="n">
        <x:f>IF(COUNT('Monthly data'!H3:H5)=3,'Monthly data'!H5-2*'Monthly data'!H4+'Monthly data'!H3,"")</x:f>
        <x:v>-4.739999999999995</x:v>
      </x:c>
      <x:c r="N5" s="8" t="n">
        <x:f>IF(COUNT('Monthly data'!I3:I5)=3,'Monthly data'!I5-2*'Monthly data'!I4+'Monthly data'!I3,"")</x:f>
        <x:v>3.2885</x:v>
      </x:c>
      <x:c r="O5" s="8" t="n">
        <x:f>IF(COUNT('Monthly data'!J3:J5)=3,'Monthly data'!J5-2*'Monthly data'!J4+'Monthly data'!J3,"")</x:f>
        <x:v>1.7106999999999992</x:v>
      </x:c>
      <x:c r="P5" s="8" t="n">
        <x:f>IF(COUNT('Monthly data'!K3:K5)=3,'Monthly data'!K5-2*'Monthly data'!K4+'Monthly data'!K3,"")</x:f>
        <x:v>0.8538999999999997</x:v>
      </x:c>
      <x:c r="Q5" s="8" t="n">
        <x:f>IF(COUNT('Monthly data'!L3:L5)=3,'Monthly data'!L5-2*'Monthly data'!L4+'Monthly data'!L3,"")</x:f>
        <x:v>-5.4104</x:v>
      </x:c>
      <x:c r="R5" s="8" t="n">
        <x:f>IF(COUNT('Monthly data'!M3:M5)=3,'Monthly data'!M5-2*'Monthly data'!M4+'Monthly data'!M3,"")</x:f>
        <x:v>6.4821</x:v>
      </x:c>
      <x:c r="S5" s="8" t="n">
        <x:f>IF(COUNT('Monthly data'!N3:N5)=3,'Monthly data'!N5-2*'Monthly data'!N4+'Monthly data'!N3,"")</x:f>
        <x:v>0.38119999999999976</x:v>
      </x:c>
      <x:c r="T5" s="8" t="n">
        <x:f>IF(COUNT('Monthly data'!E4:E5)=2,'Monthly data'!E5-'Monthly data'!E4,"")</x:f>
        <x:v>-0.0059531227000011455</x:v>
      </x:c>
    </x:row>
    <x:row r="6" ht="19" customHeight="1">
      <x:c r="A6" s="7" t="n">
        <x:f>'Monthly data'!A6</x:f>
        <x:v>32994</x:v>
      </x:c>
      <x:c r="B6" s="8" t="n">
        <x:f>IF(ISNUMBER('Monthly data'!F6),LN(1+'Monthly data'!F6),"")</x:f>
        <x:v>4.602767301371781</x:v>
      </x:c>
      <x:c r="C6" s="8" t="n">
        <x:f>IF(ISNUMBER('Monthly data'!G6),LN(1+'Monthly data'!G6),"")</x:f>
        <x:v>2.2057327246280147</x:v>
      </x:c>
      <x:c r="D6" s="8" t="n">
        <x:f>IF(ISNUMBER('Monthly data'!H6),LN(1+'Monthly data'!H6),"")</x:f>
        <x:v>3.930768211105994</x:v>
      </x:c>
      <x:c r="E6" s="8" t="n">
        <x:f>IF(ISNUMBER('Monthly data'!I6),LN(1+'Monthly data'!I6),"")</x:f>
        <x:v>2.4306880281683814</x:v>
      </x:c>
      <x:c r="F6" s="8" t="n">
        <x:f>IF(ISNUMBER('Monthly data'!J6),LN(1+'Monthly data'!J6),"")</x:f>
        <x:v>2.693863375631664</x:v>
      </x:c>
      <x:c r="G6" s="8" t="n">
        <x:f>IF(ISNUMBER('Monthly data'!K6),LN(1+'Monthly data'!K6),"")</x:f>
        <x:v>1.4459538114257657</x:v>
      </x:c>
      <x:c r="H6" s="8" t="n">
        <x:f>IF(ISNUMBER('Monthly data'!L6),LN(1+'Monthly data'!L6),"")</x:f>
        <x:v>0.8033011890518376</x:v>
      </x:c>
      <x:c r="I6" s="8" t="n">
        <x:f>IF(ISNUMBER('Monthly data'!M6),LN(1+'Monthly data'!M6),"")</x:f>
        <x:v>1.102903070085266</x:v>
      </x:c>
      <x:c r="J6" s="8" t="n">
        <x:f>IF(ISNUMBER('Monthly data'!N6),LN(1+'Monthly data'!N6),"")</x:f>
        <x:v>2.4060347841890692</x:v>
      </x:c>
      <x:c r="K6" s="8" t="n">
        <x:f>IF(COUNT('Monthly data'!F4:F6)=3,'Monthly data'!F6-2*'Monthly data'!F5+'Monthly data'!F4,"")</x:f>
        <x:v>-1.980000000000004</x:v>
      </x:c>
      <x:c r="L6" s="8" t="n">
        <x:f>IF(COUNT('Monthly data'!G4:G6)=3,'Monthly data'!G6-2*'Monthly data'!G5+'Monthly data'!G4,"")</x:f>
        <x:v>-3.3889000000000014</x:v>
      </x:c>
      <x:c r="M6" s="8" t="n">
        <x:f>IF(COUNT('Monthly data'!H4:H6)=3,'Monthly data'!H6-2*'Monthly data'!H5+'Monthly data'!H4,"")</x:f>
        <x:v>8.451499999999996</x:v>
      </x:c>
      <x:c r="N6" s="8" t="n">
        <x:f>IF(COUNT('Monthly data'!I4:I6)=3,'Monthly data'!I6-2*'Monthly data'!I5+'Monthly data'!I4,"")</x:f>
        <x:v>-2.9168000000000003</x:v>
      </x:c>
      <x:c r="O6" s="8" t="n">
        <x:f>IF(COUNT('Monthly data'!J4:J6)=3,'Monthly data'!J6-2*'Monthly data'!J5+'Monthly data'!J4,"")</x:f>
        <x:v>4.3543</x:v>
      </x:c>
      <x:c r="P6" s="8" t="n">
        <x:f>IF(COUNT('Monthly data'!K4:K6)=3,'Monthly data'!K6-2*'Monthly data'!K5+'Monthly data'!K4,"")</x:f>
        <x:v>-4.1894</x:v>
      </x:c>
      <x:c r="Q6" s="8" t="n">
        <x:f>IF(COUNT('Monthly data'!L4:L6)=3,'Monthly data'!L6-2*'Monthly data'!L5+'Monthly data'!L4,"")</x:f>
        <x:v>2.6629000000000005</x:v>
      </x:c>
      <x:c r="R6" s="8" t="n">
        <x:f>IF(COUNT('Monthly data'!M4:M6)=3,'Monthly data'!M6-2*'Monthly data'!M5+'Monthly data'!M4,"")</x:f>
        <x:v>-9.1425</x:v>
      </x:c>
      <x:c r="S6" s="8" t="n">
        <x:f>IF(COUNT('Monthly data'!N4:N6)=3,'Monthly data'!N6-2*'Monthly data'!N5+'Monthly data'!N4,"")</x:f>
        <x:v>2.1887000000000008</x:v>
      </x:c>
      <x:c r="T6" s="8" t="n">
        <x:f>IF(COUNT('Monthly data'!E5:E6)=2,'Monthly data'!E6-'Monthly data'!E5,"")</x:f>
        <x:v>-0.009973921799998564</x:v>
      </x:c>
    </x:row>
    <x:row r="7" ht="19" customHeight="1">
      <x:c r="A7" s="7" t="n">
        <x:f>'Monthly data'!A7</x:f>
        <x:v>33025</x:v>
      </x:c>
      <x:c r="B7" s="8" t="n">
        <x:f>IF(ISNUMBER('Monthly data'!F7),LN(1+'Monthly data'!F7),"")</x:f>
        <x:v>4.509319860331257</x:v>
      </x:c>
      <x:c r="C7" s="8" t="n">
        <x:f>IF(ISNUMBER('Monthly data'!G7),LN(1+'Monthly data'!G7),"")</x:f>
        <x:v>1.36555579597049</x:v>
      </x:c>
      <x:c r="D7" s="8" t="n">
        <x:f>IF(ISNUMBER('Monthly data'!H7),LN(1+'Monthly data'!H7),"")</x:f>
        <x:v>3.7530413418340456</x:v>
      </x:c>
      <x:c r="E7" s="8" t="n">
        <x:f>IF(ISNUMBER('Monthly data'!I7),LN(1+'Monthly data'!I7),"")</x:f>
        <x:v>2.553515002912796</x:v>
      </x:c>
      <x:c r="F7" s="8" t="n">
        <x:f>IF(ISNUMBER('Monthly data'!J7),LN(1+'Monthly data'!J7),"")</x:f>
        <x:v>2.8912935551327408</x:v>
      </x:c>
      <x:c r="G7" s="8" t="n">
        <x:f>IF(ISNUMBER('Monthly data'!K7),LN(1+'Monthly data'!K7),"")</x:f>
        <x:v>1.3455765278413316</x:v>
      </x:c>
      <x:c r="H7" s="8" t="n">
        <x:f>IF(ISNUMBER('Monthly data'!L7),LN(1+'Monthly data'!L7),"")</x:f>
        <x:v>0.6573127275507292</x:v>
      </x:c>
      <x:c r="I7" s="8" t="n">
        <x:f>IF(ISNUMBER('Monthly data'!M7),LN(1+'Monthly data'!M7),"")</x:f>
        <x:v>1.1369993210728135</x:v>
      </x:c>
      <x:c r="J7" s="8" t="n">
        <x:f>IF(ISNUMBER('Monthly data'!N7),LN(1+'Monthly data'!N7),"")</x:f>
        <x:v>2.445411899089861</x:v>
      </x:c>
      <x:c r="K7" s="8" t="n">
        <x:f>IF(COUNT('Monthly data'!F5:F7)=3,'Monthly data'!F7-2*'Monthly data'!F6+'Monthly data'!F5,"")</x:f>
        <x:v>-10.650000000000006</x:v>
      </x:c>
      <x:c r="L7" s="8" t="n">
        <x:f>IF(COUNT('Monthly data'!G5:G7)=3,'Monthly data'!G7-2*'Monthly data'!G6+'Monthly data'!G5,"")</x:f>
        <x:v>-4.4908</x:v>
      </x:c>
      <x:c r="M7" s="8" t="n">
        <x:f>IF(COUNT('Monthly data'!H5:H7)=3,'Monthly data'!H7-2*'Monthly data'!H6+'Monthly data'!H5,"")</x:f>
        <x:v>-13.098100000000002</x:v>
      </x:c>
      <x:c r="N7" s="8" t="n">
        <x:f>IF(COUNT('Monthly data'!I5:I7)=3,'Monthly data'!I7-2*'Monthly data'!I6+'Monthly data'!I5,"")</x:f>
        <x:v>0.8093000000000004</x:v>
      </x:c>
      <x:c r="O7" s="8" t="n">
        <x:f>IF(COUNT('Monthly data'!J5:J7)=3,'Monthly data'!J7-2*'Monthly data'!J6+'Monthly data'!J5,"")</x:f>
        <x:v>2.0709999999999997</x:v>
      </x:c>
      <x:c r="P7" s="8" t="n">
        <x:f>IF(COUNT('Monthly data'!K5:K7)=3,'Monthly data'!K7-2*'Monthly data'!K6+'Monthly data'!K5,"")</x:f>
        <x:v>1.6272000000000002</x:v>
      </x:c>
      <x:c r="Q7" s="8" t="n">
        <x:f>IF(COUNT('Monthly data'!L5:L7)=3,'Monthly data'!L7-2*'Monthly data'!L6+'Monthly data'!L5,"")</x:f>
        <x:v>-0.2756000000000003</x:v>
      </x:c>
      <x:c r="R7" s="8" t="n">
        <x:f>IF(COUNT('Monthly data'!M5:M7)=3,'Monthly data'!M7-2*'Monthly data'!M6+'Monthly data'!M5,"")</x:f>
        <x:v>3.9741999999999997</x:v>
      </x:c>
      <x:c r="S7" s="8" t="n">
        <x:f>IF(COUNT('Monthly data'!N5:N7)=3,'Monthly data'!N7-2*'Monthly data'!N6+'Monthly data'!N5,"")</x:f>
        <x:v>-1.267100000000001</x:v>
      </x:c>
      <x:c r="T7" s="8" t="n">
        <x:f>IF(COUNT('Monthly data'!E6:E7)=2,'Monthly data'!E7-'Monthly data'!E6,"")</x:f>
        <x:v>-0.013166572900001228</x:v>
      </x:c>
    </x:row>
    <x:row r="8" ht="19" customHeight="1">
      <x:c r="A8" s="7" t="n">
        <x:f>'Monthly data'!A8</x:f>
        <x:v>33055</x:v>
      </x:c>
      <x:c r="B8" s="8" t="n">
        <x:f>IF(ISNUMBER('Monthly data'!F8),LN(1+'Monthly data'!F8),"")</x:f>
        <x:v>4.475744638547633</x:v>
      </x:c>
      <x:c r="C8" s="8" t="n">
        <x:f>IF(ISNUMBER('Monthly data'!G8),LN(1+'Monthly data'!G8),"")</x:f>
        <x:v>2.1182054197306193</x:v>
      </x:c>
      <x:c r="D8" s="8" t="n">
        <x:f>IF(ISNUMBER('Monthly data'!H8),LN(1+'Monthly data'!H8),"")</x:f>
        <x:v>3.6861206521168293</x:v>
      </x:c>
      <x:c r="E8" s="8" t="n">
        <x:f>IF(ISNUMBER('Monthly data'!I8),LN(1+'Monthly data'!I8),"")</x:f>
        <x:v>2.0929252268384952</x:v>
      </x:c>
      <x:c r="F8" s="8" t="n">
        <x:f>IF(ISNUMBER('Monthly data'!J8),LN(1+'Monthly data'!J8),"")</x:f>
        <x:v>2.9596075628353584</x:v>
      </x:c>
      <x:c r="G8" s="8" t="n">
        <x:f>IF(ISNUMBER('Monthly data'!K8),LN(1+'Monthly data'!K8),"")</x:f>
        <x:v>1.0978453279622578</x:v>
      </x:c>
      <x:c r="H8" s="8" t="n">
        <x:f>IF(ISNUMBER('Monthly data'!L8),LN(1+'Monthly data'!L8),"")</x:f>
        <x:v>1.2721173160574915</x:v>
      </x:c>
      <x:c r="I8" s="8" t="n">
        <x:f>IF(ISNUMBER('Monthly data'!M8),LN(1+'Monthly data'!M8),"")</x:f>
        <x:v>0.8088391425560182</x:v>
      </x:c>
      <x:c r="J8" s="8" t="n">
        <x:f>IF(ISNUMBER('Monthly data'!N8),LN(1+'Monthly data'!N8),"")</x:f>
        <x:v>2.3459893506013314</x:v>
      </x:c>
      <x:c r="K8" s="8" t="n">
        <x:f>IF(COUNT('Monthly data'!F6:F8)=3,'Monthly data'!F8-2*'Monthly data'!F7+'Monthly data'!F6,"")</x:f>
        <x:v>5.900000000000006</x:v>
      </x:c>
      <x:c r="L8" s="8" t="n">
        <x:f>IF(COUNT('Monthly data'!G6:G8)=3,'Monthly data'!G8-2*'Monthly data'!G7+'Monthly data'!G6,"")</x:f>
        <x:v>9.557300000000001</x:v>
      </x:c>
      <x:c r="M8" s="8" t="n">
        <x:f>IF(COUNT('Monthly data'!H6:H8)=3,'Monthly data'!H8-2*'Monthly data'!H7+'Monthly data'!H6,"")</x:f>
        <x:v>5.534700000000008</x:v>
      </x:c>
      <x:c r="N8" s="8" t="n">
        <x:f>IF(COUNT('Monthly data'!I6:I8)=3,'Monthly data'!I8-2*'Monthly data'!I7+'Monthly data'!I6,"")</x:f>
        <x:v>-6.229100000000001</x:v>
      </x:c>
      <x:c r="O8" s="8" t="n">
        <x:f>IF(COUNT('Monthly data'!J6:J8)=3,'Monthly data'!J8-2*'Monthly data'!J7+'Monthly data'!J6,"")</x:f>
        <x:v>-1.9540999999999986</x:v>
      </x:c>
      <x:c r="P8" s="8" t="n">
        <x:f>IF(COUNT('Monthly data'!K6:K8)=3,'Monthly data'!K8-2*'Monthly data'!K7+'Monthly data'!K6,"")</x:f>
        <x:v>-0.4371999999999998</x:v>
      </x:c>
      <x:c r="Q8" s="8" t="n">
        <x:f>IF(COUNT('Monthly data'!L6:L8)=3,'Monthly data'!L8-2*'Monthly data'!L7+'Monthly data'!L6,"")</x:f>
        <x:v>1.9421000000000002</x:v>
      </x:c>
      <x:c r="R8" s="8" t="n">
        <x:f>IF(COUNT('Monthly data'!M6:M8)=3,'Monthly data'!M8-2*'Monthly data'!M7+'Monthly data'!M6,"")</x:f>
        <x:v>-0.9765999999999995</x:v>
      </x:c>
      <x:c r="S8" s="8" t="n">
        <x:f>IF(COUNT('Monthly data'!N6:N8)=3,'Monthly data'!N8-2*'Monthly data'!N7+'Monthly data'!N6,"")</x:f>
        <x:v>-1.5370999999999988</x:v>
      </x:c>
      <x:c r="T8" s="8" t="n">
        <x:f>IF(COUNT('Monthly data'!E7:E8)=2,'Monthly data'!E8-'Monthly data'!E7,"")</x:f>
        <x:v>0.0018298571000006092</x:v>
      </x:c>
    </x:row>
    <x:row r="9" ht="19" customHeight="1">
      <x:c r="A9" s="7" t="n">
        <x:f>'Monthly data'!A9</x:f>
        <x:v>33086</x:v>
      </x:c>
      <x:c r="B9" s="8" t="n">
        <x:f>IF(ISNUMBER('Monthly data'!F9),LN(1+'Monthly data'!F9),"")</x:f>
        <x:v>5.323497665078335</x:v>
      </x:c>
      <x:c r="C9" s="8" t="n">
        <x:f>IF(ISNUMBER('Monthly data'!G9),LN(1+'Monthly data'!G9),"")</x:f>
        <x:v>4.800908007535813</x:v>
      </x:c>
      <x:c r="D9" s="8" t="n">
        <x:f>IF(ISNUMBER('Monthly data'!H9),LN(1+'Monthly data'!H9),"")</x:f>
        <x:v>3.4743610986234197</x:v>
      </x:c>
      <x:c r="E9" s="8" t="n">
        <x:f>IF(ISNUMBER('Monthly data'!I9),LN(1+'Monthly data'!I9),"")</x:f>
        <x:v>1.8685661774678202</x:v>
      </x:c>
      <x:c r="F9" s="8" t="n">
        <x:f>IF(ISNUMBER('Monthly data'!J9),LN(1+'Monthly data'!J9),"")</x:f>
        <x:v>3.1148743852480054</x:v>
      </x:c>
      <x:c r="G9" s="8" t="n">
        <x:f>IF(ISNUMBER('Monthly data'!K9),LN(1+'Monthly data'!K9),"")</x:f>
        <x:v>0.702453739880245</x:v>
      </x:c>
      <x:c r="H9" s="8" t="n">
        <x:f>IF(ISNUMBER('Monthly data'!L9),LN(1+'Monthly data'!L9),"")</x:f>
        <x:v>1.4401431374801825</x:v>
      </x:c>
      <x:c r="I9" s="8" t="n">
        <x:f>IF(ISNUMBER('Monthly data'!M9),LN(1+'Monthly data'!M9),"")</x:f>
        <x:v>2.5220097377395025</x:v>
      </x:c>
      <x:c r="J9" s="8" t="n">
        <x:f>IF(ISNUMBER('Monthly data'!N9),LN(1+'Monthly data'!N9),"")</x:f>
        <x:v>2.3512609649180822</x:v>
      </x:c>
      <x:c r="K9" s="8" t="n">
        <x:f>IF(COUNT('Monthly data'!F7:F9)=3,'Monthly data'!F9-2*'Monthly data'!F8+'Monthly data'!F7,"")</x:f>
        <x:v>120.24</x:v>
      </x:c>
      <x:c r="L9" s="8" t="n">
        <x:f>IF(COUNT('Monthly data'!G7:G9)=3,'Monthly data'!G9-2*'Monthly data'!G8+'Monthly data'!G7,"")</x:f>
        <x:v>108.9063</x:v>
      </x:c>
      <x:c r="M9" s="8" t="n">
        <x:f>IF(COUNT('Monthly data'!H7:H9)=3,'Monthly data'!H9-2*'Monthly data'!H8+'Monthly data'!H7,"")</x:f>
        <x:v>-4.851800000000004</x:v>
      </x:c>
      <x:c r="N9" s="8" t="n">
        <x:f>IF(COUNT('Monthly data'!I7:I9)=3,'Monthly data'!I9-2*'Monthly data'!I8+'Monthly data'!I7,"")</x:f>
        <x:v>3.1140000000000008</x:v>
      </x:c>
      <x:c r="O9" s="8" t="n">
        <x:f>IF(COUNT('Monthly data'!J7:J9)=3,'Monthly data'!J9-2*'Monthly data'!J8+'Monthly data'!J7,"")</x:f>
        <x:v>1.9663999999999966</x:v>
      </x:c>
      <x:c r="P9" s="8" t="n">
        <x:f>IF(COUNT('Monthly data'!K7:K9)=3,'Monthly data'!K9-2*'Monthly data'!K8+'Monthly data'!K7,"")</x:f>
        <x:v>-0.1363000000000003</x:v>
      </x:c>
      <x:c r="Q9" s="8" t="n">
        <x:f>IF(COUNT('Monthly data'!L7:L9)=3,'Monthly data'!L9-2*'Monthly data'!L8+'Monthly data'!L7,"")</x:f>
        <x:v>-0.9859000000000002</x:v>
      </x:c>
      <x:c r="R9" s="8" t="n">
        <x:f>IF(COUNT('Monthly data'!M7:M9)=3,'Monthly data'!M9-2*'Monthly data'!M8+'Monthly data'!M7,"")</x:f>
        <x:v>11.0804</x:v>
      </x:c>
      <x:c r="S9" s="8" t="n">
        <x:f>IF(COUNT('Monthly data'!N7:N9)=3,'Monthly data'!N9-2*'Monthly data'!N8+'Monthly data'!N7,"")</x:f>
        <x:v>1.1468999999999987</x:v>
      </x:c>
      <x:c r="T9" s="8" t="n">
        <x:f>IF(COUNT('Monthly data'!E8:E9)=2,'Monthly data'!E9-'Monthly data'!E8,"")</x:f>
        <x:v>-0.06212048819999971</x:v>
      </x:c>
    </x:row>
    <x:row r="10" ht="19" customHeight="1">
      <x:c r="A10" s="7" t="n">
        <x:f>'Monthly data'!A10</x:f>
        <x:v>33117</x:v>
      </x:c>
      <x:c r="B10" s="8" t="n">
        <x:f>IF(ISNUMBER('Monthly data'!F10),LN(1+'Monthly data'!F10),"")</x:f>
        <x:v>5.021838964603581</x:v>
      </x:c>
      <x:c r="C10" s="8" t="n">
        <x:f>IF(ISNUMBER('Monthly data'!G10),LN(1+'Monthly data'!G10),"")</x:f>
        <x:v>4.3230884026025995</x:v>
      </x:c>
      <x:c r="D10" s="8" t="n">
        <x:f>IF(ISNUMBER('Monthly data'!H10),LN(1+'Monthly data'!H10),"")</x:f>
        <x:v>3.5811466824360516</x:v>
      </x:c>
      <x:c r="E10" s="8" t="n">
        <x:f>IF(ISNUMBER('Monthly data'!I10),LN(1+'Monthly data'!I10),"")</x:f>
        <x:v>1.711543135371254</x:v>
      </x:c>
      <x:c r="F10" s="8" t="n">
        <x:f>IF(ISNUMBER('Monthly data'!J10),LN(1+'Monthly data'!J10),"")</x:f>
        <x:v>2.80259645282413</x:v>
      </x:c>
      <x:c r="G10" s="8" t="n">
        <x:f>IF(ISNUMBER('Monthly data'!K10),LN(1+'Monthly data'!K10),"")</x:f>
        <x:v>0.9461989876128198</x:v>
      </x:c>
      <x:c r="H10" s="8" t="n">
        <x:f>IF(ISNUMBER('Monthly data'!L10),LN(1+'Monthly data'!L10),"")</x:f>
        <x:v>0.7987226731085837</x:v>
      </x:c>
      <x:c r="I10" s="8" t="n">
        <x:f>IF(ISNUMBER('Monthly data'!M10),LN(1+'Monthly data'!M10),"")</x:f>
        <x:v>2.1806886086961197</x:v>
      </x:c>
      <x:c r="J10" s="8" t="n">
        <x:f>IF(ISNUMBER('Monthly data'!N10),LN(1+'Monthly data'!N10),"")</x:f>
        <x:v>2.457723855934937</x:v>
      </x:c>
      <x:c r="K10" s="8" t="n">
        <x:f>IF(COUNT('Monthly data'!F8:F10)=3,'Monthly data'!F10-2*'Monthly data'!F9+'Monthly data'!F8,"")</x:f>
        <x:v>-170.64999999999998</x:v>
      </x:c>
      <x:c r="L10" s="8" t="n">
        <x:f>IF(COUNT('Monthly data'!G8:G10)=3,'Monthly data'!G10-2*'Monthly data'!G9+'Monthly data'!G8,"")</x:f>
        <x:v>-159.5042</x:v>
      </x:c>
      <x:c r="M10" s="8" t="n">
        <x:f>IF(COUNT('Monthly data'!H8:H10)=3,'Monthly data'!H10-2*'Monthly data'!H9+'Monthly data'!H8,"")</x:f>
        <x:v>11.250100000000003</x:v>
      </x:c>
      <x:c r="N10" s="8" t="n">
        <x:f>IF(COUNT('Monthly data'!I8:I10)=3,'Monthly data'!I10-2*'Monthly data'!I9+'Monthly data'!I8,"")</x:f>
        <x:v>0.6880999999999995</x:v>
      </x:c>
      <x:c r="O10" s="8" t="n">
        <x:f>IF(COUNT('Monthly data'!J8:J10)=3,'Monthly data'!J10-2*'Monthly data'!J9+'Monthly data'!J8,"")</x:f>
        <x:v>-9.283399999999997</x:v>
      </x:c>
      <x:c r="P10" s="8" t="n">
        <x:f>IF(COUNT('Monthly data'!K8:K10)=3,'Monthly data'!K10-2*'Monthly data'!K9+'Monthly data'!K8,"")</x:f>
        <x:v>1.5362000000000002</x:v>
      </x:c>
      <x:c r="Q10" s="8" t="n">
        <x:f>IF(COUNT('Monthly data'!L8:L10)=3,'Monthly data'!L10-2*'Monthly data'!L9+'Monthly data'!L8,"")</x:f>
        <x:v>-2.6515</x:v>
      </x:c>
      <x:c r="R10" s="8" t="n">
        <x:f>IF(COUNT('Monthly data'!M8:M10)=3,'Monthly data'!M10-2*'Monthly data'!M9+'Monthly data'!M8,"")</x:f>
        <x:v>-13.8095</x:v>
      </x:c>
      <x:c r="S10" s="8" t="n">
        <x:f>IF(COUNT('Monthly data'!N8:N10)=3,'Monthly data'!N10-2*'Monthly data'!N9+'Monthly data'!N8,"")</x:f>
        <x:v>1.1242000000000019</x:v>
      </x:c>
      <x:c r="T10" s="8" t="n">
        <x:f>IF(COUNT('Monthly data'!E9:E10)=2,'Monthly data'!E10-'Monthly data'!E9,"")</x:f>
        <x:v>0.04363561149999917</x:v>
      </x:c>
    </x:row>
    <x:row r="11" ht="19" customHeight="1">
      <x:c r="A11" s="7" t="n">
        <x:f>'Monthly data'!A11</x:f>
        <x:v>33147</x:v>
      </x:c>
      <x:c r="B11" s="8" t="n">
        <x:f>IF(ISNUMBER('Monthly data'!F11),LN(1+'Monthly data'!F11),"")</x:f>
        <x:v>4.720728526622364</x:v>
      </x:c>
      <x:c r="C11" s="8" t="n">
        <x:f>IF(ISNUMBER('Monthly data'!G11),LN(1+'Monthly data'!G11),"")</x:f>
        <x:v>3.7967827342044354</x:v>
      </x:c>
      <x:c r="D11" s="8" t="n">
        <x:f>IF(ISNUMBER('Monthly data'!H11),LN(1+'Monthly data'!H11),"")</x:f>
        <x:v>3.573345138191068</x:v>
      </x:c>
      <x:c r="E11" s="8" t="n">
        <x:f>IF(ISNUMBER('Monthly data'!I11),LN(1+'Monthly data'!I11),"")</x:f>
        <x:v>2.1663070747014177</x:v>
      </x:c>
      <x:c r="F11" s="8" t="n">
        <x:f>IF(ISNUMBER('Monthly data'!J11),LN(1+'Monthly data'!J11),"")</x:f>
        <x:v>2.4486315939232886</x:v>
      </x:c>
      <x:c r="G11" s="8" t="n">
        <x:f>IF(ISNUMBER('Monthly data'!K11),LN(1+'Monthly data'!K11),"")</x:f>
        <x:v>1.3026409761226372</x:v>
      </x:c>
      <x:c r="H11" s="8" t="n">
        <x:f>IF(ISNUMBER('Monthly data'!L11),LN(1+'Monthly data'!L11),"")</x:f>
        <x:v>0.8801660211555223</x:v>
      </x:c>
      <x:c r="I11" s="8" t="n">
        <x:f>IF(ISNUMBER('Monthly data'!M11),LN(1+'Monthly data'!M11),"")</x:f>
        <x:v>1.2423373818689207</x:v>
      </x:c>
      <x:c r="J11" s="8" t="n">
        <x:f>IF(ISNUMBER('Monthly data'!N11),LN(1+'Monthly data'!N11),"")</x:f>
        <x:v>2.2196816305942817</x:v>
      </x:c>
      <x:c r="K11" s="8" t="n">
        <x:f>IF(COUNT('Monthly data'!F9:F11)=3,'Monthly data'!F11-2*'Monthly data'!F10+'Monthly data'!F9,"")</x:f>
        <x:v>13.969999999999999</x:v>
      </x:c>
      <x:c r="L11" s="8" t="n">
        <x:f>IF(COUNT('Monthly data'!G9:G11)=3,'Monthly data'!G11-2*'Monthly data'!G10+'Monthly data'!G9,"")</x:f>
        <x:v>15.336000000000013</x:v>
      </x:c>
      <x:c r="M11" s="8" t="n">
        <x:f>IF(COUNT('Monthly data'!H9:H11)=3,'Monthly data'!H11-2*'Monthly data'!H10+'Monthly data'!H9,"")</x:f>
        <x:v>-3.9166000000000096</x:v>
      </x:c>
      <x:c r="N11" s="8" t="n">
        <x:f>IF(COUNT('Monthly data'!I9:I11)=3,'Monthly data'!I11-2*'Monthly data'!I10+'Monthly data'!I9,"")</x:f>
        <x:v>4.130000000000001</x:v>
      </x:c>
      <x:c r="O11" s="8" t="n">
        <x:f>IF(COUNT('Monthly data'!J9:J11)=3,'Monthly data'!J11-2*'Monthly data'!J10+'Monthly data'!J9,"")</x:f>
        <x:v>1.128300000000003</x:v>
      </x:c>
      <x:c r="P11" s="8" t="n">
        <x:f>IF(COUNT('Monthly data'!K9:K11)=3,'Monthly data'!K11-2*'Monthly data'!K10+'Monthly data'!K9,"")</x:f>
        <x:v>0.5458999999999996</x:v>
      </x:c>
      <x:c r="Q11" s="8" t="n">
        <x:f>IF(COUNT('Monthly data'!L9:L11)=3,'Monthly data'!L11-2*'Monthly data'!L10+'Monthly data'!L9,"")</x:f>
        <x:v>2.1872</x:v>
      </x:c>
      <x:c r="R11" s="8" t="n">
        <x:f>IF(COUNT('Monthly data'!M9:M11)=3,'Monthly data'!M11-2*'Monthly data'!M10+'Monthly data'!M9,"")</x:f>
        <x:v>-1.7875000000000014</x:v>
      </x:c>
      <x:c r="S11" s="8" t="n">
        <x:f>IF(COUNT('Monthly data'!N9:N11)=3,'Monthly data'!N11-2*'Monthly data'!N10+'Monthly data'!N9,"")</x:f>
        <x:v>-3.653200000000002</x:v>
      </x:c>
      <x:c r="T11" s="8" t="n">
        <x:f>IF(COUNT('Monthly data'!E10:E11)=2,'Monthly data'!E11-'Monthly data'!E10,"")</x:f>
        <x:v>0.006244535300000464</x:v>
      </x:c>
    </x:row>
    <x:row r="12" ht="19" customHeight="1">
      <x:c r="A12" s="7" t="n">
        <x:f>'Monthly data'!A12</x:f>
        <x:v>33178</x:v>
      </x:c>
      <x:c r="B12" s="8" t="n">
        <x:f>IF(ISNUMBER('Monthly data'!F12),LN(1+'Monthly data'!F12),"")</x:f>
        <x:v>4.8303915770972665</x:v>
      </x:c>
      <x:c r="C12" s="8" t="n">
        <x:f>IF(ISNUMBER('Monthly data'!G12),LN(1+'Monthly data'!G12),"")</x:f>
        <x:v>4.115735796295128</x:v>
      </x:c>
      <x:c r="D12" s="8" t="n">
        <x:f>IF(ISNUMBER('Monthly data'!H12),LN(1+'Monthly data'!H12),"")</x:f>
        <x:v>3.4282092539089533</x:v>
      </x:c>
      <x:c r="E12" s="8" t="n">
        <x:f>IF(ISNUMBER('Monthly data'!I12),LN(1+'Monthly data'!I12),"")</x:f>
        <x:v>2.157004253627626</x:v>
      </x:c>
      <x:c r="F12" s="8" t="n">
        <x:f>IF(ISNUMBER('Monthly data'!J12),LN(1+'Monthly data'!J12),"")</x:f>
        <x:v>2.6305642222103636</x:v>
      </x:c>
      <x:c r="G12" s="8" t="n">
        <x:f>IF(ISNUMBER('Monthly data'!K12),LN(1+'Monthly data'!K12),"")</x:f>
        <x:v>1.271388432618533</x:v>
      </x:c>
      <x:c r="H12" s="8" t="n">
        <x:f>IF(ISNUMBER('Monthly data'!L12),LN(1+'Monthly data'!L12),"")</x:f>
        <x:v>0.5035592877739454</x:v>
      </x:c>
      <x:c r="I12" s="8" t="n">
        <x:f>IF(ISNUMBER('Monthly data'!M12),LN(1+'Monthly data'!M12),"")</x:f>
        <x:v>1.0035687399812157</x:v>
      </x:c>
      <x:c r="J12" s="8" t="n">
        <x:f>IF(ISNUMBER('Monthly data'!N12),LN(1+'Monthly data'!N12),"")</x:f>
        <x:v>2.268645609564482</x:v>
      </x:c>
      <x:c r="K12" s="8" t="n">
        <x:f>IF(COUNT('Monthly data'!F10:F12)=3,'Monthly data'!F12-2*'Monthly data'!F11+'Monthly data'!F10,"")</x:f>
        <x:v>52.45</x:v>
      </x:c>
      <x:c r="L12" s="8" t="n">
        <x:f>IF(COUNT('Monthly data'!G10:G12)=3,'Monthly data'!G12-2*'Monthly data'!G11+'Monthly data'!G10,"")</x:f>
        <x:v>47.6033</x:v>
      </x:c>
      <x:c r="M12" s="8" t="n">
        <x:f>IF(COUNT('Monthly data'!H10:H12)=3,'Monthly data'!H12-2*'Monthly data'!H11+'Monthly data'!H10,"")</x:f>
        <x:v>-4.535099999999993</x:v>
      </x:c>
      <x:c r="N12" s="8" t="n">
        <x:f>IF(COUNT('Monthly data'!I10:I12)=3,'Monthly data'!I12-2*'Monthly data'!I11+'Monthly data'!I10,"")</x:f>
        <x:v>-3.2693000000000003</x:v>
      </x:c>
      <x:c r="O12" s="8" t="n">
        <x:f>IF(COUNT('Monthly data'!J10:J12)=3,'Monthly data'!J12-2*'Monthly data'!J11+'Monthly data'!J10,"")</x:f>
        <x:v>7.224</x:v>
      </x:c>
      <x:c r="P12" s="8" t="n">
        <x:f>IF(COUNT('Monthly data'!K10:K12)=3,'Monthly data'!K12-2*'Monthly data'!K11+'Monthly data'!K10,"")</x:f>
        <x:v>-1.2162999999999997</x:v>
      </x:c>
      <x:c r="Q12" s="8" t="n">
        <x:f>IF(COUNT('Monthly data'!L10:L12)=3,'Monthly data'!L12-2*'Monthly data'!L11+'Monthly data'!L10,"")</x:f>
        <x:v>-0.9453000000000003</x:v>
      </x:c>
      <x:c r="R12" s="8" t="n">
        <x:f>IF(COUNT('Monthly data'!M10:M12)=3,'Monthly data'!M12-2*'Monthly data'!M11+'Monthly data'!M10,"")</x:f>
        <x:v>4.6530000000000005</x:v>
      </x:c>
      <x:c r="S12" s="8" t="n">
        <x:f>IF(COUNT('Monthly data'!N10:N12)=3,'Monthly data'!N12-2*'Monthly data'!N11+'Monthly data'!N10,"")</x:f>
        <x:v>2.9357000000000006</x:v>
      </x:c>
      <x:c r="T12" s="8" t="n">
        <x:f>IF(COUNT('Monthly data'!E11:E12)=2,'Monthly data'!E12-'Monthly data'!E11,"")</x:f>
        <x:v>0.0139341311999992</x:v>
      </x:c>
    </x:row>
    <x:row r="13" ht="19" customHeight="1">
      <x:c r="A13" s="7" t="n">
        <x:f>'Monthly data'!A13</x:f>
        <x:v>33208</x:v>
      </x:c>
      <x:c r="B13" s="8" t="n">
        <x:f>IF(ISNUMBER('Monthly data'!F13),LN(1+'Monthly data'!F13),"")</x:f>
        <x:v>4.932097009765773</x:v>
      </x:c>
      <x:c r="C13" s="8" t="n">
        <x:f>IF(ISNUMBER('Monthly data'!G13),LN(1+'Monthly data'!G13),"")</x:f>
        <x:v>4.0207931018536325</x:v>
      </x:c>
      <x:c r="D13" s="8" t="n">
        <x:f>IF(ISNUMBER('Monthly data'!H13),LN(1+'Monthly data'!H13),"")</x:f>
        <x:v>3.8094209040673515</x:v>
      </x:c>
      <x:c r="E13" s="8" t="n">
        <x:f>IF(ISNUMBER('Monthly data'!I13),LN(1+'Monthly data'!I13),"")</x:f>
        <x:v>1.7964484587141865</x:v>
      </x:c>
      <x:c r="F13" s="8" t="n">
        <x:f>IF(ISNUMBER('Monthly data'!J13),LN(1+'Monthly data'!J13),"")</x:f>
        <x:v>2.526400418617359</x:v>
      </x:c>
      <x:c r="G13" s="8" t="n">
        <x:f>IF(ISNUMBER('Monthly data'!K13),LN(1+'Monthly data'!K13),"")</x:f>
        <x:v>1.415634692896559</x:v>
      </x:c>
      <x:c r="H13" s="8" t="n">
        <x:f>IF(ISNUMBER('Monthly data'!L13),LN(1+'Monthly data'!L13),"")</x:f>
        <x:v>1.7784377951115644</x:v>
      </x:c>
      <x:c r="I13" s="8" t="n">
        <x:f>IF(ISNUMBER('Monthly data'!M13),LN(1+'Monthly data'!M13),"")</x:f>
        <x:v>1.4090827227503218</x:v>
      </x:c>
      <x:c r="J13" s="8" t="n">
        <x:f>IF(ISNUMBER('Monthly data'!N13),LN(1+'Monthly data'!N13),"")</x:f>
        <x:v>2.4958383471283345</x:v>
      </x:c>
      <x:c r="K13" s="8" t="n">
        <x:f>IF(COUNT('Monthly data'!F11:F13)=3,'Monthly data'!F13-2*'Monthly data'!F12+'Monthly data'!F11,"")</x:f>
        <x:v>0.39999999999997726</x:v>
      </x:c>
      <x:c r="L13" s="8" t="n">
        <x:f>IF(COUNT('Monthly data'!G11:G13)=3,'Monthly data'!G13-2*'Monthly data'!G12+'Monthly data'!G11,"")</x:f>
        <x:v>-22.2917</x:v>
      </x:c>
      <x:c r="M13" s="8" t="n">
        <x:f>IF(COUNT('Monthly data'!H11:H13)=3,'Monthly data'!H13-2*'Monthly data'!H12+'Monthly data'!H11,"")</x:f>
        <x:v>19.117099999999994</x:v>
      </x:c>
      <x:c r="N13" s="8" t="n">
        <x:f>IF(COUNT('Monthly data'!I11:I13)=3,'Monthly data'!I13-2*'Monthly data'!I12+'Monthly data'!I11,"")</x:f>
        <x:v>-2.5362</x:v>
      </x:c>
      <x:c r="O13" s="8" t="n">
        <x:f>IF(COUNT('Monthly data'!J11:J13)=3,'Monthly data'!J13-2*'Monthly data'!J12+'Monthly data'!J11,"")</x:f>
        <x:v>-3.6823000000000015</x:v>
      </x:c>
      <x:c r="P13" s="8" t="n">
        <x:f>IF(COUNT('Monthly data'!K11:K13)=3,'Monthly data'!K13-2*'Monthly data'!K12+'Monthly data'!K11,"")</x:f>
        <x:v>0.6665000000000001</x:v>
      </x:c>
      <x:c r="Q13" s="8" t="n">
        <x:f>IF(COUNT('Monthly data'!L11:L13)=3,'Monthly data'!L13-2*'Monthly data'!L12+'Monthly data'!L11,"")</x:f>
        <x:v>5.0227</x:v>
      </x:c>
      <x:c r="R13" s="8" t="n">
        <x:f>IF(COUNT('Monthly data'!M11:M13)=3,'Monthly data'!M13-2*'Monthly data'!M12+'Monthly data'!M11,"")</x:f>
        <x:v>2.0999</x:v>
      </x:c>
      <x:c r="S13" s="8" t="n">
        <x:f>IF(COUNT('Monthly data'!N11:N13)=3,'Monthly data'!N13-2*'Monthly data'!N12+'Monthly data'!N11,"")</x:f>
        <x:v>2.0037000000000003</x:v>
      </x:c>
      <x:c r="T13" s="8" t="n">
        <x:f>IF(COUNT('Monthly data'!E12:E13)=2,'Monthly data'!E13-'Monthly data'!E12,"")</x:f>
        <x:v>0.004155876000000447</x:v>
      </x:c>
    </x:row>
    <x:row r="14" ht="19" customHeight="1">
      <x:c r="A14" s="7" t="n">
        <x:f>'Monthly data'!A14</x:f>
        <x:v>33239</x:v>
      </x:c>
      <x:c r="B14" s="8" t="n">
        <x:f>IF(ISNUMBER('Monthly data'!F14),LN(1+'Monthly data'!F14),"")</x:f>
        <x:v>5.562871539107794</x:v>
      </x:c>
      <x:c r="C14" s="8" t="n">
        <x:f>IF(ISNUMBER('Monthly data'!G14),LN(1+'Monthly data'!G14),"")</x:f>
        <x:v>5.324200976935954</x:v>
      </x:c>
      <x:c r="D14" s="8" t="n">
        <x:f>IF(ISNUMBER('Monthly data'!H14),LN(1+'Monthly data'!H14),"")</x:f>
        <x:v>3.2612185824419173</x:v>
      </x:c>
      <x:c r="E14" s="8" t="n">
        <x:f>IF(ISNUMBER('Monthly data'!I14),LN(1+'Monthly data'!I14),"")</x:f>
        <x:v>2.2622942074104673</x:v>
      </x:c>
      <x:c r="F14" s="8" t="n">
        <x:f>IF(ISNUMBER('Monthly data'!J14),LN(1+'Monthly data'!J14),"")</x:f>
        <x:v>2.393019770465254</x:v>
      </x:c>
      <x:c r="G14" s="8" t="n">
        <x:f>IF(ISNUMBER('Monthly data'!K14),LN(1+'Monthly data'!K14),"")</x:f>
        <x:v>0.6608305790834021</x:v>
      </x:c>
      <x:c r="H14" s="8" t="n">
        <x:f>IF(ISNUMBER('Monthly data'!L14),LN(1+'Monthly data'!L14),"")</x:f>
        <x:v>1.11514159061932</x:v>
      </x:c>
      <x:c r="I14" s="8" t="n">
        <x:f>IF(ISNUMBER('Monthly data'!M14),LN(1+'Monthly data'!M14),"")</x:f>
        <x:v>0.9236634862035682</x:v>
      </x:c>
      <x:c r="J14" s="8" t="n">
        <x:f>IF(ISNUMBER('Monthly data'!N14),LN(1+'Monthly data'!N14),"")</x:f>
        <x:v>2.102645241511471</x:v>
      </x:c>
      <x:c r="K14" s="8" t="n">
        <x:f>IF(COUNT('Monthly data'!F12:F14)=3,'Monthly data'!F14-2*'Monthly data'!F13+'Monthly data'!F12,"")</x:f>
        <x:v>108.49000000000002</x:v>
      </x:c>
      <x:c r="L14" s="8" t="n">
        <x:f>IF(COUNT('Monthly data'!G12:G14)=3,'Monthly data'!G14-2*'Monthly data'!G13+'Monthly data'!G12,"")</x:f>
        <x:v>155.05100000000002</x:v>
      </x:c>
      <x:c r="M14" s="8" t="n">
        <x:f>IF(COUNT('Monthly data'!H12:H14)=3,'Monthly data'!H14-2*'Monthly data'!H13+'Monthly data'!H12,"")</x:f>
        <x:v>-33.3459</x:v>
      </x:c>
      <x:c r="N14" s="8" t="n">
        <x:f>IF(COUNT('Monthly data'!I12:I14)=3,'Monthly data'!I14-2*'Monthly data'!I13+'Monthly data'!I12,"")</x:f>
        <x:v>6.1939</x:v>
      </x:c>
      <x:c r="O14" s="8" t="n">
        <x:f>IF(COUNT('Monthly data'!J12:J14)=3,'Monthly data'!J14-2*'Monthly data'!J13+'Monthly data'!J12,"")</x:f>
        <x:v>-0.18869999999999898</x:v>
      </x:c>
      <x:c r="P14" s="8" t="n">
        <x:f>IF(COUNT('Monthly data'!K12:K14)=3,'Monthly data'!K14-2*'Monthly data'!K13+'Monthly data'!K12,"")</x:f>
        <x:v>-2.736</x:v>
      </x:c>
      <x:c r="Q14" s="8" t="n">
        <x:f>IF(COUNT('Monthly data'!L12:L14)=3,'Monthly data'!L14-2*'Monthly data'!L13+'Monthly data'!L12,"")</x:f>
        <x:v>-7.1366000000000005</x:v>
      </x:c>
      <x:c r="R14" s="8" t="n">
        <x:f>IF(COUNT('Monthly data'!M12:M14)=3,'Monthly data'!M14-2*'Monthly data'!M13+'Monthly data'!M12,"")</x:f>
        <x:v>-2.937900000000001</x:v>
      </x:c>
      <x:c r="S14" s="8" t="n">
        <x:f>IF(COUNT('Monthly data'!N12:N14)=3,'Monthly data'!N14-2*'Monthly data'!N13+'Monthly data'!N12,"")</x:f>
        <x:v>-6.409700000000001</x:v>
      </x:c>
      <x:c r="T14" s="8" t="n">
        <x:f>IF(COUNT('Monthly data'!E13:E14)=2,'Monthly data'!E14-'Monthly data'!E13,"")</x:f>
        <x:v>-0.003077994799999928</x:v>
      </x:c>
    </x:row>
    <x:row r="15" ht="19" customHeight="1">
      <x:c r="A15" s="7" t="n">
        <x:f>'Monthly data'!A15</x:f>
        <x:v>33270</x:v>
      </x:c>
      <x:c r="B15" s="8" t="n">
        <x:f>IF(ISNUMBER('Monthly data'!F15),LN(1+'Monthly data'!F15),"")</x:f>
        <x:v>5.3400829157805045</x:v>
      </x:c>
      <x:c r="C15" s="8" t="n">
        <x:f>IF(ISNUMBER('Monthly data'!G15),LN(1+'Monthly data'!G15),"")</x:f>
        <x:v>5.044655327641572</x:v>
      </x:c>
      <x:c r="D15" s="8" t="n">
        <x:f>IF(ISNUMBER('Monthly data'!H15),LN(1+'Monthly data'!H15),"")</x:f>
        <x:v>3.273068511951523</x:v>
      </x:c>
      <x:c r="E15" s="8" t="n">
        <x:f>IF(ISNUMBER('Monthly data'!I15),LN(1+'Monthly data'!I15),"")</x:f>
        <x:v>2.1712113709233227</x:v>
      </x:c>
      <x:c r="F15" s="8" t="n">
        <x:f>IF(ISNUMBER('Monthly data'!J15),LN(1+'Monthly data'!J15),"")</x:f>
        <x:v>2.1317849095472012</x:v>
      </x:c>
      <x:c r="G15" s="8" t="n">
        <x:f>IF(ISNUMBER('Monthly data'!K15),LN(1+'Monthly data'!K15),"")</x:f>
        <x:v>0.6752886622586322</x:v>
      </x:c>
      <x:c r="H15" s="8" t="n">
        <x:f>IF(ISNUMBER('Monthly data'!L15),LN(1+'Monthly data'!L15),"")</x:f>
        <x:v>1.207855257840158</x:v>
      </x:c>
      <x:c r="I15" s="8" t="n">
        <x:f>IF(ISNUMBER('Monthly data'!M15),LN(1+'Monthly data'!M15),"")</x:f>
        <x:v>0.9106749930885193</x:v>
      </x:c>
      <x:c r="J15" s="8" t="n">
        <x:f>IF(ISNUMBER('Monthly data'!N15),LN(1+'Monthly data'!N15),"")</x:f>
        <x:v>2.1917987731354494</x:v>
      </x:c>
      <x:c r="K15" s="8" t="n">
        <x:f>IF(COUNT('Monthly data'!F13:F15)=3,'Monthly data'!F15-2*'Monthly data'!F14+'Monthly data'!F13,"")</x:f>
        <x:v>-173.94000000000003</x:v>
      </x:c>
      <x:c r="L15" s="8" t="n">
        <x:f>IF(COUNT('Monthly data'!G13:G15)=3,'Monthly data'!G15-2*'Monthly data'!G14+'Monthly data'!G13,"")</x:f>
        <x:v>-199.5525</x:v>
      </x:c>
      <x:c r="M15" s="8" t="n">
        <x:f>IF(COUNT('Monthly data'!H13:H15)=3,'Monthly data'!H15-2*'Monthly data'!H14+'Monthly data'!H13,"")</x:f>
        <x:v>19.3539</x:v>
      </x:c>
      <x:c r="N15" s="8" t="n">
        <x:f>IF(COUNT('Monthly data'!I13:I15)=3,'Monthly data'!I15-2*'Monthly data'!I14+'Monthly data'!I13,"")</x:f>
        <x:v>-4.4131</x:v>
      </x:c>
      <x:c r="O15" s="8" t="n">
        <x:f>IF(COUNT('Monthly data'!J13:J15)=3,'Monthly data'!J15-2*'Monthly data'!J14+'Monthly data'!J13,"")</x:f>
        <x:v>-0.9547000000000008</x:v>
      </x:c>
      <x:c r="P15" s="8" t="n">
        <x:f>IF(COUNT('Monthly data'!K13:K15)=3,'Monthly data'!K15-2*'Monthly data'!K14+'Monthly data'!K13,"")</x:f>
        <x:v>2.2109</x:v>
      </x:c>
      <x:c r="Q15" s="8" t="n">
        <x:f>IF(COUNT('Monthly data'!L13:L15)=3,'Monthly data'!L15-2*'Monthly data'!L14+'Monthly data'!L13,"")</x:f>
        <x:v>3.1669000000000005</x:v>
      </x:c>
      <x:c r="R15" s="8" t="n">
        <x:f>IF(COUNT('Monthly data'!M13:M15)=3,'Monthly data'!M15-2*'Monthly data'!M14+'Monthly data'!M13,"")</x:f>
        <x:v>1.5412000000000001</x:v>
      </x:c>
      <x:c r="S15" s="8" t="n">
        <x:f>IF(COUNT('Monthly data'!N13:N15)=3,'Monthly data'!N15-2*'Monthly data'!N14+'Monthly data'!N13,"")</x:f>
        <x:v>4.707599999999999</x:v>
      </x:c>
      <x:c r="T15" s="8" t="n">
        <x:f>IF(COUNT('Monthly data'!E14:E15)=2,'Monthly data'!E15-'Monthly data'!E14,"")</x:f>
        <x:v>-0.005251100499998884</x:v>
      </x:c>
    </x:row>
    <x:row r="16" ht="19" customHeight="1">
      <x:c r="A16" s="7" t="n">
        <x:f>'Monthly data'!A16</x:f>
        <x:v>33298</x:v>
      </x:c>
      <x:c r="B16" s="8" t="n">
        <x:f>IF(ISNUMBER('Monthly data'!F16),LN(1+'Monthly data'!F16),"")</x:f>
        <x:v>4.768478803600115</x:v>
      </x:c>
      <x:c r="C16" s="8" t="n">
        <x:f>IF(ISNUMBER('Monthly data'!G16),LN(1+'Monthly data'!G16),"")</x:f>
        <x:v>4.017845014581466</x:v>
      </x:c>
      <x:c r="D16" s="8" t="n">
        <x:f>IF(ISNUMBER('Monthly data'!H16),LN(1+'Monthly data'!H16),"")</x:f>
        <x:v>3.319821007272613</x:v>
      </x:c>
      <x:c r="E16" s="8" t="n">
        <x:f>IF(ISNUMBER('Monthly data'!I16),LN(1+'Monthly data'!I16),"")</x:f>
        <x:v>1.7679106671960654</x:v>
      </x:c>
      <x:c r="F16" s="8" t="n">
        <x:f>IF(ISNUMBER('Monthly data'!J16),LN(1+'Monthly data'!J16),"")</x:f>
        <x:v>2.990694605786652</x:v>
      </x:c>
      <x:c r="G16" s="8" t="n">
        <x:f>IF(ISNUMBER('Monthly data'!K16),LN(1+'Monthly data'!K16),"")</x:f>
        <x:v>0.32128607986555846</x:v>
      </x:c>
      <x:c r="H16" s="8" t="n">
        <x:f>IF(ISNUMBER('Monthly data'!L16),LN(1+'Monthly data'!L16),"")</x:f>
        <x:v>0.9312975639806771</x:v>
      </x:c>
      <x:c r="I16" s="8" t="n">
        <x:f>IF(ISNUMBER('Monthly data'!M16),LN(1+'Monthly data'!M16),"")</x:f>
        <x:v>0.9658425107034028</x:v>
      </x:c>
      <x:c r="J16" s="8" t="n">
        <x:f>IF(ISNUMBER('Monthly data'!N16),LN(1+'Monthly data'!N16),"")</x:f>
        <x:v>2.219388249593487</x:v>
      </x:c>
      <x:c r="K16" s="8" t="n">
        <x:f>IF(COUNT('Monthly data'!F14:F16)=3,'Monthly data'!F16-2*'Monthly data'!F15+'Monthly data'!F14,"")</x:f>
        <x:v>-38.75</x:v>
      </x:c>
      <x:c r="L16" s="8" t="n">
        <x:f>IF(COUNT('Monthly data'!G14:G16)=3,'Monthly data'!G16-2*'Monthly data'!G15+'Monthly data'!G14,"")</x:f>
        <x:v>-49.55609999999999</x:v>
      </x:c>
      <x:c r="M16" s="8" t="n">
        <x:f>IF(COUNT('Monthly data'!H14:H16)=3,'Monthly data'!H16-2*'Monthly data'!H15+'Monthly data'!H14,"")</x:f>
        <x:v>0.952300000000001</x:v>
      </x:c>
      <x:c r="N16" s="8" t="n">
        <x:f>IF(COUNT('Monthly data'!I14:I16)=3,'Monthly data'!I16-2*'Monthly data'!I15+'Monthly data'!I14,"")</x:f>
        <x:v>-2.0741000000000014</x:v>
      </x:c>
      <x:c r="O16" s="8" t="n">
        <x:f>IF(COUNT('Monthly data'!J14:J16)=3,'Monthly data'!J16-2*'Monthly data'!J15+'Monthly data'!J14,"")</x:f>
        <x:v>13.9862</x:v>
      </x:c>
      <x:c r="P16" s="8" t="n">
        <x:f>IF(COUNT('Monthly data'!K14:K16)=3,'Monthly data'!K16-2*'Monthly data'!K15+'Monthly data'!K14,"")</x:f>
        <x:v>-0.6139</x:v>
      </x:c>
      <x:c r="Q16" s="8" t="n">
        <x:f>IF(COUNT('Monthly data'!L14:L16)=3,'Monthly data'!L16-2*'Monthly data'!L15+'Monthly data'!L14,"")</x:f>
        <x:v>-1.1048</x:v>
      </x:c>
      <x:c r="R16" s="8" t="n">
        <x:f>IF(COUNT('Monthly data'!M14:M16)=3,'Monthly data'!M16-2*'Monthly data'!M15+'Monthly data'!M14,"")</x:f>
        <x:v>0.1735</x:v>
      </x:c>
      <x:c r="S16" s="8" t="n">
        <x:f>IF(COUNT('Monthly data'!N14:N16)=3,'Monthly data'!N16-2*'Monthly data'!N15+'Monthly data'!N14,"")</x:f>
        <x:v>-0.5130999999999988</x:v>
      </x:c>
      <x:c r="T16" s="8" t="n">
        <x:f>IF(COUNT('Monthly data'!E15:E16)=2,'Monthly data'!E16-'Monthly data'!E15,"")</x:f>
        <x:v>0.0038579267999985234</x:v>
      </x:c>
    </x:row>
    <x:row r="17" ht="19" customHeight="1">
      <x:c r="A17" s="7" t="n">
        <x:f>'Monthly data'!A17</x:f>
        <x:v>33329</x:v>
      </x:c>
      <x:c r="B17" s="8" t="n">
        <x:f>IF(ISNUMBER('Monthly data'!F17),LN(1+'Monthly data'!F17),"")</x:f>
        <x:v>4.554718642491993</x:v>
      </x:c>
      <x:c r="C17" s="8" t="n">
        <x:f>IF(ISNUMBER('Monthly data'!G17),LN(1+'Monthly data'!G17),"")</x:f>
        <x:v>3.4132544027753666</x:v>
      </x:c>
      <x:c r="D17" s="8" t="n">
        <x:f>IF(ISNUMBER('Monthly data'!H17),LN(1+'Monthly data'!H17),"")</x:f>
        <x:v>3.383104691589688</x:v>
      </x:c>
      <x:c r="E17" s="8" t="n">
        <x:f>IF(ISNUMBER('Monthly data'!I17),LN(1+'Monthly data'!I17),"")</x:f>
        <x:v>1.636800129189912</x:v>
      </x:c>
      <x:c r="F17" s="8" t="n">
        <x:f>IF(ISNUMBER('Monthly data'!J17),LN(1+'Monthly data'!J17),"")</x:f>
        <x:v>2.7361581131236927</x:v>
      </x:c>
      <x:c r="G17" s="8" t="n">
        <x:f>IF(ISNUMBER('Monthly data'!K17),LN(1+'Monthly data'!K17),"")</x:f>
        <x:v>1.0142156720293598</x:v>
      </x:c>
      <x:c r="H17" s="8" t="n">
        <x:f>IF(ISNUMBER('Monthly data'!L17),LN(1+'Monthly data'!L17),"")</x:f>
        <x:v>0.5928847586215511</x:v>
      </x:c>
      <x:c r="I17" s="8" t="n">
        <x:f>IF(ISNUMBER('Monthly data'!M17),LN(1+'Monthly data'!M17),"")</x:f>
        <x:v>1.2908291693018243</x:v>
      </x:c>
      <x:c r="J17" s="8" t="n">
        <x:f>IF(ISNUMBER('Monthly data'!N17),LN(1+'Monthly data'!N17),"")</x:f>
        <x:v>2.6016076187398283</x:v>
      </x:c>
      <x:c r="K17" s="8" t="n">
        <x:f>IF(COUNT('Monthly data'!F15:F17)=3,'Monthly data'!F17-2*'Monthly data'!F16+'Monthly data'!F15,"")</x:f>
        <x:v>68.13000000000002</x:v>
      </x:c>
      <x:c r="L17" s="8" t="n">
        <x:f>IF(COUNT('Monthly data'!G15:G17)=3,'Monthly data'!G17-2*'Monthly data'!G16+'Monthly data'!G15,"")</x:f>
        <x:v>74.39229999999999</x:v>
      </x:c>
      <x:c r="M17" s="8" t="n">
        <x:f>IF(COUNT('Monthly data'!H15:H17)=3,'Monthly data'!H17-2*'Monthly data'!H16+'Monthly data'!H15,"")</x:f>
        <x:v>0.5434999999999981</x:v>
      </x:c>
      <x:c r="N17" s="8" t="n">
        <x:f>IF(COUNT('Monthly data'!I15:I17)=3,'Monthly data'!I17-2*'Monthly data'!I16+'Monthly data'!I15,"")</x:f>
        <x:v>2.1904000000000003</x:v>
      </x:c>
      <x:c r="O17" s="8" t="n">
        <x:f>IF(COUNT('Monthly data'!J15:J17)=3,'Monthly data'!J17-2*'Monthly data'!J16+'Monthly data'!J15,"")</x:f>
        <x:v>-15.941500000000001</x:v>
      </x:c>
      <x:c r="P17" s="8" t="n">
        <x:f>IF(COUNT('Monthly data'!K15:K17)=3,'Monthly data'!K17-2*'Monthly data'!K16+'Monthly data'!K15,"")</x:f>
        <x:v>1.964</x:v>
      </x:c>
      <x:c r="Q17" s="8" t="n">
        <x:f>IF(COUNT('Monthly data'!L15:L17)=3,'Monthly data'!L17-2*'Monthly data'!L16+'Monthly data'!L15,"")</x:f>
        <x:v>0.07989999999999986</x:v>
      </x:c>
      <x:c r="R17" s="8" t="n">
        <x:f>IF(COUNT('Monthly data'!M15:M17)=3,'Monthly data'!M17-2*'Monthly data'!M16+'Monthly data'!M15,"")</x:f>
        <x:v>0.8678000000000001</x:v>
      </x:c>
      <x:c r="S17" s="8" t="n">
        <x:f>IF(COUNT('Monthly data'!N15:N17)=3,'Monthly data'!N17-2*'Monthly data'!N16+'Monthly data'!N15,"")</x:f>
        <x:v>4.033299999999999</x:v>
      </x:c>
      <x:c r="T17" s="8" t="n">
        <x:f>IF(COUNT('Monthly data'!E16:E17)=2,'Monthly data'!E17-'Monthly data'!E16,"")</x:f>
        <x:v>-0.021778288000000146</x:v>
      </x:c>
    </x:row>
    <x:row r="18" ht="19" customHeight="1">
      <x:c r="A18" s="7" t="n">
        <x:f>'Monthly data'!A18</x:f>
        <x:v>33359</x:v>
      </x:c>
      <x:c r="B18" s="8" t="n">
        <x:f>IF(ISNUMBER('Monthly data'!F18),LN(1+'Monthly data'!F18),"")</x:f>
        <x:v>4.494462064003669</x:v>
      </x:c>
      <x:c r="C18" s="8" t="n">
        <x:f>IF(ISNUMBER('Monthly data'!G18),LN(1+'Monthly data'!G18),"")</x:f>
        <x:v>2.998772646931156</x:v>
      </x:c>
      <x:c r="D18" s="8" t="n">
        <x:f>IF(ISNUMBER('Monthly data'!H18),LN(1+'Monthly data'!H18),"")</x:f>
        <x:v>3.479931541252271</x:v>
      </x:c>
      <x:c r="E18" s="8" t="n">
        <x:f>IF(ISNUMBER('Monthly data'!I18),LN(1+'Monthly data'!I18),"")</x:f>
        <x:v>1.8828182001750218</x:v>
      </x:c>
      <x:c r="F18" s="8" t="n">
        <x:f>IF(ISNUMBER('Monthly data'!J18),LN(1+'Monthly data'!J18),"")</x:f>
        <x:v>2.907840509137054</x:v>
      </x:c>
      <x:c r="G18" s="8" t="n">
        <x:f>IF(ISNUMBER('Monthly data'!K18),LN(1+'Monthly data'!K18),"")</x:f>
        <x:v>1.2074666935801919</x:v>
      </x:c>
      <x:c r="H18" s="8" t="n">
        <x:f>IF(ISNUMBER('Monthly data'!L18),LN(1+'Monthly data'!L18),"")</x:f>
        <x:v>0.7334730520315107</x:v>
      </x:c>
      <x:c r="I18" s="8" t="n">
        <x:f>IF(ISNUMBER('Monthly data'!M18),LN(1+'Monthly data'!M18),"")</x:f>
        <x:v>1.1066796597458686</x:v>
      </x:c>
      <x:c r="J18" s="8" t="n">
        <x:f>IF(ISNUMBER('Monthly data'!N18),LN(1+'Monthly data'!N18),"")</x:f>
        <x:v>2.366564082623054</x:v>
      </x:c>
      <x:c r="K18" s="8" t="n">
        <x:f>IF(COUNT('Monthly data'!F16:F18)=3,'Monthly data'!F18-2*'Monthly data'!F17+'Monthly data'!F16,"")</x:f>
        <x:v>17.099999999999994</x:v>
      </x:c>
      <x:c r="L18" s="8" t="n">
        <x:f>IF(COUNT('Monthly data'!G16:G18)=3,'Monthly data'!G18-2*'Monthly data'!G17+'Monthly data'!G16,"")</x:f>
        <x:v>14.914300000000004</x:v>
      </x:c>
      <x:c r="M18" s="8" t="n">
        <x:f>IF(COUNT('Monthly data'!H16:H18)=3,'Monthly data'!H18-2*'Monthly data'!H17+'Monthly data'!H16,"")</x:f>
        <x:v>1.1887000000000008</x:v>
      </x:c>
      <x:c r="N18" s="8" t="n">
        <x:f>IF(COUNT('Monthly data'!I16:I18)=3,'Monthly data'!I18-2*'Monthly data'!I17+'Monthly data'!I16,"")</x:f>
        <x:v>2.1532</x:v>
      </x:c>
      <x:c r="O18" s="8" t="n">
        <x:f>IF(COUNT('Monthly data'!J16:J18)=3,'Monthly data'!J18-2*'Monthly data'!J17+'Monthly data'!J16,"")</x:f>
        <x:v>7.3614999999999995</x:v>
      </x:c>
      <x:c r="P18" s="8" t="n">
        <x:f>IF(COUNT('Monthly data'!K16:K18)=3,'Monthly data'!K18-2*'Monthly data'!K17+'Monthly data'!K16,"")</x:f>
        <x:v>-0.7905</x:v>
      </x:c>
      <x:c r="Q18" s="8" t="n">
        <x:f>IF(COUNT('Monthly data'!L16:L18)=3,'Monthly data'!L18-2*'Monthly data'!L17+'Monthly data'!L16,"")</x:f>
        <x:v>1.0017</x:v>
      </x:c>
      <x:c r="R18" s="8" t="n">
        <x:f>IF(COUNT('Monthly data'!M16:M18)=3,'Monthly data'!M18-2*'Monthly data'!M17+'Monthly data'!M16,"")</x:f>
        <x:v>-1.6203</x:v>
      </x:c>
      <x:c r="S18" s="8" t="n">
        <x:f>IF(COUNT('Monthly data'!N16:N18)=3,'Monthly data'!N18-2*'Monthly data'!N17+'Monthly data'!N16,"")</x:f>
        <x:v>-7.1084</x:v>
      </x:c>
      <x:c r="T18" s="8" t="n">
        <x:f>IF(COUNT('Monthly data'!E17:E18)=2,'Monthly data'!E18-'Monthly data'!E17,"")</x:f>
        <x:v>-0.003347183999999004</x:v>
      </x:c>
    </x:row>
    <x:row r="19" ht="19" customHeight="1">
      <x:c r="A19" s="7" t="n">
        <x:f>'Monthly data'!A19</x:f>
        <x:v>33390</x:v>
      </x:c>
      <x:c r="B19" s="8" t="n">
        <x:f>IF(ISNUMBER('Monthly data'!F19),LN(1+'Monthly data'!F19),"")</x:f>
        <x:v>4.376385754783795</x:v>
      </x:c>
      <x:c r="C19" s="8" t="n">
        <x:f>IF(ISNUMBER('Monthly data'!G19),LN(1+'Monthly data'!G19),"")</x:f>
        <x:v>2.8154685978694802</x:v>
      </x:c>
      <x:c r="D19" s="8" t="n">
        <x:f>IF(ISNUMBER('Monthly data'!H19),LN(1+'Monthly data'!H19),"")</x:f>
        <x:v>3.4044155311930284</x:v>
      </x:c>
      <x:c r="E19" s="8" t="n">
        <x:f>IF(ISNUMBER('Monthly data'!I19),LN(1+'Monthly data'!I19),"")</x:f>
        <x:v>1.9955842761558646</x:v>
      </x:c>
      <x:c r="F19" s="8" t="n">
        <x:f>IF(ISNUMBER('Monthly data'!J19),LN(1+'Monthly data'!J19),"")</x:f>
        <x:v>2.5715658814484077</x:v>
      </x:c>
      <x:c r="G19" s="8" t="n">
        <x:f>IF(ISNUMBER('Monthly data'!K19),LN(1+'Monthly data'!K19),"")</x:f>
        <x:v>1.7286599122847381</x:v>
      </x:c>
      <x:c r="H19" s="8" t="n">
        <x:f>IF(ISNUMBER('Monthly data'!L19),LN(1+'Monthly data'!L19),"")</x:f>
        <x:v>0.33854152274258964</x:v>
      </x:c>
      <x:c r="I19" s="8" t="n">
        <x:f>IF(ISNUMBER('Monthly data'!M19),LN(1+'Monthly data'!M19),"")</x:f>
        <x:v>1.3045147291997454</x:v>
      </x:c>
      <x:c r="J19" s="8" t="n">
        <x:f>IF(ISNUMBER('Monthly data'!N19),LN(1+'Monthly data'!N19),"")</x:f>
        <x:v>2.150307657548468</x:v>
      </x:c>
      <x:c r="K19" s="8" t="n">
        <x:f>IF(COUNT('Monthly data'!F17:F19)=3,'Monthly data'!F19-2*'Monthly data'!F18+'Monthly data'!F17,"")</x:f>
        <x:v>-4.409999999999997</x:v>
      </x:c>
      <x:c r="L19" s="8" t="n">
        <x:f>IF(COUNT('Monthly data'!G17:G19)=3,'Monthly data'!G19-2*'Monthly data'!G18+'Monthly data'!G17,"")</x:f>
        <x:v>6.943100000000001</x:v>
      </x:c>
      <x:c r="M19" s="8" t="n">
        <x:f>IF(COUNT('Monthly data'!H17:H19)=3,'Monthly data'!H19-2*'Monthly data'!H18+'Monthly data'!H17,"")</x:f>
        <x:v>-5.356200000000001</x:v>
      </x:c>
      <x:c r="N19" s="8" t="n">
        <x:f>IF(COUNT('Monthly data'!I17:I19)=3,'Monthly data'!I19-2*'Monthly data'!I18+'Monthly data'!I17,"")</x:f>
        <x:v>-0.6488000000000005</x:v>
      </x:c>
      <x:c r="O19" s="8" t="n">
        <x:f>IF(COUNT('Monthly data'!J17:J19)=3,'Monthly data'!J19-2*'Monthly data'!J18+'Monthly data'!J17,"")</x:f>
        <x:v>-8.120499999999998</x:v>
      </x:c>
      <x:c r="P19" s="8" t="n">
        <x:f>IF(COUNT('Monthly data'!K17:K19)=3,'Monthly data'!K19-2*'Monthly data'!K18+'Monthly data'!K17,"")</x:f>
        <x:v>1.7002999999999995</x:v>
      </x:c>
      <x:c r="Q19" s="8" t="n">
        <x:f>IF(COUNT('Monthly data'!L17:L19)=3,'Monthly data'!L19-2*'Monthly data'!L18+'Monthly data'!L17,"")</x:f>
        <x:v>-0.9525</x:v>
      </x:c>
      <x:c r="R19" s="8" t="n">
        <x:f>IF(COUNT('Monthly data'!M17:M19)=3,'Monthly data'!M19-2*'Monthly data'!M18+'Monthly data'!M17,"")</x:f>
        <x:v>1.2731</x:v>
      </x:c>
      <x:c r="S19" s="8" t="n">
        <x:f>IF(COUNT('Monthly data'!N17:N19)=3,'Monthly data'!N19-2*'Monthly data'!N18+'Monthly data'!N17,"")</x:f>
        <x:v>0.7515000000000001</x:v>
      </x:c>
      <x:c r="T19" s="8" t="n">
        <x:f>IF(COUNT('Monthly data'!E18:E19)=2,'Monthly data'!E19-'Monthly data'!E18,"")</x:f>
        <x:v>0.003754198199999337</x:v>
      </x:c>
    </x:row>
    <x:row r="20" ht="19" customHeight="1">
      <x:c r="A20" s="7" t="n">
        <x:f>'Monthly data'!A20</x:f>
        <x:v>33420</x:v>
      </x:c>
      <x:c r="B20" s="8" t="n">
        <x:f>IF(ISNUMBER('Monthly data'!F20),LN(1+'Monthly data'!F20),"")</x:f>
        <x:v>4.553350437258295</x:v>
      </x:c>
      <x:c r="C20" s="8" t="n">
        <x:f>IF(ISNUMBER('Monthly data'!G20),LN(1+'Monthly data'!G20),"")</x:f>
        <x:v>3.0820934392020343</x:v>
      </x:c>
      <x:c r="D20" s="8" t="n">
        <x:f>IF(ISNUMBER('Monthly data'!H20),LN(1+'Monthly data'!H20),"")</x:f>
        <x:v>3.5149307469799185</x:v>
      </x:c>
      <x:c r="E20" s="8" t="n">
        <x:f>IF(ISNUMBER('Monthly data'!I20),LN(1+'Monthly data'!I20),"")</x:f>
        <x:v>1.5044551032139937</x:v>
      </x:c>
      <x:c r="F20" s="8" t="n">
        <x:f>IF(ISNUMBER('Monthly data'!J20),LN(1+'Monthly data'!J20),"")</x:f>
        <x:v>2.7791422012096234</x:v>
      </x:c>
      <x:c r="G20" s="8" t="n">
        <x:f>IF(ISNUMBER('Monthly data'!K20),LN(1+'Monthly data'!K20),"")</x:f>
        <x:v>2.4226854416055894</x:v>
      </x:c>
      <x:c r="H20" s="8" t="n">
        <x:f>IF(ISNUMBER('Monthly data'!L20),LN(1+'Monthly data'!L20),"")</x:f>
        <x:v>0.5495077303583347</x:v>
      </x:c>
      <x:c r="I20" s="8" t="n">
        <x:f>IF(ISNUMBER('Monthly data'!M20),LN(1+'Monthly data'!M20),"")</x:f>
        <x:v>1.4682199105185627</x:v>
      </x:c>
      <x:c r="J20" s="8" t="n">
        <x:f>IF(ISNUMBER('Monthly data'!N20),LN(1+'Monthly data'!N20),"")</x:f>
        <x:v>2.148909300389999</x:v>
      </x:c>
      <x:c r="K20" s="8" t="n">
        <x:f>IF(COUNT('Monthly data'!F18:F20)=3,'Monthly data'!F20-2*'Monthly data'!F19+'Monthly data'!F18,"")</x:f>
        <x:v>25.370000000000005</x:v>
      </x:c>
      <x:c r="L20" s="8" t="n">
        <x:f>IF(COUNT('Monthly data'!G18:G20)=3,'Monthly data'!G20-2*'Monthly data'!G19+'Monthly data'!G18,"")</x:f>
        <x:v>8.462899999999998</x:v>
      </x:c>
      <x:c r="M20" s="8" t="n">
        <x:f>IF(COUNT('Monthly data'!H18:H20)=3,'Monthly data'!H20-2*'Monthly data'!H19+'Monthly data'!H18,"")</x:f>
        <x:v>5.877700000000001</x:v>
      </x:c>
      <x:c r="N20" s="8" t="n">
        <x:f>IF(COUNT('Monthly data'!I18:I20)=3,'Monthly data'!I20-2*'Monthly data'!I19+'Monthly data'!I18,"")</x:f>
        <x:v>-3.6392999999999995</x:v>
      </x:c>
      <x:c r="O20" s="8" t="n">
        <x:f>IF(COUNT('Monthly data'!J18:J20)=3,'Monthly data'!J20-2*'Monthly data'!J19+'Monthly data'!J18,"")</x:f>
        <x:v>8.2498</x:v>
      </x:c>
      <x:c r="P20" s="8" t="n">
        <x:f>IF(COUNT('Monthly data'!K18:K20)=3,'Monthly data'!K20-2*'Monthly data'!K19+'Monthly data'!K18,"")</x:f>
        <x:v>3.3549</x:v>
      </x:c>
      <x:c r="Q20" s="8" t="n">
        <x:f>IF(COUNT('Monthly data'!L18:L20)=3,'Monthly data'!L20-2*'Monthly data'!L19+'Monthly data'!L18,"")</x:f>
        <x:v>1.0089000000000001</x:v>
      </x:c>
      <x:c r="R20" s="8" t="n">
        <x:f>IF(COUNT('Monthly data'!M18:M20)=3,'Monthly data'!M20-2*'Monthly data'!M19+'Monthly data'!M18,"")</x:f>
        <x:v>-0.006000000000000227</x:v>
      </x:c>
      <x:c r="S20" s="8" t="n">
        <x:f>IF(COUNT('Monthly data'!N18:N20)=3,'Monthly data'!N20-2*'Monthly data'!N19+'Monthly data'!N18,"")</x:f>
        <x:v>2.0611999999999995</x:v>
      </x:c>
      <x:c r="T20" s="8" t="n">
        <x:f>IF(COUNT('Monthly data'!E19:E20)=2,'Monthly data'!E20-'Monthly data'!E19,"")</x:f>
        <x:v>0.016029407399999585</x:v>
      </x:c>
    </x:row>
    <x:row r="21" ht="19" customHeight="1">
      <x:c r="A21" s="7" t="n">
        <x:f>'Monthly data'!A21</x:f>
        <x:v>33451</x:v>
      </x:c>
      <x:c r="B21" s="8" t="n">
        <x:f>IF(ISNUMBER('Monthly data'!F21),LN(1+'Monthly data'!F21),"")</x:f>
        <x:v>4.71348632947155</x:v>
      </x:c>
      <x:c r="C21" s="8" t="n">
        <x:f>IF(ISNUMBER('Monthly data'!G21),LN(1+'Monthly data'!G21),"")</x:f>
        <x:v>2.5801637978831384</x:v>
      </x:c>
      <x:c r="D21" s="8" t="n">
        <x:f>IF(ISNUMBER('Monthly data'!H21),LN(1+'Monthly data'!H21),"")</x:f>
        <x:v>3.4520172306587886</x:v>
      </x:c>
      <x:c r="E21" s="8" t="n">
        <x:f>IF(ISNUMBER('Monthly data'!I21),LN(1+'Monthly data'!I21),"")</x:f>
        <x:v>1.8847943351952443</x:v>
      </x:c>
      <x:c r="F21" s="8" t="n">
        <x:f>IF(ISNUMBER('Monthly data'!J21),LN(1+'Monthly data'!J21),"")</x:f>
        <x:v>2.864250208194601</x:v>
      </x:c>
      <x:c r="G21" s="8" t="n">
        <x:f>IF(ISNUMBER('Monthly data'!K21),LN(1+'Monthly data'!K21),"")</x:f>
        <x:v>1.8300983834545037</x:v>
      </x:c>
      <x:c r="H21" s="8" t="n">
        <x:f>IF(ISNUMBER('Monthly data'!L21),LN(1+'Monthly data'!L21),"")</x:f>
        <x:v>3.3378421601493593</x:v>
      </x:c>
      <x:c r="I21" s="8" t="n">
        <x:f>IF(ISNUMBER('Monthly data'!M21),LN(1+'Monthly data'!M21),"")</x:f>
        <x:v>1.0359919266864424</x:v>
      </x:c>
      <x:c r="J21" s="8" t="n">
        <x:f>IF(ISNUMBER('Monthly data'!N21),LN(1+'Monthly data'!N21),"")</x:f>
        <x:v>2.513267323556959</x:v>
      </x:c>
      <x:c r="K21" s="8" t="n">
        <x:f>IF(COUNT('Monthly data'!F19:F21)=3,'Monthly data'!F21-2*'Monthly data'!F20+'Monthly data'!F19,"")</x:f>
        <x:v>1.0899999999999892</x:v>
      </x:c>
      <x:c r="L21" s="8" t="n">
        <x:f>IF(COUNT('Monthly data'!G19:G21)=3,'Monthly data'!G21-2*'Monthly data'!G20+'Monthly data'!G19,"")</x:f>
        <x:v>-13.707699999999996</x:v>
      </x:c>
      <x:c r="M21" s="8" t="n">
        <x:f>IF(COUNT('Monthly data'!H19:H21)=3,'Monthly data'!H21-2*'Monthly data'!H20+'Monthly data'!H19,"")</x:f>
        <x:v>-5.566499999999998</x:v>
      </x:c>
      <x:c r="N21" s="8" t="n">
        <x:f>IF(COUNT('Monthly data'!I19:I21)=3,'Monthly data'!I21-2*'Monthly data'!I20+'Monthly data'!I19,"")</x:f>
        <x:v>4.9380999999999995</x:v>
      </x:c>
      <x:c r="O21" s="8" t="n">
        <x:f>IF(COUNT('Monthly data'!J19:J21)=3,'Monthly data'!J21-2*'Monthly data'!J20+'Monthly data'!J19,"")</x:f>
        <x:v>-1.5881999999999987</x:v>
      </x:c>
      <x:c r="P21" s="8" t="n">
        <x:f>IF(COUNT('Monthly data'!K19:K21)=3,'Monthly data'!K21-2*'Monthly data'!K20+'Monthly data'!K19,"")</x:f>
        <x:v>-10.6846</x:v>
      </x:c>
      <x:c r="Q21" s="8" t="n">
        <x:f>IF(COUNT('Monthly data'!L19:L21)=3,'Monthly data'!L21-2*'Monthly data'!L20+'Monthly data'!L19,"")</x:f>
        <x:v>26.0964</x:v>
      </x:c>
      <x:c r="R21" s="8" t="n">
        <x:f>IF(COUNT('Monthly data'!M19:M21)=3,'Monthly data'!M21-2*'Monthly data'!M20+'Monthly data'!M19,"")</x:f>
        <x:v>-2.1792</x:v>
      </x:c>
      <x:c r="S21" s="8" t="n">
        <x:f>IF(COUNT('Monthly data'!N19:N21)=3,'Monthly data'!N21-2*'Monthly data'!N20+'Monthly data'!N19,"")</x:f>
        <x:v>3.7817000000000007</x:v>
      </x:c>
      <x:c r="T21" s="8" t="n">
        <x:f>IF(COUNT('Monthly data'!E20:E21)=2,'Monthly data'!E21-'Monthly data'!E20,"")</x:f>
        <x:v>-0.012660947499998798</x:v>
      </x:c>
    </x:row>
    <x:row r="22" ht="19" customHeight="1">
      <x:c r="A22" s="7" t="n">
        <x:f>'Monthly data'!A22</x:f>
        <x:v>33482</x:v>
      </x:c>
      <x:c r="B22" s="8" t="n">
        <x:f>IF(ISNUMBER('Monthly data'!F22),LN(1+'Monthly data'!F22),"")</x:f>
        <x:v>4.646216155424092</x:v>
      </x:c>
      <x:c r="C22" s="8" t="n">
        <x:f>IF(ISNUMBER('Monthly data'!G22),LN(1+'Monthly data'!G22),"")</x:f>
        <x:v>2.671559092519795</x:v>
      </x:c>
      <x:c r="D22" s="8" t="n">
        <x:f>IF(ISNUMBER('Monthly data'!H22),LN(1+'Monthly data'!H22),"")</x:f>
        <x:v>3.7202763718109697</x:v>
      </x:c>
      <x:c r="E22" s="8" t="n">
        <x:f>IF(ISNUMBER('Monthly data'!I22),LN(1+'Monthly data'!I22),"")</x:f>
        <x:v>1.500247851195736</x:v>
      </x:c>
      <x:c r="F22" s="8" t="n">
        <x:f>IF(ISNUMBER('Monthly data'!J22),LN(1+'Monthly data'!J22),"")</x:f>
        <x:v>3.224229468509905</x:v>
      </x:c>
      <x:c r="G22" s="8" t="n">
        <x:f>IF(ISNUMBER('Monthly data'!K22),LN(1+'Monthly data'!K22),"")</x:f>
        <x:v>2.026317625357519</x:v>
      </x:c>
      <x:c r="H22" s="8" t="n">
        <x:f>IF(ISNUMBER('Monthly data'!L22),LN(1+'Monthly data'!L22),"")</x:f>
        <x:v>1.8602277587014742</x:v>
      </x:c>
      <x:c r="I22" s="8" t="n">
        <x:f>IF(ISNUMBER('Monthly data'!M22),LN(1+'Monthly data'!M22),"")</x:f>
        <x:v>0.7808374936869338</x:v>
      </x:c>
      <x:c r="J22" s="8" t="n">
        <x:f>IF(ISNUMBER('Monthly data'!N22),LN(1+'Monthly data'!N22),"")</x:f>
        <x:v>2.265931482012634</x:v>
      </x:c>
      <x:c r="K22" s="8" t="n">
        <x:f>IF(COUNT('Monthly data'!F20:F22)=3,'Monthly data'!F22-2*'Monthly data'!F21+'Monthly data'!F20,"")</x:f>
        <x:v>-23.739999999999995</x:v>
      </x:c>
      <x:c r="L22" s="8" t="n">
        <x:f>IF(COUNT('Monthly data'!G20:G22)=3,'Monthly data'!G22-2*'Monthly data'!G21+'Monthly data'!G20,"")</x:f>
        <x:v>9.8679</x:v>
      </x:c>
      <x:c r="M22" s="8" t="n">
        <x:f>IF(COUNT('Monthly data'!H20:H22)=3,'Monthly data'!H22-2*'Monthly data'!H21+'Monthly data'!H20,"")</x:f>
        <x:v>11.761399999999995</x:v>
      </x:c>
      <x:c r="N22" s="8" t="n">
        <x:f>IF(COUNT('Monthly data'!I20:I22)=3,'Monthly data'!I22-2*'Monthly data'!I21+'Monthly data'!I20,"")</x:f>
        <x:v>-4.185499999999999</x:v>
      </x:c>
      <x:c r="O22" s="8" t="n">
        <x:f>IF(COUNT('Monthly data'!J20:J22)=3,'Monthly data'!J22-2*'Monthly data'!J21+'Monthly data'!J20,"")</x:f>
        <x:v>6.167599999999997</x:v>
      </x:c>
      <x:c r="P22" s="8" t="n">
        <x:f>IF(COUNT('Monthly data'!K20:K22)=3,'Monthly data'!K22-2*'Monthly data'!K21+'Monthly data'!K20,"")</x:f>
        <x:v>6.3932</x:v>
      </x:c>
      <x:c r="Q22" s="8" t="n">
        <x:f>IF(COUNT('Monthly data'!L20:L22)=3,'Monthly data'!L22-2*'Monthly data'!L21+'Monthly data'!L20,"")</x:f>
        <x:v>-48.159000000000006</x:v>
      </x:c>
      <x:c r="R22" s="8" t="n">
        <x:f>IF(COUNT('Monthly data'!M20:M22)=3,'Monthly data'!M22-2*'Monthly data'!M21+'Monthly data'!M20,"")</x:f>
        <x:v>0.8889999999999998</x:v>
      </x:c>
      <x:c r="S22" s="8" t="n">
        <x:f>IF(COUNT('Monthly data'!N20:N22)=3,'Monthly data'!N22-2*'Monthly data'!N21+'Monthly data'!N20,"")</x:f>
        <x:v>-6.4748</x:v>
      </x:c>
      <x:c r="T22" s="8" t="n">
        <x:f>IF(COUNT('Monthly data'!E21:E22)=2,'Monthly data'!E22-'Monthly data'!E21,"")</x:f>
        <x:v>0.015926039000000003</x:v>
      </x:c>
    </x:row>
    <x:row r="23" ht="19" customHeight="1">
      <x:c r="A23" s="7" t="n">
        <x:f>'Monthly data'!A23</x:f>
        <x:v>33512</x:v>
      </x:c>
      <x:c r="B23" s="8" t="n">
        <x:f>IF(ISNUMBER('Monthly data'!F23),LN(1+'Monthly data'!F23),"")</x:f>
        <x:v>4.496916600547837</x:v>
      </x:c>
      <x:c r="C23" s="8" t="n">
        <x:f>IF(ISNUMBER('Monthly data'!G23),LN(1+'Monthly data'!G23),"")</x:f>
        <x:v>2.724828652341028</x:v>
      </x:c>
      <x:c r="D23" s="8" t="n">
        <x:f>IF(ISNUMBER('Monthly data'!H23),LN(1+'Monthly data'!H23),"")</x:f>
        <x:v>3.527080853352407</x:v>
      </x:c>
      <x:c r="E23" s="8" t="n">
        <x:f>IF(ISNUMBER('Monthly data'!I23),LN(1+'Monthly data'!I23),"")</x:f>
        <x:v>1.5215679851774597</x:v>
      </x:c>
      <x:c r="F23" s="8" t="n">
        <x:f>IF(ISNUMBER('Monthly data'!J23),LN(1+'Monthly data'!J23),"")</x:f>
        <x:v>2.5904821423366386</x:v>
      </x:c>
      <x:c r="G23" s="8" t="n">
        <x:f>IF(ISNUMBER('Monthly data'!K23),LN(1+'Monthly data'!K23),"")</x:f>
        <x:v>2.297431837753245</x:v>
      </x:c>
      <x:c r="H23" s="8" t="n">
        <x:f>IF(ISNUMBER('Monthly data'!L23),LN(1+'Monthly data'!L23),"")</x:f>
        <x:v>1.9974855465051957</x:v>
      </x:c>
      <x:c r="I23" s="8" t="n">
        <x:f>IF(ISNUMBER('Monthly data'!M23),LN(1+'Monthly data'!M23),"")</x:f>
        <x:v>1.387343810255462</x:v>
      </x:c>
      <x:c r="J23" s="8" t="n">
        <x:f>IF(ISNUMBER('Monthly data'!N23),LN(1+'Monthly data'!N23),"")</x:f>
        <x:v>2.106910783669381</x:v>
      </x:c>
      <x:c r="K23" s="8" t="n">
        <x:f>IF(COUNT('Monthly data'!F21:F23)=3,'Monthly data'!F23-2*'Monthly data'!F22+'Monthly data'!F21,"")</x:f>
        <x:v>-7.200000000000003</x:v>
      </x:c>
      <x:c r="L23" s="8" t="n">
        <x:f>IF(COUNT('Monthly data'!G21:G23)=3,'Monthly data'!G23-2*'Monthly data'!G22+'Monthly data'!G21,"")</x:f>
        <x:v>-0.47190000000000154</x:v>
      </x:c>
      <x:c r="M23" s="8" t="n">
        <x:f>IF(COUNT('Monthly data'!H21:H23)=3,'Monthly data'!H23-2*'Monthly data'!H22+'Monthly data'!H21,"")</x:f>
        <x:v>-16.96309999999999</x:v>
      </x:c>
      <x:c r="N23" s="8" t="n">
        <x:f>IF(COUNT('Monthly data'!I21:I23)=3,'Monthly data'!I23-2*'Monthly data'!I22+'Monthly data'!I21,"")</x:f>
        <x:v>2.1988</x:v>
      </x:c>
      <x:c r="O23" s="8" t="n">
        <x:f>IF(COUNT('Monthly data'!J21:J23)=3,'Monthly data'!J23-2*'Monthly data'!J22+'Monthly data'!J21,"")</x:f>
        <x:v>-19.3963</x:v>
      </x:c>
      <x:c r="P23" s="8" t="n">
        <x:f>IF(COUNT('Monthly data'!K21:K23)=3,'Monthly data'!K23-2*'Monthly data'!K22+'Monthly data'!K21,"")</x:f>
        <x:v>1.0109000000000004</x:v>
      </x:c>
      <x:c r="Q23" s="8" t="n">
        <x:f>IF(COUNT('Monthly data'!L21:L23)=3,'Monthly data'!L23-2*'Monthly data'!L22+'Monthly data'!L21,"")</x:f>
        <x:v>22.6784</x:v>
      </x:c>
      <x:c r="R23" s="8" t="n">
        <x:f>IF(COUNT('Monthly data'!M21:M23)=3,'Monthly data'!M23-2*'Monthly data'!M22+'Monthly data'!M21,"")</x:f>
        <x:v>2.4555</x:v>
      </x:c>
      <x:c r="S23" s="8" t="n">
        <x:f>IF(COUNT('Monthly data'!N21:N23)=3,'Monthly data'!N23-2*'Monthly data'!N22+'Monthly data'!N21,"")</x:f>
        <x:v>1.287799999999999</x:v>
      </x:c>
      <x:c r="T23" s="8" t="n">
        <x:f>IF(COUNT('Monthly data'!E22:E23)=2,'Monthly data'!E23-'Monthly data'!E22,"")</x:f>
        <x:v>0.0007813733999988415</x:v>
      </x:c>
    </x:row>
    <x:row r="24" ht="19" customHeight="1">
      <x:c r="A24" s="7" t="n">
        <x:f>'Monthly data'!A24</x:f>
        <x:v>33543</x:v>
      </x:c>
      <x:c r="B24" s="8" t="n">
        <x:f>IF(ISNUMBER('Monthly data'!F24),LN(1+'Monthly data'!F24),"")</x:f>
        <x:v>4.5503971601407995</x:v>
      </x:c>
      <x:c r="C24" s="8" t="n">
        <x:f>IF(ISNUMBER('Monthly data'!G24),LN(1+'Monthly data'!G24),"")</x:f>
        <x:v>2.8603420114444686</x:v>
      </x:c>
      <x:c r="D24" s="8" t="n">
        <x:f>IF(ISNUMBER('Monthly data'!H24),LN(1+'Monthly data'!H24),"")</x:f>
        <x:v>3.564941893160735</x:v>
      </x:c>
      <x:c r="E24" s="8" t="n">
        <x:f>IF(ISNUMBER('Monthly data'!I24),LN(1+'Monthly data'!I24),"")</x:f>
        <x:v>1.8919667296450804</x:v>
      </x:c>
      <x:c r="F24" s="8" t="n">
        <x:f>IF(ISNUMBER('Monthly data'!J24),LN(1+'Monthly data'!J24),"")</x:f>
        <x:v>2.729061248291674</x:v>
      </x:c>
      <x:c r="G24" s="8" t="n">
        <x:f>IF(ISNUMBER('Monthly data'!K24),LN(1+'Monthly data'!K24),"")</x:f>
        <x:v>1.9737893168123481</x:v>
      </x:c>
      <x:c r="H24" s="8" t="n">
        <x:f>IF(ISNUMBER('Monthly data'!L24),LN(1+'Monthly data'!L24),"")</x:f>
        <x:v>1.490271420242884</x:v>
      </x:c>
      <x:c r="I24" s="8" t="n">
        <x:f>IF(ISNUMBER('Monthly data'!M24),LN(1+'Monthly data'!M24),"")</x:f>
        <x:v>1.5302215299265336</x:v>
      </x:c>
      <x:c r="J24" s="8" t="n">
        <x:f>IF(ISNUMBER('Monthly data'!N24),LN(1+'Monthly data'!N24),"")</x:f>
        <x:v>2.3663858420447075</x:v>
      </x:c>
      <x:c r="K24" s="8" t="n">
        <x:f>IF(COUNT('Monthly data'!F22:F24)=3,'Monthly data'!F24-2*'Monthly data'!F23+'Monthly data'!F22,"")</x:f>
        <x:v>19.38000000000001</x:v>
      </x:c>
      <x:c r="L24" s="8" t="n">
        <x:f>IF(COUNT('Monthly data'!G22:G24)=3,'Monthly data'!G24-2*'Monthly data'!G23+'Monthly data'!G22,"")</x:f>
        <x:v>1.4224000000000014</x:v>
      </x:c>
      <x:c r="M24" s="8" t="n">
        <x:f>IF(COUNT('Monthly data'!H22:H24)=3,'Monthly data'!H24-2*'Monthly data'!H23+'Monthly data'!H22,"")</x:f>
        <x:v>8.564199999999992</x:v>
      </x:c>
      <x:c r="N24" s="8" t="n">
        <x:f>IF(COUNT('Monthly data'!I22:I24)=3,'Monthly data'!I24-2*'Monthly data'!I23+'Monthly data'!I22,"")</x:f>
        <x:v>1.9563999999999995</x:v>
      </x:c>
      <x:c r="O24" s="8" t="n">
        <x:f>IF(COUNT('Monthly data'!J22:J24)=3,'Monthly data'!J24-2*'Monthly data'!J23+'Monthly data'!J22,"")</x:f>
        <x:v>13.7803</x:v>
      </x:c>
      <x:c r="P24" s="8" t="n">
        <x:f>IF(COUNT('Monthly data'!K22:K24)=3,'Monthly data'!K24-2*'Monthly data'!K23+'Monthly data'!K22,"")</x:f>
        <x:v>-5.113200000000001</x:v>
      </x:c>
      <x:c r="Q24" s="8" t="n">
        <x:f>IF(COUNT('Monthly data'!L22:L24)=3,'Monthly data'!L24-2*'Monthly data'!L23+'Monthly data'!L22,"")</x:f>
        <x:v>-3.8774999999999995</x:v>
      </x:c>
      <x:c r="R24" s="8" t="n">
        <x:f>IF(COUNT('Monthly data'!M22:M24)=3,'Monthly data'!M24-2*'Monthly data'!M23+'Monthly data'!M22,"")</x:f>
        <x:v>-1.2058999999999997</x:v>
      </x:c>
      <x:c r="S24" s="8" t="n">
        <x:f>IF(COUNT('Monthly data'!N22:N24)=3,'Monthly data'!N24-2*'Monthly data'!N23+'Monthly data'!N22,"")</x:f>
        <x:v>3.853299999999999</x:v>
      </x:c>
      <x:c r="T24" s="8" t="n">
        <x:f>IF(COUNT('Monthly data'!E23:E24)=2,'Monthly data'!E24-'Monthly data'!E23,"")</x:f>
        <x:v>0.003765295800000956</x:v>
      </x:c>
    </x:row>
    <x:row r="25" ht="19" customHeight="1">
      <x:c r="A25" s="7" t="n">
        <x:f>'Monthly data'!A25</x:f>
        <x:v>33573</x:v>
      </x:c>
      <x:c r="B25" s="8" t="n">
        <x:f>IF(ISNUMBER('Monthly data'!F25),LN(1+'Monthly data'!F25),"")</x:f>
        <x:v>4.596532992592428</x:v>
      </x:c>
      <x:c r="C25" s="8" t="n">
        <x:f>IF(ISNUMBER('Monthly data'!G25),LN(1+'Monthly data'!G25),"")</x:f>
        <x:v>2.330015418042068</x:v>
      </x:c>
      <x:c r="D25" s="8" t="n">
        <x:f>IF(ISNUMBER('Monthly data'!H25),LN(1+'Monthly data'!H25),"")</x:f>
        <x:v>3.70576606927036</x:v>
      </x:c>
      <x:c r="E25" s="8" t="n">
        <x:f>IF(ISNUMBER('Monthly data'!I25),LN(1+'Monthly data'!I25),"")</x:f>
        <x:v>2.208768796789761</x:v>
      </x:c>
      <x:c r="F25" s="8" t="n">
        <x:f>IF(ISNUMBER('Monthly data'!J25),LN(1+'Monthly data'!J25),"")</x:f>
        <x:v>2.9114045650299243</x:v>
      </x:c>
      <x:c r="G25" s="8" t="n">
        <x:f>IF(ISNUMBER('Monthly data'!K25),LN(1+'Monthly data'!K25),"")</x:f>
        <x:v>2.418615482552039</x:v>
      </x:c>
      <x:c r="H25" s="8" t="n">
        <x:f>IF(ISNUMBER('Monthly data'!L25),LN(1+'Monthly data'!L25),"")</x:f>
        <x:v>1.5037884661509517</x:v>
      </x:c>
      <x:c r="I25" s="8" t="n">
        <x:f>IF(ISNUMBER('Monthly data'!M25),LN(1+'Monthly data'!M25),"")</x:f>
        <x:v>1.0032754418415561</x:v>
      </x:c>
      <x:c r="J25" s="8" t="n">
        <x:f>IF(ISNUMBER('Monthly data'!N25),LN(1+'Monthly data'!N25),"")</x:f>
        <x:v>2.223260460775941</x:v>
      </x:c>
      <x:c r="K25" s="8" t="n">
        <x:f>IF(COUNT('Monthly data'!F23:F25)=3,'Monthly data'!F25-2*'Monthly data'!F24+'Monthly data'!F23,"")</x:f>
        <x:v>-0.46000000000000796</x:v>
      </x:c>
      <x:c r="L25" s="8" t="n">
        <x:f>IF(COUNT('Monthly data'!G23:G25)=3,'Monthly data'!G25-2*'Monthly data'!G24+'Monthly data'!G23,"")</x:f>
        <x:v>-9.4031</x:v>
      </x:c>
      <x:c r="M25" s="8" t="n">
        <x:f>IF(COUNT('Monthly data'!H23:H25)=3,'Monthly data'!H25-2*'Monthly data'!H24+'Monthly data'!H23,"")</x:f>
        <x:v>4.0308999999999955</x:v>
      </x:c>
      <x:c r="N25" s="8" t="n">
        <x:f>IF(COUNT('Monthly data'!I23:I25)=3,'Monthly data'!I25-2*'Monthly data'!I24+'Monthly data'!I23,"")</x:f>
        <x:v>0.4191000000000007</x:v>
      </x:c>
      <x:c r="O25" s="8" t="n">
        <x:f>IF(COUNT('Monthly data'!J23:J25)=3,'Monthly data'!J25-2*'Monthly data'!J24+'Monthly data'!J23,"")</x:f>
        <x:v>1.0817999999999994</x:v>
      </x:c>
      <x:c r="P25" s="8" t="n">
        <x:f>IF(COUNT('Monthly data'!K23:K25)=3,'Monthly data'!K25-2*'Monthly data'!K24+'Monthly data'!K23,"")</x:f>
        <x:v>6.783100000000001</x:v>
      </x:c>
      <x:c r="Q25" s="8" t="n">
        <x:f>IF(COUNT('Monthly data'!L23:L25)=3,'Monthly data'!L25-2*'Monthly data'!L24+'Monthly data'!L23,"")</x:f>
        <x:v>2.9926</x:v>
      </x:c>
      <x:c r="R25" s="8" t="n">
        <x:f>IF(COUNT('Monthly data'!M23:M25)=3,'Monthly data'!M25-2*'Monthly data'!M24+'Monthly data'!M23,"")</x:f>
        <x:v>-2.5070000000000006</x:v>
      </x:c>
      <x:c r="S25" s="8" t="n">
        <x:f>IF(COUNT('Monthly data'!N23:N25)=3,'Monthly data'!N25-2*'Monthly data'!N24+'Monthly data'!N23,"")</x:f>
        <x:v>-3.8573999999999993</x:v>
      </x:c>
      <x:c r="T25" s="8" t="n">
        <x:f>IF(COUNT('Monthly data'!E24:E25)=2,'Monthly data'!E25-'Monthly data'!E24,"")</x:f>
        <x:v>0.0068801366999995395</x:v>
      </x:c>
    </x:row>
    <x:row r="26" ht="19" customHeight="1">
      <x:c r="A26" s="7" t="n">
        <x:f>'Monthly data'!A26</x:f>
        <x:v>33604</x:v>
      </x:c>
      <x:c r="B26" s="8" t="n">
        <x:f>IF(ISNUMBER('Monthly data'!F26),LN(1+'Monthly data'!F26),"")</x:f>
        <x:v>4.598548309679204</x:v>
      </x:c>
      <x:c r="C26" s="8" t="n">
        <x:f>IF(ISNUMBER('Monthly data'!G26),LN(1+'Monthly data'!G26),"")</x:f>
        <x:v>2.533784111734172</x:v>
      </x:c>
      <x:c r="D26" s="8" t="n">
        <x:f>IF(ISNUMBER('Monthly data'!H26),LN(1+'Monthly data'!H26),"")</x:f>
        <x:v>3.647927242782507</x:v>
      </x:c>
      <x:c r="E26" s="8" t="n">
        <x:f>IF(ISNUMBER('Monthly data'!I26),LN(1+'Monthly data'!I26),"")</x:f>
        <x:v>2.054008342422845</x:v>
      </x:c>
      <x:c r="F26" s="8" t="n">
        <x:f>IF(ISNUMBER('Monthly data'!J26),LN(1+'Monthly data'!J26),"")</x:f>
        <x:v>2.962966283780324</x:v>
      </x:c>
      <x:c r="G26" s="8" t="n">
        <x:f>IF(ISNUMBER('Monthly data'!K26),LN(1+'Monthly data'!K26),"")</x:f>
        <x:v>2.185893960993835</x:v>
      </x:c>
      <x:c r="H26" s="8" t="n">
        <x:f>IF(ISNUMBER('Monthly data'!L26),LN(1+'Monthly data'!L26),"")</x:f>
        <x:v>1.9478653792035976</x:v>
      </x:c>
      <x:c r="I26" s="8" t="n">
        <x:f>IF(ISNUMBER('Monthly data'!M26),LN(1+'Monthly data'!M26),"")</x:f>
        <x:v>1.0749341613135326</x:v>
      </x:c>
      <x:c r="J26" s="8" t="n">
        <x:f>IF(ISNUMBER('Monthly data'!N26),LN(1+'Monthly data'!N26),"")</x:f>
        <x:v>2.2350982297643007</x:v>
      </x:c>
      <x:c r="K26" s="8" t="n">
        <x:f>IF(COUNT('Monthly data'!F24:F26)=3,'Monthly data'!F26-2*'Monthly data'!F25+'Monthly data'!F24,"")</x:f>
        <x:v>-4.269999999999996</x:v>
      </x:c>
      <x:c r="L26" s="8" t="n">
        <x:f>IF(COUNT('Monthly data'!G24:G26)=3,'Monthly data'!G26-2*'Monthly data'!G25+'Monthly data'!G24,"")</x:f>
        <x:v>9.512400000000001</x:v>
      </x:c>
      <x:c r="M26" s="8" t="n">
        <x:f>IF(COUNT('Monthly data'!H24:H26)=3,'Monthly data'!H26-2*'Monthly data'!H25+'Monthly data'!H24,"")</x:f>
        <x:v>-7.629999999999988</x:v>
      </x:c>
      <x:c r="N26" s="8" t="n">
        <x:f>IF(COUNT('Monthly data'!I24:I26)=3,'Monthly data'!I26-2*'Monthly data'!I25+'Monthly data'!I24,"")</x:f>
        <x:v>-3.7775000000000007</x:v>
      </x:c>
      <x:c r="O26" s="8" t="n">
        <x:f>IF(COUNT('Monthly data'!J24:J26)=3,'Monthly data'!J26-2*'Monthly data'!J25+'Monthly data'!J24,"")</x:f>
        <x:v>-2.0914</x:v>
      </x:c>
      <x:c r="P26" s="8" t="n">
        <x:f>IF(COUNT('Monthly data'!K24:K26)=3,'Monthly data'!K26-2*'Monthly data'!K25+'Monthly data'!K24,"")</x:f>
        <x:v>-6.3641</x:v>
      </x:c>
      <x:c r="Q26" s="8" t="n">
        <x:f>IF(COUNT('Monthly data'!L24:L26)=3,'Monthly data'!L26-2*'Monthly data'!L25+'Monthly data'!L24,"")</x:f>
        <x:v>2.4546</x:v>
      </x:c>
      <x:c r="R26" s="8" t="n">
        <x:f>IF(COUNT('Monthly data'!M24:M26)=3,'Monthly data'!M26-2*'Monthly data'!M25+'Monthly data'!M24,"")</x:f>
        <x:v>2.0946</x:v>
      </x:c>
      <x:c r="S26" s="8" t="n">
        <x:f>IF(COUNT('Monthly data'!N24:N26)=3,'Monthly data'!N26-2*'Monthly data'!N25+'Monthly data'!N24,"")</x:f>
        <x:v>1.5314000000000014</x:v>
      </x:c>
      <x:c r="T26" s="8" t="n">
        <x:f>IF(COUNT('Monthly data'!E25:E26)=2,'Monthly data'!E26-'Monthly data'!E25,"")</x:f>
        <x:v>-0.01769023079999954</x:v>
      </x:c>
    </x:row>
    <x:row r="27" ht="19" customHeight="1">
      <x:c r="A27" s="7" t="n">
        <x:f>'Monthly data'!A27</x:f>
        <x:v>33635</x:v>
      </x:c>
      <x:c r="B27" s="8" t="n">
        <x:f>IF(ISNUMBER('Monthly data'!F27),LN(1+'Monthly data'!F27),"")</x:f>
        <x:v>4.480173695813406</x:v>
      </x:c>
      <x:c r="C27" s="8" t="n">
        <x:f>IF(ISNUMBER('Monthly data'!G27),LN(1+'Monthly data'!G27),"")</x:f>
        <x:v>2.8316650873015123</x:v>
      </x:c>
      <x:c r="D27" s="8" t="n">
        <x:f>IF(ISNUMBER('Monthly data'!H27),LN(1+'Monthly data'!H27),"")</x:f>
        <x:v>3.5612193630446742</x:v>
      </x:c>
      <x:c r="E27" s="8" t="n">
        <x:f>IF(ISNUMBER('Monthly data'!I27),LN(1+'Monthly data'!I27),"")</x:f>
        <x:v>1.615101842058539</x:v>
      </x:c>
      <x:c r="F27" s="8" t="n">
        <x:f>IF(ISNUMBER('Monthly data'!J27),LN(1+'Monthly data'!J27),"")</x:f>
        <x:v>2.596082722266509</x:v>
      </x:c>
      <x:c r="G27" s="8" t="n">
        <x:f>IF(ISNUMBER('Monthly data'!K27),LN(1+'Monthly data'!K27),"")</x:f>
        <x:v>1.6735575958714066</x:v>
      </x:c>
      <x:c r="H27" s="8" t="n">
        <x:f>IF(ISNUMBER('Monthly data'!L27),LN(1+'Monthly data'!L27),"")</x:f>
        <x:v>1.769275249675066</x:v>
      </x:c>
      <x:c r="I27" s="8" t="n">
        <x:f>IF(ISNUMBER('Monthly data'!M27),LN(1+'Monthly data'!M27),"")</x:f>
        <x:v>1.5024761154093003</x:v>
      </x:c>
      <x:c r="J27" s="8" t="n">
        <x:f>IF(ISNUMBER('Monthly data'!N27),LN(1+'Monthly data'!N27),"")</x:f>
        <x:v>2.1905691456693774</x:v>
      </x:c>
      <x:c r="K27" s="8" t="n">
        <x:f>IF(COUNT('Monthly data'!F25:F27)=3,'Monthly data'!F27-2*'Monthly data'!F26+'Monthly data'!F25,"")</x:f>
        <x:v>-11.290000000000006</x:v>
      </x:c>
      <x:c r="L27" s="8" t="n">
        <x:f>IF(COUNT('Monthly data'!G25:G27)=3,'Monthly data'!G27-2*'Monthly data'!G26+'Monthly data'!G25,"")</x:f>
        <x:v>2.049599999999998</x:v>
      </x:c>
      <x:c r="M27" s="8" t="n">
        <x:f>IF(COUNT('Monthly data'!H25:H27)=3,'Monthly data'!H27-2*'Monthly data'!H26+'Monthly data'!H25,"")</x:f>
        <x:v>-0.90270000000001</x:v>
      </x:c>
      <x:c r="N27" s="8" t="n">
        <x:f>IF(COUNT('Monthly data'!I25:I27)=3,'Monthly data'!I27-2*'Monthly data'!I26+'Monthly data'!I25,"")</x:f>
        <x:v>-1.465300000000001</x:v>
      </x:c>
      <x:c r="O27" s="8" t="n">
        <x:f>IF(COUNT('Monthly data'!J25:J27)=3,'Monthly data'!J27-2*'Monthly data'!J26+'Monthly data'!J25,"")</x:f>
        <x:v>-6.916900000000002</x:v>
      </x:c>
      <x:c r="P27" s="8" t="n">
        <x:f>IF(COUNT('Monthly data'!K25:K27)=3,'Monthly data'!K27-2*'Monthly data'!K26+'Monthly data'!K25,"")</x:f>
        <x:v>-1.2358000000000011</x:v>
      </x:c>
      <x:c r="Q27" s="8" t="n">
        <x:f>IF(COUNT('Monthly data'!L25:L27)=3,'Monthly data'!L27-2*'Monthly data'!L26+'Monthly data'!L25,"")</x:f>
        <x:v>-3.6621</x:v>
      </x:c>
      <x:c r="R27" s="8" t="n">
        <x:f>IF(COUNT('Monthly data'!M25:M27)=3,'Monthly data'!M27-2*'Monthly data'!M26+'Monthly data'!M25,"")</x:f>
        <x:v>1.3604</x:v>
      </x:c>
      <x:c r="S27" s="8" t="n">
        <x:f>IF(COUNT('Monthly data'!N25:N27)=3,'Monthly data'!N27-2*'Monthly data'!N26+'Monthly data'!N25,"")</x:f>
        <x:v>-0.517100000000001</x:v>
      </x:c>
      <x:c r="T27" s="8" t="n">
        <x:f>IF(COUNT('Monthly data'!E26:E27)=2,'Monthly data'!E27-'Monthly data'!E26,"")</x:f>
        <x:v>-0.0022783157999999304</x:v>
      </x:c>
    </x:row>
    <x:row r="28" ht="19" customHeight="1">
      <x:c r="A28" s="7" t="n">
        <x:f>'Monthly data'!A28</x:f>
        <x:v>33664</x:v>
      </x:c>
      <x:c r="B28" s="8" t="n">
        <x:f>IF(ISNUMBER('Monthly data'!F28),LN(1+'Monthly data'!F28),"")</x:f>
        <x:v>4.439351701293151</x:v>
      </x:c>
      <x:c r="C28" s="8" t="n">
        <x:f>IF(ISNUMBER('Monthly data'!G28),LN(1+'Monthly data'!G28),"")</x:f>
        <x:v>2.8486871228900528</x:v>
      </x:c>
      <x:c r="D28" s="8" t="n">
        <x:f>IF(ISNUMBER('Monthly data'!H28),LN(1+'Monthly data'!H28),"")</x:f>
        <x:v>3.4683855144764126</x:v>
      </x:c>
      <x:c r="E28" s="8" t="n">
        <x:f>IF(ISNUMBER('Monthly data'!I28),LN(1+'Monthly data'!I28),"")</x:f>
        <x:v>1.9906786316513998</x:v>
      </x:c>
      <x:c r="F28" s="8" t="n">
        <x:f>IF(ISNUMBER('Monthly data'!J28),LN(1+'Monthly data'!J28),"")</x:f>
        <x:v>2.5987485962111214</x:v>
      </x:c>
      <x:c r="G28" s="8" t="n">
        <x:f>IF(ISNUMBER('Monthly data'!K28),LN(1+'Monthly data'!K28),"")</x:f>
        <x:v>1.8278342133650454</x:v>
      </x:c>
      <x:c r="H28" s="8" t="n">
        <x:f>IF(ISNUMBER('Monthly data'!L28),LN(1+'Monthly data'!L28),"")</x:f>
        <x:v>0.9029623016628223</x:v>
      </x:c>
      <x:c r="I28" s="8" t="n">
        <x:f>IF(ISNUMBER('Monthly data'!M28),LN(1+'Monthly data'!M28),"")</x:f>
        <x:v>1.4125223797367716</x:v>
      </x:c>
      <x:c r="J28" s="8" t="n">
        <x:f>IF(ISNUMBER('Monthly data'!N28),LN(1+'Monthly data'!N28),"")</x:f>
        <x:v>2.1757739261276585</x:v>
      </x:c>
      <x:c r="K28" s="8" t="n">
        <x:f>IF(COUNT('Monthly data'!F26:F28)=3,'Monthly data'!F28-2*'Monthly data'!F27+'Monthly data'!F26,"")</x:f>
        <x:v>7.560000000000002</x:v>
      </x:c>
      <x:c r="L28" s="8" t="n">
        <x:f>IF(COUNT('Monthly data'!G26:G28)=3,'Monthly data'!G28-2*'Monthly data'!G27+'Monthly data'!G26,"")</x:f>
        <x:v>-4.081199999999997</x:v>
      </x:c>
      <x:c r="M28" s="8" t="n">
        <x:f>IF(COUNT('Monthly data'!H26:H28)=3,'Monthly data'!H28-2*'Monthly data'!H27+'Monthly data'!H26,"")</x:f>
        <x:v>0.0677000000000092</x:v>
      </x:c>
      <x:c r="N28" s="8" t="n">
        <x:f>IF(COUNT('Monthly data'!I26:I28)=3,'Monthly data'!I28-2*'Monthly data'!I27+'Monthly data'!I26,"")</x:f>
        <x:v>5.062799999999999</x:v>
      </x:c>
      <x:c r="O28" s="8" t="n">
        <x:f>IF(COUNT('Monthly data'!J26:J28)=3,'Monthly data'!J28-2*'Monthly data'!J27+'Monthly data'!J26,"")</x:f>
        <x:v>5.98</x:v>
      </x:c>
      <x:c r="P28" s="8" t="n">
        <x:f>IF(COUNT('Monthly data'!K26:K28)=3,'Monthly data'!K28-2*'Monthly data'!K27+'Monthly data'!K26,"")</x:f>
        <x:v>4.456799999999999</x:v>
      </x:c>
      <x:c r="Q28" s="8" t="n">
        <x:f>IF(COUNT('Monthly data'!L26:L28)=3,'Monthly data'!L28-2*'Monthly data'!L27+'Monthly data'!L26,"")</x:f>
        <x:v>-2.2525999999999993</x:v>
      </x:c>
      <x:c r="R28" s="8" t="n">
        <x:f>IF(COUNT('Monthly data'!M26:M28)=3,'Monthly data'!M28-2*'Monthly data'!M27+'Monthly data'!M26,"")</x:f>
        <x:v>-1.9494999999999998</x:v>
      </x:c>
      <x:c r="S28" s="8" t="n">
        <x:f>IF(COUNT('Monthly data'!N26:N28)=3,'Monthly data'!N28-2*'Monthly data'!N27+'Monthly data'!N26,"")</x:f>
        <x:v>0.27580000000000027</x:v>
      </x:c>
      <x:c r="T28" s="8" t="n">
        <x:f>IF(COUNT('Monthly data'!E27:E28)=2,'Monthly data'!E28-'Monthly data'!E27,"")</x:f>
        <x:v>-0.01897024370000011</x:v>
      </x:c>
    </x:row>
    <x:row r="29" ht="19" customHeight="1">
      <x:c r="A29" s="7" t="n">
        <x:f>'Monthly data'!A29</x:f>
        <x:v>33695</x:v>
      </x:c>
      <x:c r="B29" s="8" t="n">
        <x:f>IF(ISNUMBER('Monthly data'!F29),LN(1+'Monthly data'!F29),"")</x:f>
        <x:v>4.417635062141249</x:v>
      </x:c>
      <x:c r="C29" s="8" t="n">
        <x:f>IF(ISNUMBER('Monthly data'!G29),LN(1+'Monthly data'!G29),"")</x:f>
        <x:v>2.852063961241115</x:v>
      </x:c>
      <x:c r="D29" s="8" t="n">
        <x:f>IF(ISNUMBER('Monthly data'!H29),LN(1+'Monthly data'!H29),"")</x:f>
        <x:v>3.050878386295711</x:v>
      </x:c>
      <x:c r="E29" s="8" t="n">
        <x:f>IF(ISNUMBER('Monthly data'!I29),LN(1+'Monthly data'!I29),"")</x:f>
        <x:v>1.6773582089180796</x:v>
      </x:c>
      <x:c r="F29" s="8" t="n">
        <x:f>IF(ISNUMBER('Monthly data'!J29),LN(1+'Monthly data'!J29),"")</x:f>
        <x:v>2.9888989796896124</x:v>
      </x:c>
      <x:c r="G29" s="8" t="n">
        <x:f>IF(ISNUMBER('Monthly data'!K29),LN(1+'Monthly data'!K29),"")</x:f>
        <x:v>1.5103024254626698</x:v>
      </x:c>
      <x:c r="H29" s="8" t="n">
        <x:f>IF(ISNUMBER('Monthly data'!L29),LN(1+'Monthly data'!L29),"")</x:f>
        <x:v>1.868782236854126</x:v>
      </x:c>
      <x:c r="I29" s="8" t="n">
        <x:f>IF(ISNUMBER('Monthly data'!M29),LN(1+'Monthly data'!M29),"")</x:f>
        <x:v>1.8504685320420684</x:v>
      </x:c>
      <x:c r="J29" s="8" t="n">
        <x:f>IF(ISNUMBER('Monthly data'!N29),LN(1+'Monthly data'!N29),"")</x:f>
        <x:v>2.1810951954063356</x:v>
      </x:c>
      <x:c r="K29" s="8" t="n">
        <x:f>IF(COUNT('Monthly data'!F27:F29)=3,'Monthly data'!F29-2*'Monthly data'!F28+'Monthly data'!F27,"")</x:f>
        <x:v>1.710000000000008</x:v>
      </x:c>
      <x:c r="L29" s="8" t="n">
        <x:f>IF(COUNT('Monthly data'!G27:G29)=3,'Monthly data'!G29-2*'Monthly data'!G28+'Monthly data'!G27,"")</x:f>
        <x:v>-0.23300000000000232</x:v>
      </x:c>
      <x:c r="M29" s="8" t="n">
        <x:f>IF(COUNT('Monthly data'!H27:H29)=3,'Monthly data'!H29-2*'Monthly data'!H28+'Monthly data'!H27,"")</x:f>
        <x:v>-7.829799999999999</x:v>
      </x:c>
      <x:c r="N29" s="8" t="n">
        <x:f>IF(COUNT('Monthly data'!I27:I29)=3,'Monthly data'!I29-2*'Monthly data'!I28+'Monthly data'!I27,"")</x:f>
        <x:v>-4.2612</x:v>
      </x:c>
      <x:c r="O29" s="8" t="n">
        <x:f>IF(COUNT('Monthly data'!J27:J29)=3,'Monthly data'!J29-2*'Monthly data'!J28+'Monthly data'!J27,"")</x:f>
        <x:v>6.381100000000002</x:v>
      </x:c>
      <x:c r="P29" s="8" t="n">
        <x:f>IF(COUNT('Monthly data'!K27:K29)=3,'Monthly data'!K29-2*'Monthly data'!K28+'Monthly data'!K27,"")</x:f>
        <x:v>-2.581599999999999</x:v>
      </x:c>
      <x:c r="Q29" s="8" t="n">
        <x:f>IF(COUNT('Monthly data'!L27:L29)=3,'Monthly data'!L29-2*'Monthly data'!L28+'Monthly data'!L27,"")</x:f>
        <x:v>7.4132</x:v>
      </x:c>
      <x:c r="R29" s="8" t="n">
        <x:f>IF(COUNT('Monthly data'!M27:M29)=3,'Monthly data'!M29-2*'Monthly data'!M28+'Monthly data'!M27,"")</x:f>
        <x:v>2.643</x:v>
      </x:c>
      <x:c r="S29" s="8" t="n">
        <x:f>IF(COUNT('Monthly data'!N27:N29)=3,'Monthly data'!N29-2*'Monthly data'!N28+'Monthly data'!N27,"")</x:f>
        <x:v>0.17829999999999924</x:v>
      </x:c>
      <x:c r="T29" s="8" t="n">
        <x:f>IF(COUNT('Monthly data'!E28:E29)=2,'Monthly data'!E29-'Monthly data'!E28,"")</x:f>
        <x:v>-0.0027874881000009566</x:v>
      </x:c>
    </x:row>
    <x:row r="30" ht="19" customHeight="1">
      <x:c r="A30" s="7" t="n">
        <x:f>'Monthly data'!A30</x:f>
        <x:v>33725</x:v>
      </x:c>
      <x:c r="B30" s="8" t="n">
        <x:f>IF(ISNUMBER('Monthly data'!F30),LN(1+'Monthly data'!F30),"")</x:f>
        <x:v>4.498030310430188</x:v>
      </x:c>
      <x:c r="C30" s="8" t="n">
        <x:f>IF(ISNUMBER('Monthly data'!G30),LN(1+'Monthly data'!G30),"")</x:f>
        <x:v>3.0405144163258844</x:v>
      </x:c>
      <x:c r="D30" s="8" t="n">
        <x:f>IF(ISNUMBER('Monthly data'!H30),LN(1+'Monthly data'!H30),"")</x:f>
        <x:v>2.9414978160782983</x:v>
      </x:c>
      <x:c r="E30" s="8" t="n">
        <x:f>IF(ISNUMBER('Monthly data'!I30),LN(1+'Monthly data'!I30),"")</x:f>
        <x:v>1.5755501537667433</x:v>
      </x:c>
      <x:c r="F30" s="8" t="n">
        <x:f>IF(ISNUMBER('Monthly data'!J30),LN(1+'Monthly data'!J30),"")</x:f>
        <x:v>3.2420687769442846</x:v>
      </x:c>
      <x:c r="G30" s="8" t="n">
        <x:f>IF(ISNUMBER('Monthly data'!K30),LN(1+'Monthly data'!K30),"")</x:f>
        <x:v>1.6996990033788415</x:v>
      </x:c>
      <x:c r="H30" s="8" t="n">
        <x:f>IF(ISNUMBER('Monthly data'!L30),LN(1+'Monthly data'!L30),"")</x:f>
        <x:v>1.5336577737581132</x:v>
      </x:c>
      <x:c r="I30" s="8" t="n">
        <x:f>IF(ISNUMBER('Monthly data'!M30),LN(1+'Monthly data'!M30),"")</x:f>
        <x:v>1.8830920519012384</x:v>
      </x:c>
      <x:c r="J30" s="8" t="n">
        <x:f>IF(ISNUMBER('Monthly data'!N30),LN(1+'Monthly data'!N30),"")</x:f>
        <x:v>2.290360678371323</x:v>
      </x:c>
      <x:c r="K30" s="8" t="n">
        <x:f>IF(COUNT('Monthly data'!F28:F30)=3,'Monthly data'!F30-2*'Monthly data'!F29+'Monthly data'!F28,"")</x:f>
        <x:v>8.759999999999991</x:v>
      </x:c>
      <x:c r="L30" s="8" t="n">
        <x:f>IF(COUNT('Monthly data'!G28:G30)=3,'Monthly data'!G30-2*'Monthly data'!G29+'Monthly data'!G28,"")</x:f>
        <x:v>3.5341000000000022</x:v>
      </x:c>
      <x:c r="M30" s="8" t="n">
        <x:f>IF(COUNT('Monthly data'!H28:H30)=3,'Monthly data'!H30-2*'Monthly data'!H29+'Monthly data'!H28,"")</x:f>
        <x:v>8.761299999999999</x:v>
      </x:c>
      <x:c r="N30" s="8" t="n">
        <x:f>IF(COUNT('Monthly data'!I28:I30)=3,'Monthly data'!I30-2*'Monthly data'!I29+'Monthly data'!I28,"")</x:f>
        <x:v>1.4511000000000003</x:v>
      </x:c>
      <x:c r="O30" s="8" t="n">
        <x:f>IF(COUNT('Monthly data'!J28:J30)=3,'Monthly data'!J30-2*'Monthly data'!J29+'Monthly data'!J28,"")</x:f>
        <x:v>-0.6941000000000024</x:v>
      </x:c>
      <x:c r="P30" s="8" t="n">
        <x:f>IF(COUNT('Monthly data'!K28:K30)=3,'Monthly data'!K30-2*'Monthly data'!K29+'Monthly data'!K28,"")</x:f>
        <x:v>2.6365</x:v>
      </x:c>
      <x:c r="Q30" s="8" t="n">
        <x:f>IF(COUNT('Monthly data'!L28:L30)=3,'Monthly data'!L30-2*'Monthly data'!L29+'Monthly data'!L28,"")</x:f>
        <x:v>-5.858800000000001</x:v>
      </x:c>
      <x:c r="R30" s="8" t="n">
        <x:f>IF(COUNT('Monthly data'!M28:M30)=3,'Monthly data'!M30-2*'Monthly data'!M29+'Monthly data'!M28,"")</x:f>
        <x:v>-2.0454999999999997</x:v>
      </x:c>
      <x:c r="S30" s="8" t="n">
        <x:f>IF(COUNT('Monthly data'!N28:N30)=3,'Monthly data'!N30-2*'Monthly data'!N29+'Monthly data'!N28,"")</x:f>
        <x:v>0.9755000000000011</x:v>
      </x:c>
      <x:c r="T30" s="8" t="n">
        <x:f>IF(COUNT('Monthly data'!E29:E30)=2,'Monthly data'!E30-'Monthly data'!E29,"")</x:f>
        <x:v>-0.00365658029999949</x:v>
      </x:c>
    </x:row>
    <x:row r="31" ht="19" customHeight="1">
      <x:c r="A31" s="7" t="n">
        <x:f>'Monthly data'!A31</x:f>
        <x:v>33756</x:v>
      </x:c>
      <x:c r="B31" s="8" t="n">
        <x:f>IF(ISNUMBER('Monthly data'!F31),LN(1+'Monthly data'!F31),"")</x:f>
        <x:v>4.550925171135695</x:v>
      </x:c>
      <x:c r="C31" s="8" t="n">
        <x:f>IF(ISNUMBER('Monthly data'!G31),LN(1+'Monthly data'!G31),"")</x:f>
        <x:v>3.1734976332945086</x:v>
      </x:c>
      <x:c r="D31" s="8" t="n">
        <x:f>IF(ISNUMBER('Monthly data'!H31),LN(1+'Monthly data'!H31),"")</x:f>
        <x:v>3.583824447339074</x:v>
      </x:c>
      <x:c r="E31" s="8" t="n">
        <x:f>IF(ISNUMBER('Monthly data'!I31),LN(1+'Monthly data'!I31),"")</x:f>
        <x:v>1.5080694180458114</x:v>
      </x:c>
      <x:c r="F31" s="8" t="n">
        <x:f>IF(ISNUMBER('Monthly data'!J31),LN(1+'Monthly data'!J31),"")</x:f>
        <x:v>2.866636742219038</x:v>
      </x:c>
      <x:c r="G31" s="8" t="n">
        <x:f>IF(ISNUMBER('Monthly data'!K31),LN(1+'Monthly data'!K31),"")</x:f>
        <x:v>1.2612978709452054</x:v>
      </x:c>
      <x:c r="H31" s="8" t="n">
        <x:f>IF(ISNUMBER('Monthly data'!L31),LN(1+'Monthly data'!L31),"")</x:f>
        <x:v>0.9837998364565591</x:v>
      </x:c>
      <x:c r="I31" s="8" t="n">
        <x:f>IF(ISNUMBER('Monthly data'!M31),LN(1+'Monthly data'!M31),"")</x:f>
        <x:v>1.5133894601737188</x:v>
      </x:c>
      <x:c r="J31" s="8" t="n">
        <x:f>IF(ISNUMBER('Monthly data'!N31),LN(1+'Monthly data'!N31),"")</x:f>
        <x:v>2.1945209257619047</x:v>
      </x:c>
      <x:c r="K31" s="8" t="n">
        <x:f>IF(COUNT('Monthly data'!F29:F31)=3,'Monthly data'!F31-2*'Monthly data'!F30+'Monthly data'!F29,"")</x:f>
        <x:v>-2.0600000000000023</x:v>
      </x:c>
      <x:c r="L31" s="8" t="n">
        <x:f>IF(COUNT('Monthly data'!G29:G31)=3,'Monthly data'!G31-2*'Monthly data'!G30+'Monthly data'!G29,"")</x:f>
        <x:v>-0.617600000000003</x:v>
      </x:c>
      <x:c r="M31" s="8" t="n">
        <x:f>IF(COUNT('Monthly data'!H29:H31)=3,'Monthly data'!H31-2*'Monthly data'!H30+'Monthly data'!H29,"")</x:f>
        <x:v>19.256500000000006</x:v>
      </x:c>
      <x:c r="N31" s="8" t="n">
        <x:f>IF(COUNT('Monthly data'!I29:I31)=3,'Monthly data'!I31-2*'Monthly data'!I30+'Monthly data'!I29,"")</x:f>
        <x:v>0.20259999999999945</x:v>
      </x:c>
      <x:c r="O31" s="8" t="n">
        <x:f>IF(COUNT('Monthly data'!J29:J31)=3,'Monthly data'!J31-2*'Monthly data'!J30+'Monthly data'!J29,"")</x:f>
        <x:v>-13.731599999999997</x:v>
      </x:c>
      <x:c r="P31" s="8" t="n">
        <x:f>IF(COUNT('Monthly data'!K29:K31)=3,'Monthly data'!K31-2*'Monthly data'!K30+'Monthly data'!K29,"")</x:f>
        <x:v>-2.8865000000000003</x:v>
      </x:c>
      <x:c r="Q31" s="8" t="n">
        <x:f>IF(COUNT('Monthly data'!L29:L31)=3,'Monthly data'!L31-2*'Monthly data'!L30+'Monthly data'!L29,"")</x:f>
        <x:v>-0.11519999999999975</x:v>
      </x:c>
      <x:c r="R31" s="8" t="n">
        <x:f>IF(COUNT('Monthly data'!M29:M31)=3,'Monthly data'!M31-2*'Monthly data'!M30+'Monthly data'!M29,"")</x:f>
        <x:v>-2.242700000000001</x:v>
      </x:c>
      <x:c r="S31" s="8" t="n">
        <x:f>IF(COUNT('Monthly data'!N29:N31)=3,'Monthly data'!N31-2*'Monthly data'!N30+'Monthly data'!N29,"")</x:f>
        <x:v>-1.9253000000000018</x:v>
      </x:c>
      <x:c r="T31" s="8" t="n">
        <x:f>IF(COUNT('Monthly data'!E30:E31)=2,'Monthly data'!E31-'Monthly data'!E30,"")</x:f>
        <x:v>-0.0017270357000001013</x:v>
      </x:c>
    </x:row>
    <x:row r="32" ht="19" customHeight="1">
      <x:c r="A32" s="7" t="n">
        <x:f>'Monthly data'!A32</x:f>
        <x:v>33786</x:v>
      </x:c>
      <x:c r="B32" s="8" t="n">
        <x:f>IF(ISNUMBER('Monthly data'!F32),LN(1+'Monthly data'!F32),"")</x:f>
        <x:v>4.574401652316455</x:v>
      </x:c>
      <x:c r="C32" s="8" t="n">
        <x:f>IF(ISNUMBER('Monthly data'!G32),LN(1+'Monthly data'!G32),"")</x:f>
        <x:v>3.2215801648422784</x:v>
      </x:c>
      <x:c r="D32" s="8" t="n">
        <x:f>IF(ISNUMBER('Monthly data'!H32),LN(1+'Monthly data'!H32),"")</x:f>
        <x:v>3.5061428111836497</x:v>
      </x:c>
      <x:c r="E32" s="8" t="n">
        <x:f>IF(ISNUMBER('Monthly data'!I32),LN(1+'Monthly data'!I32),"")</x:f>
        <x:v>2.09872933058712</x:v>
      </x:c>
      <x:c r="F32" s="8" t="n">
        <x:f>IF(ISNUMBER('Monthly data'!J32),LN(1+'Monthly data'!J32),"")</x:f>
        <x:v>2.870962386598041</x:v>
      </x:c>
      <x:c r="G32" s="8" t="n">
        <x:f>IF(ISNUMBER('Monthly data'!K32),LN(1+'Monthly data'!K32),"")</x:f>
        <x:v>1.0466521052928555</x:v>
      </x:c>
      <x:c r="H32" s="8" t="n">
        <x:f>IF(ISNUMBER('Monthly data'!L32),LN(1+'Monthly data'!L32),"")</x:f>
        <x:v>1.4756321964720858</x:v>
      </x:c>
      <x:c r="I32" s="8" t="n">
        <x:f>IF(ISNUMBER('Monthly data'!M32),LN(1+'Monthly data'!M32),"")</x:f>
        <x:v>1.333315436329004</x:v>
      </x:c>
      <x:c r="J32" s="8" t="n">
        <x:f>IF(ISNUMBER('Monthly data'!N32),LN(1+'Monthly data'!N32),"")</x:f>
        <x:v>2.169910476089505</x:v>
      </x:c>
      <x:c r="K32" s="8" t="n">
        <x:f>IF(COUNT('Monthly data'!F30:F32)=3,'Monthly data'!F32-2*'Monthly data'!F31+'Monthly data'!F30,"")</x:f>
        <x:v>-2.6299999999999955</x:v>
      </x:c>
      <x:c r="L32" s="8" t="n">
        <x:f>IF(COUNT('Monthly data'!G30:G32)=3,'Monthly data'!G32-2*'Monthly data'!G31+'Monthly data'!G30,"")</x:f>
        <x:v>-1.798099999999998</x:v>
      </x:c>
      <x:c r="M32" s="8" t="n">
        <x:f>IF(COUNT('Monthly data'!H30:H32)=3,'Monthly data'!H32-2*'Monthly data'!H31+'Monthly data'!H30,"")</x:f>
        <x:v>-19.75830000000001</x:v>
      </x:c>
      <x:c r="N32" s="8" t="n">
        <x:f>IF(COUNT('Monthly data'!I30:I32)=3,'Monthly data'!I32-2*'Monthly data'!I31+'Monthly data'!I30,"")</x:f>
        <x:v>3.9532000000000007</x:v>
      </x:c>
      <x:c r="O32" s="8" t="n">
        <x:f>IF(COUNT('Monthly data'!J30:J32)=3,'Monthly data'!J32-2*'Monthly data'!J31+'Monthly data'!J30,"")</x:f>
        <x:v>8.085</x:v>
      </x:c>
      <x:c r="P32" s="8" t="n">
        <x:f>IF(COUNT('Monthly data'!K30:K32)=3,'Monthly data'!K32-2*'Monthly data'!K31+'Monthly data'!K30,"")</x:f>
        <x:v>1.2604000000000002</x:v>
      </x:c>
      <x:c r="Q32" s="8" t="n">
        <x:f>IF(COUNT('Monthly data'!L30:L32)=3,'Monthly data'!L32-2*'Monthly data'!L31+'Monthly data'!L30,"")</x:f>
        <x:v>3.6597</x:v>
      </x:c>
      <x:c r="R32" s="8" t="n">
        <x:f>IF(COUNT('Monthly data'!M30:M32)=3,'Monthly data'!M32-2*'Monthly data'!M31+'Monthly data'!M30,"")</x:f>
        <x:v>1.2832000000000008</x:v>
      </x:c>
      <x:c r="S32" s="8" t="n">
        <x:f>IF(COUNT('Monthly data'!N30:N32)=3,'Monthly data'!N32-2*'Monthly data'!N31+'Monthly data'!N30,"")</x:f>
        <x:v>0.6846000000000014</x:v>
      </x:c>
      <x:c r="T32" s="8" t="n">
        <x:f>IF(COUNT('Monthly data'!E31:E32)=2,'Monthly data'!E32-'Monthly data'!E31,"")</x:f>
        <x:v>0.008457667000000058</x:v>
      </x:c>
    </x:row>
    <x:row r="33" ht="19" customHeight="1">
      <x:c r="A33" s="7" t="n">
        <x:f>'Monthly data'!A33</x:f>
        <x:v>33817</x:v>
      </x:c>
      <x:c r="B33" s="8" t="n">
        <x:f>IF(ISNUMBER('Monthly data'!F33),LN(1+'Monthly data'!F33),"")</x:f>
        <x:v>4.6437175956003305</x:v>
      </x:c>
      <x:c r="C33" s="8" t="n">
        <x:f>IF(ISNUMBER('Monthly data'!G33),LN(1+'Monthly data'!G33),"")</x:f>
        <x:v>3.7408834958607313</x:v>
      </x:c>
      <x:c r="D33" s="8" t="n">
        <x:f>IF(ISNUMBER('Monthly data'!H33),LN(1+'Monthly data'!H33),"")</x:f>
        <x:v>3.1860302671587166</x:v>
      </x:c>
      <x:c r="E33" s="8" t="n">
        <x:f>IF(ISNUMBER('Monthly data'!I33),LN(1+'Monthly data'!I33),"")</x:f>
        <x:v>1.3291418296155821</x:v>
      </x:c>
      <x:c r="F33" s="8" t="n">
        <x:f>IF(ISNUMBER('Monthly data'!J33),LN(1+'Monthly data'!J33),"")</x:f>
        <x:v>3.1336011208069663</x:v>
      </x:c>
      <x:c r="G33" s="8" t="n">
        <x:f>IF(ISNUMBER('Monthly data'!K33),LN(1+'Monthly data'!K33),"")</x:f>
        <x:v>0.8271534604076791</x:v>
      </x:c>
      <x:c r="H33" s="8" t="n">
        <x:f>IF(ISNUMBER('Monthly data'!L33),LN(1+'Monthly data'!L33),"")</x:f>
        <x:v>0.6832988445051309</x:v>
      </x:c>
      <x:c r="I33" s="8" t="n">
        <x:f>IF(ISNUMBER('Monthly data'!M33),LN(1+'Monthly data'!M33),"")</x:f>
        <x:v>1.0286904143630666</x:v>
      </x:c>
      <x:c r="J33" s="8" t="n">
        <x:f>IF(ISNUMBER('Monthly data'!N33),LN(1+'Monthly data'!N33),"")</x:f>
        <x:v>2.379897924096679</x:v>
      </x:c>
      <x:c r="K33" s="8" t="n">
        <x:f>IF(COUNT('Monthly data'!F31:F33)=3,'Monthly data'!F33-2*'Monthly data'!F32+'Monthly data'!F31,"")</x:f>
        <x:v>4.710000000000008</x:v>
      </x:c>
      <x:c r="L33" s="8" t="n">
        <x:f>IF(COUNT('Monthly data'!G31:G33)=3,'Monthly data'!G33-2*'Monthly data'!G32+'Monthly data'!G31,"")</x:f>
        <x:v>15.890699999999999</x:v>
      </x:c>
      <x:c r="M33" s="8" t="n">
        <x:f>IF(COUNT('Monthly data'!H31:H33)=3,'Monthly data'!H33-2*'Monthly data'!H32+'Monthly data'!H31,"")</x:f>
        <x:v>-6.435799999999993</x:v>
      </x:c>
      <x:c r="N33" s="8" t="n">
        <x:f>IF(COUNT('Monthly data'!I31:I33)=3,'Monthly data'!I33-2*'Monthly data'!I32+'Monthly data'!I31,"")</x:f>
        <x:v>-8.015799999999999</x:v>
      </x:c>
      <x:c r="O33" s="8" t="n">
        <x:f>IF(COUNT('Monthly data'!J31:J33)=3,'Monthly data'!J33-2*'Monthly data'!J32+'Monthly data'!J31,"")</x:f>
        <x:v>5.226299999999998</x:v>
      </x:c>
      <x:c r="P33" s="8" t="n">
        <x:f>IF(COUNT('Monthly data'!K31:K33)=3,'Monthly data'!K33-2*'Monthly data'!K32+'Monthly data'!K31,"")</x:f>
        <x:v>0.1205999999999996</x:v>
      </x:c>
      <x:c r="Q33" s="8" t="n">
        <x:f>IF(COUNT('Monthly data'!L31:L33)=3,'Monthly data'!L33-2*'Monthly data'!L32+'Monthly data'!L31,"")</x:f>
        <x:v>-4.0926</x:v>
      </x:c>
      <x:c r="R33" s="8" t="n">
        <x:f>IF(COUNT('Monthly data'!M31:M33)=3,'Monthly data'!M33-2*'Monthly data'!M32+'Monthly data'!M31,"")</x:f>
        <x:v>-0.24770000000000003</x:v>
      </x:c>
      <x:c r="S33" s="8" t="n">
        <x:f>IF(COUNT('Monthly data'!N31:N33)=3,'Monthly data'!N33-2*'Monthly data'!N32+'Monthly data'!N31,"")</x:f>
        <x:v>2.2645</x:v>
      </x:c>
      <x:c r="T33" s="8" t="n">
        <x:f>IF(COUNT('Monthly data'!E32:E33)=2,'Monthly data'!E33-'Monthly data'!E32,"")</x:f>
        <x:v>0.00021682060000038916</x:v>
      </x:c>
    </x:row>
    <x:row r="34" ht="19" customHeight="1">
      <x:c r="A34" s="7" t="n">
        <x:f>'Monthly data'!A34</x:f>
        <x:v>33848</x:v>
      </x:c>
      <x:c r="B34" s="8" t="n">
        <x:f>IF(ISNUMBER('Monthly data'!F34),LN(1+'Monthly data'!F34),"")</x:f>
        <x:v>4.487174627750384</x:v>
      </x:c>
      <x:c r="C34" s="8" t="n">
        <x:f>IF(ISNUMBER('Monthly data'!G34),LN(1+'Monthly data'!G34),"")</x:f>
        <x:v>3.039193980964527</x:v>
      </x:c>
      <x:c r="D34" s="8" t="n">
        <x:f>IF(ISNUMBER('Monthly data'!H34),LN(1+'Monthly data'!H34),"")</x:f>
        <x:v>3.4606762493136816</x:v>
      </x:c>
      <x:c r="E34" s="8" t="n">
        <x:f>IF(ISNUMBER('Monthly data'!I34),LN(1+'Monthly data'!I34),"")</x:f>
        <x:v>1.6702883910958988</x:v>
      </x:c>
      <x:c r="F34" s="8" t="n">
        <x:f>IF(ISNUMBER('Monthly data'!J34),LN(1+'Monthly data'!J34),"")</x:f>
        <x:v>2.7812572913932203</x:v>
      </x:c>
      <x:c r="G34" s="8" t="n">
        <x:f>IF(ISNUMBER('Monthly data'!K34),LN(1+'Monthly data'!K34),"")</x:f>
        <x:v>1.4912397906413852</x:v>
      </x:c>
      <x:c r="H34" s="8" t="n">
        <x:f>IF(ISNUMBER('Monthly data'!L34),LN(1+'Monthly data'!L34),"")</x:f>
        <x:v>0.9779877196770697</x:v>
      </x:c>
      <x:c r="I34" s="8" t="n">
        <x:f>IF(ISNUMBER('Monthly data'!M34),LN(1+'Monthly data'!M34),"")</x:f>
        <x:v>1.1755115995039005</x:v>
      </x:c>
      <x:c r="J34" s="8" t="n">
        <x:f>IF(ISNUMBER('Monthly data'!N34),LN(1+'Monthly data'!N34),"")</x:f>
        <x:v>2.429094388301798</x:v>
      </x:c>
      <x:c r="K34" s="8" t="n">
        <x:f>IF(COUNT('Monthly data'!F32:F34)=3,'Monthly data'!F34-2*'Monthly data'!F33+'Monthly data'!F32,"")</x:f>
        <x:v>-22.02000000000001</x:v>
      </x:c>
      <x:c r="L34" s="8" t="n">
        <x:f>IF(COUNT('Monthly data'!G32:G34)=3,'Monthly data'!G34-2*'Monthly data'!G33+'Monthly data'!G32,"")</x:f>
        <x:v>-38.31429999999999</x:v>
      </x:c>
      <x:c r="M34" s="8" t="n">
        <x:f>IF(COUNT('Monthly data'!H32:H34)=3,'Monthly data'!H34-2*'Monthly data'!H33+'Monthly data'!H32,"")</x:f>
        <x:v>16.7736</x:v>
      </x:c>
      <x:c r="N34" s="8" t="n">
        <x:f>IF(COUNT('Monthly data'!I32:I34)=3,'Monthly data'!I34-2*'Monthly data'!I33+'Monthly data'!I32,"")</x:f>
        <x:v>5.9139</x:v>
      </x:c>
      <x:c r="O34" s="8" t="n">
        <x:f>IF(COUNT('Monthly data'!J32:J34)=3,'Monthly data'!J34-2*'Monthly data'!J33+'Monthly data'!J32,"")</x:f>
        <x:v>-12.119699999999998</x:v>
      </x:c>
      <x:c r="P34" s="8" t="n">
        <x:f>IF(COUNT('Monthly data'!K32:K34)=3,'Monthly data'!K34-2*'Monthly data'!K33+'Monthly data'!K32,"")</x:f>
        <x:v>2.7171000000000003</x:v>
      </x:c>
      <x:c r="Q34" s="8" t="n">
        <x:f>IF(COUNT('Monthly data'!L32:L34)=3,'Monthly data'!L34-2*'Monthly data'!L33+'Monthly data'!L32,"")</x:f>
        <x:v>3.0721</x:v>
      </x:c>
      <x:c r="R34" s="8" t="n">
        <x:f>IF(COUNT('Monthly data'!M32:M34)=3,'Monthly data'!M34-2*'Monthly data'!M33+'Monthly data'!M32,"")</x:f>
        <x:v>1.4385999999999997</x:v>
      </x:c>
      <x:c r="S34" s="8" t="n">
        <x:f>IF(COUNT('Monthly data'!N32:N34)=3,'Monthly data'!N34-2*'Monthly data'!N33+'Monthly data'!N32,"")</x:f>
        <x:v>-1.5015000000000018</x:v>
      </x:c>
      <x:c r="T34" s="8" t="n">
        <x:f>IF(COUNT('Monthly data'!E33:E34)=2,'Monthly data'!E34-'Monthly data'!E33,"")</x:f>
        <x:v>0.009224016499999266</x:v>
      </x:c>
    </x:row>
    <x:row r="35" ht="19" customHeight="1">
      <x:c r="A35" s="7" t="n">
        <x:f>'Monthly data'!A35</x:f>
        <x:v>33878</x:v>
      </x:c>
      <x:c r="B35" s="8" t="n">
        <x:f>IF(ISNUMBER('Monthly data'!F35),LN(1+'Monthly data'!F35),"")</x:f>
        <x:v>4.388878109622984</x:v>
      </x:c>
      <x:c r="C35" s="8" t="n">
        <x:f>IF(ISNUMBER('Monthly data'!G35),LN(1+'Monthly data'!G35),"")</x:f>
        <x:v>3.130097068802052</x:v>
      </x:c>
      <x:c r="D35" s="8" t="n">
        <x:f>IF(ISNUMBER('Monthly data'!H35),LN(1+'Monthly data'!H35),"")</x:f>
        <x:v>3.12162456238123</x:v>
      </x:c>
      <x:c r="E35" s="8" t="n">
        <x:f>IF(ISNUMBER('Monthly data'!I35),LN(1+'Monthly data'!I35),"")</x:f>
        <x:v>1.6010427716457183</x:v>
      </x:c>
      <x:c r="F35" s="8" t="n">
        <x:f>IF(ISNUMBER('Monthly data'!J35),LN(1+'Monthly data'!J35),"")</x:f>
        <x:v>2.886659319761842</x:v>
      </x:c>
      <x:c r="G35" s="8" t="n">
        <x:f>IF(ISNUMBER('Monthly data'!K35),LN(1+'Monthly data'!K35),"")</x:f>
        <x:v>1.5853501169050106</x:v>
      </x:c>
      <x:c r="H35" s="8" t="n">
        <x:f>IF(ISNUMBER('Monthly data'!L35),LN(1+'Monthly data'!L35),"")</x:f>
        <x:v>0.6558605957739287</x:v>
      </x:c>
      <x:c r="I35" s="8" t="n">
        <x:f>IF(ISNUMBER('Monthly data'!M35),LN(1+'Monthly data'!M35),"")</x:f>
        <x:v>1.1013086502158524</x:v>
      </x:c>
      <x:c r="J35" s="8" t="n">
        <x:f>IF(ISNUMBER('Monthly data'!N35),LN(1+'Monthly data'!N35),"")</x:f>
        <x:v>2.228206314944948</x:v>
      </x:c>
      <x:c r="K35" s="8" t="n">
        <x:f>IF(COUNT('Monthly data'!F33:F35)=3,'Monthly data'!F35-2*'Monthly data'!F34+'Monthly data'!F33,"")</x:f>
        <x:v>6.739999999999995</x:v>
      </x:c>
      <x:c r="L35" s="8" t="n">
        <x:f>IF(COUNT('Monthly data'!G33:G35)=3,'Monthly data'!G35-2*'Monthly data'!G34+'Monthly data'!G33,"")</x:f>
        <x:v>23.234599999999997</x:v>
      </x:c>
      <x:c r="M35" s="8" t="n">
        <x:f>IF(COUNT('Monthly data'!H33:H35)=3,'Monthly data'!H35-2*'Monthly data'!H34+'Monthly data'!H33,"")</x:f>
        <x:v>-16.8016</x:v>
      </x:c>
      <x:c r="N35" s="8" t="n">
        <x:f>IF(COUNT('Monthly data'!I33:I35)=3,'Monthly data'!I35-2*'Monthly data'!I34+'Monthly data'!I33,"")</x:f>
        <x:v>-1.8914</x:v>
      </x:c>
      <x:c r="O35" s="8" t="n">
        <x:f>IF(COUNT('Monthly data'!J33:J35)=3,'Monthly data'!J35-2*'Monthly data'!J34+'Monthly data'!J33,"")</x:f>
        <x:v>8.611199999999997</x:v>
      </x:c>
      <x:c r="P35" s="8" t="n">
        <x:f>IF(COUNT('Monthly data'!K33:K35)=3,'Monthly data'!K35-2*'Monthly data'!K34+'Monthly data'!K33,"")</x:f>
        <x:v>-1.7174000000000005</x:v>
      </x:c>
      <x:c r="Q35" s="8" t="n">
        <x:f>IF(COUNT('Monthly data'!L33:L35)=3,'Monthly data'!L35-2*'Monthly data'!L34+'Monthly data'!L33,"")</x:f>
        <x:v>-1.411</x:v>
      </x:c>
      <x:c r="R35" s="8" t="n">
        <x:f>IF(COUNT('Monthly data'!M33:M35)=3,'Monthly data'!M35-2*'Monthly data'!M34+'Monthly data'!M33,"")</x:f>
        <x:v>-0.6740999999999993</x:v>
      </x:c>
      <x:c r="S35" s="8" t="n">
        <x:f>IF(COUNT('Monthly data'!N33:N35)=3,'Monthly data'!N35-2*'Monthly data'!N34+'Monthly data'!N33,"")</x:f>
        <x:v>-2.610199999999997</x:v>
      </x:c>
      <x:c r="T35" s="8" t="n">
        <x:f>IF(COUNT('Monthly data'!E34:E35)=2,'Monthly data'!E35-'Monthly data'!E34,"")</x:f>
        <x:v>0.006995152100000013</x:v>
      </x:c>
    </x:row>
    <x:row r="36" ht="19" customHeight="1">
      <x:c r="A36" s="7" t="n">
        <x:f>'Monthly data'!A36</x:f>
        <x:v>33909</x:v>
      </x:c>
      <x:c r="B36" s="8" t="n">
        <x:f>IF(ISNUMBER('Monthly data'!F36),LN(1+'Monthly data'!F36),"")</x:f>
        <x:v>4.607367769531579</x:v>
      </x:c>
      <x:c r="C36" s="8" t="n">
        <x:f>IF(ISNUMBER('Monthly data'!G36),LN(1+'Monthly data'!G36),"")</x:f>
        <x:v>3.1384203653576765</x:v>
      </x:c>
      <x:c r="D36" s="8" t="n">
        <x:f>IF(ISNUMBER('Monthly data'!H36),LN(1+'Monthly data'!H36),"")</x:f>
        <x:v>3.2402497660235094</x:v>
      </x:c>
      <x:c r="E36" s="8" t="n">
        <x:f>IF(ISNUMBER('Monthly data'!I36),LN(1+'Monthly data'!I36),"")</x:f>
        <x:v>2.3509942322017334</x:v>
      </x:c>
      <x:c r="F36" s="8" t="n">
        <x:f>IF(ISNUMBER('Monthly data'!J36),LN(1+'Monthly data'!J36),"")</x:f>
        <x:v>2.9153028244389563</x:v>
      </x:c>
      <x:c r="G36" s="8" t="n">
        <x:f>IF(ISNUMBER('Monthly data'!K36),LN(1+'Monthly data'!K36),"")</x:f>
        <x:v>1.7101516485149444</x:v>
      </x:c>
      <x:c r="H36" s="8" t="n">
        <x:f>IF(ISNUMBER('Monthly data'!L36),LN(1+'Monthly data'!L36),"")</x:f>
        <x:v>1.5020531271019595</x:v>
      </x:c>
      <x:c r="I36" s="8" t="n">
        <x:f>IF(ISNUMBER('Monthly data'!M36),LN(1+'Monthly data'!M36),"")</x:f>
        <x:v>2.229024663219325</x:v>
      </x:c>
      <x:c r="J36" s="8" t="n">
        <x:f>IF(ISNUMBER('Monthly data'!N36),LN(1+'Monthly data'!N36),"")</x:f>
        <x:v>2.3370444890456166</x:v>
      </x:c>
      <x:c r="K36" s="8" t="n">
        <x:f>IF(COUNT('Monthly data'!F34:F36)=3,'Monthly data'!F36-2*'Monthly data'!F35+'Monthly data'!F34,"")</x:f>
        <x:v>27.99000000000001</x:v>
      </x:c>
      <x:c r="L36" s="8" t="n">
        <x:f>IF(COUNT('Monthly data'!G34:G36)=3,'Monthly data'!G36-2*'Monthly data'!G35+'Monthly data'!G34,"")</x:f>
        <x:v>-1.7966000000000015</x:v>
      </x:c>
      <x:c r="M36" s="8" t="n">
        <x:f>IF(COUNT('Monthly data'!H34:H36)=3,'Monthly data'!H36-2*'Monthly data'!H35+'Monthly data'!H34,"")</x:f>
        <x:v>12.0122</x:v>
      </x:c>
      <x:c r="N36" s="8" t="n">
        <x:f>IF(COUNT('Monthly data'!I34:I36)=3,'Monthly data'!I36-2*'Monthly data'!I35+'Monthly data'!I34,"")</x:f>
        <x:v>5.8933</x:v>
      </x:c>
      <x:c r="O36" s="8" t="n">
        <x:f>IF(COUNT('Monthly data'!J34:J36)=3,'Monthly data'!J36-2*'Monthly data'!J35+'Monthly data'!J34,"")</x:f>
        <x:v>-1.2728999999999981</x:v>
      </x:c>
      <x:c r="P36" s="8" t="n">
        <x:f>IF(COUNT('Monthly data'!K34:K36)=3,'Monthly data'!K36-2*'Monthly data'!K35+'Monthly data'!K34,"")</x:f>
        <x:v>0.21040000000000036</x:v>
      </x:c>
      <x:c r="Q36" s="8" t="n">
        <x:f>IF(COUNT('Monthly data'!L34:L36)=3,'Monthly data'!L36-2*'Monthly data'!L35+'Monthly data'!L34,"")</x:f>
        <x:v>3.2964</x:v>
      </x:c>
      <x:c r="R36" s="8" t="n">
        <x:f>IF(COUNT('Monthly data'!M34:M36)=3,'Monthly data'!M36-2*'Monthly data'!M35+'Monthly data'!M34,"")</x:f>
        <x:v>6.5144</x:v>
      </x:c>
      <x:c r="S36" s="8" t="n">
        <x:f>IF(COUNT('Monthly data'!N34:N36)=3,'Monthly data'!N36-2*'Monthly data'!N35+'Monthly data'!N34,"")</x:f>
        <x:v>3.132799999999998</x:v>
      </x:c>
      <x:c r="T36" s="8" t="n">
        <x:f>IF(COUNT('Monthly data'!E35:E36)=2,'Monthly data'!E36-'Monthly data'!E35,"")</x:f>
        <x:v>-0.003766607599999361</x:v>
      </x:c>
    </x:row>
    <x:row r="37" ht="19" customHeight="1">
      <x:c r="A37" s="7" t="n">
        <x:f>'Monthly data'!A37</x:f>
        <x:v>33939</x:v>
      </x:c>
      <x:c r="B37" s="8" t="n">
        <x:f>IF(ISNUMBER('Monthly data'!F37),LN(1+'Monthly data'!F37),"")</x:f>
        <x:v>4.8877140805837485</x:v>
      </x:c>
      <x:c r="C37" s="8" t="n">
        <x:f>IF(ISNUMBER('Monthly data'!G37),LN(1+'Monthly data'!G37),"")</x:f>
        <x:v>4.0053639748825685</x:v>
      </x:c>
      <x:c r="D37" s="8" t="n">
        <x:f>IF(ISNUMBER('Monthly data'!H37),LN(1+'Monthly data'!H37),"")</x:f>
        <x:v>3.40684805317097</x:v>
      </x:c>
      <x:c r="E37" s="8" t="n">
        <x:f>IF(ISNUMBER('Monthly data'!I37),LN(1+'Monthly data'!I37),"")</x:f>
        <x:v>2.2900063107871858</x:v>
      </x:c>
      <x:c r="F37" s="8" t="n">
        <x:f>IF(ISNUMBER('Monthly data'!J37),LN(1+'Monthly data'!J37),"")</x:f>
        <x:v>3.006954072976029</x:v>
      </x:c>
      <x:c r="G37" s="8" t="n">
        <x:f>IF(ISNUMBER('Monthly data'!K37),LN(1+'Monthly data'!K37),"")</x:f>
        <x:v>1.1772694214913861</x:v>
      </x:c>
      <x:c r="H37" s="8" t="n">
        <x:f>IF(ISNUMBER('Monthly data'!L37),LN(1+'Monthly data'!L37),"")</x:f>
        <x:v>0.871335206072293</x:v>
      </x:c>
      <x:c r="I37" s="8" t="n">
        <x:f>IF(ISNUMBER('Monthly data'!M37),LN(1+'Monthly data'!M37),"")</x:f>
        <x:v>1.087719847501686</x:v>
      </x:c>
      <x:c r="J37" s="8" t="n">
        <x:f>IF(ISNUMBER('Monthly data'!N37),LN(1+'Monthly data'!N37),"")</x:f>
        <x:v>2.7653374955255883</x:v>
      </x:c>
      <x:c r="K37" s="8" t="n">
        <x:f>IF(COUNT('Monthly data'!F35:F37)=3,'Monthly data'!F37-2*'Monthly data'!F36+'Monthly data'!F35,"")</x:f>
        <x:v>12.760000000000005</x:v>
      </x:c>
      <x:c r="L37" s="8" t="n">
        <x:f>IF(COUNT('Monthly data'!G35:G37)=3,'Monthly data'!G37-2*'Monthly data'!G36+'Monthly data'!G35,"")</x:f>
        <x:v>31.633200000000006</x:v>
      </x:c>
      <x:c r="M37" s="8" t="n">
        <x:f>IF(COUNT('Monthly data'!H35:H37)=3,'Monthly data'!H37-2*'Monthly data'!H36+'Monthly data'!H35,"")</x:f>
        <x:v>1.7730000000000032</x:v>
      </x:c>
      <x:c r="N37" s="8" t="n">
        <x:f>IF(COUNT('Monthly data'!I35:I37)=3,'Monthly data'!I37-2*'Monthly data'!I36+'Monthly data'!I35,"")</x:f>
        <x:v>-6.158800000000001</x:v>
      </x:c>
      <x:c r="O37" s="8" t="n">
        <x:f>IF(COUNT('Monthly data'!J35:J37)=3,'Monthly data'!J37-2*'Monthly data'!J36+'Monthly data'!J35,"")</x:f>
        <x:v>1.2501999999999995</x:v>
      </x:c>
      <x:c r="P37" s="8" t="n">
        <x:f>IF(COUNT('Monthly data'!K35:K37)=3,'Monthly data'!K37-2*'Monthly data'!K36+'Monthly data'!K35,"")</x:f>
        <x:v>-2.9331</x:v>
      </x:c>
      <x:c r="Q37" s="8" t="n">
        <x:f>IF(COUNT('Monthly data'!L35:L37)=3,'Monthly data'!L37-2*'Monthly data'!L36+'Monthly data'!L35,"")</x:f>
        <x:v>-4.664899999999999</x:v>
      </x:c>
      <x:c r="R37" s="8" t="n">
        <x:f>IF(COUNT('Monthly data'!M35:M37)=3,'Monthly data'!M37-2*'Monthly data'!M36+'Monthly data'!M35,"")</x:f>
        <x:v>-12.606000000000002</x:v>
      </x:c>
      <x:c r="S37" s="8" t="n">
        <x:f>IF(COUNT('Monthly data'!N35:N37)=3,'Monthly data'!N37-2*'Monthly data'!N36+'Monthly data'!N35,"")</x:f>
        <x:v>4.4664</x:v>
      </x:c>
      <x:c r="T37" s="8" t="n">
        <x:f>IF(COUNT('Monthly data'!E36:E37)=2,'Monthly data'!E37-'Monthly data'!E36,"")</x:f>
        <x:v>0.0019739314000002395</x:v>
      </x:c>
    </x:row>
    <x:row r="38" ht="19" customHeight="1">
      <x:c r="A38" s="7" t="n">
        <x:f>'Monthly data'!A38</x:f>
        <x:v>33970</x:v>
      </x:c>
      <x:c r="B38" s="8" t="n">
        <x:f>IF(ISNUMBER('Monthly data'!F38),LN(1+'Monthly data'!F38),"")</x:f>
        <x:v>4.713396591058963</x:v>
      </x:c>
      <x:c r="C38" s="8" t="n">
        <x:f>IF(ISNUMBER('Monthly data'!G38),LN(1+'Monthly data'!G38),"")</x:f>
        <x:v>3.8406172252169046</x:v>
      </x:c>
      <x:c r="D38" s="8" t="n">
        <x:f>IF(ISNUMBER('Monthly data'!H38),LN(1+'Monthly data'!H38),"")</x:f>
        <x:v>3.41651283243993</x:v>
      </x:c>
      <x:c r="E38" s="8" t="n">
        <x:f>IF(ISNUMBER('Monthly data'!I38),LN(1+'Monthly data'!I38),"")</x:f>
        <x:v>1.7692070647575435</x:v>
      </x:c>
      <x:c r="F38" s="8" t="n">
        <x:f>IF(ISNUMBER('Monthly data'!J38),LN(1+'Monthly data'!J38),"")</x:f>
        <x:v>2.905648910114781</x:v>
      </x:c>
      <x:c r="G38" s="8" t="n">
        <x:f>IF(ISNUMBER('Monthly data'!K38),LN(1+'Monthly data'!K38),"")</x:f>
        <x:v>1.2856725998092378</x:v>
      </x:c>
      <x:c r="H38" s="8" t="n">
        <x:f>IF(ISNUMBER('Monthly data'!L38),LN(1+'Monthly data'!L38),"")</x:f>
        <x:v>0.7631395523799803</x:v>
      </x:c>
      <x:c r="I38" s="8" t="n">
        <x:f>IF(ISNUMBER('Monthly data'!M38),LN(1+'Monthly data'!M38),"")</x:f>
        <x:v>0.9050679918516745</x:v>
      </x:c>
      <x:c r="J38" s="8" t="n">
        <x:f>IF(ISNUMBER('Monthly data'!N38),LN(1+'Monthly data'!N38),"")</x:f>
        <x:v>2.2011501953386916</x:v>
      </x:c>
      <x:c r="K38" s="8" t="n">
        <x:f>IF(COUNT('Monthly data'!F36:F38)=3,'Monthly data'!F38-2*'Monthly data'!F37+'Monthly data'!F36,"")</x:f>
        <x:v>-53.650000000000006</x:v>
      </x:c>
      <x:c r="L38" s="8" t="n">
        <x:f>IF(COUNT('Monthly data'!G36:G38)=3,'Monthly data'!G38-2*'Monthly data'!G37+'Monthly data'!G36,"")</x:f>
        <x:v>-40.162000000000006</x:v>
      </x:c>
      <x:c r="M38" s="8" t="n">
        <x:f>IF(COUNT('Monthly data'!H36:H38)=3,'Monthly data'!H38-2*'Monthly data'!H37+'Monthly data'!H36,"")</x:f>
        <x:v>-4.3369000000000035</x:v>
      </x:c>
      <x:c r="N38" s="8" t="n">
        <x:f>IF(COUNT('Monthly data'!I36:I38)=3,'Monthly data'!I38-2*'Monthly data'!I37+'Monthly data'!I36,"")</x:f>
        <x:v>-3.3878000000000004</x:v>
      </x:c>
      <x:c r="O38" s="8" t="n">
        <x:f>IF(COUNT('Monthly data'!J36:J38)=3,'Monthly data'!J38-2*'Monthly data'!J37+'Monthly data'!J36,"")</x:f>
        <x:v>-3.719899999999999</x:v>
      </x:c>
      <x:c r="P38" s="8" t="n">
        <x:f>IF(COUNT('Monthly data'!K36:K38)=3,'Monthly data'!K38-2*'Monthly data'!K37+'Monthly data'!K36,"")</x:f>
        <x:v>2.6559000000000004</x:v>
      </x:c>
      <x:c r="Q38" s="8" t="n">
        <x:f>IF(COUNT('Monthly data'!L36:L38)=3,'Monthly data'!L38-2*'Monthly data'!L37+'Monthly data'!L36,"")</x:f>
        <x:v>1.8557000000000001</x:v>
      </x:c>
      <x:c r="R38" s="8" t="n">
        <x:f>IF(COUNT('Monthly data'!M36:M38)=3,'Monthly data'!M38-2*'Monthly data'!M37+'Monthly data'!M36,"")</x:f>
        <x:v>5.8279000000000005</x:v>
      </x:c>
      <x:c r="S38" s="8" t="n">
        <x:f>IF(COUNT('Monthly data'!N36:N38)=3,'Monthly data'!N38-2*'Monthly data'!N37+'Monthly data'!N36,"")</x:f>
        <x:v>-12.3828</x:v>
      </x:c>
      <x:c r="T38" s="8" t="n">
        <x:f>IF(COUNT('Monthly data'!E37:E38)=2,'Monthly data'!E38-'Monthly data'!E37,"")</x:f>
        <x:v>-0.004882755200000588</x:v>
      </x:c>
    </x:row>
    <x:row r="39" ht="19" customHeight="1">
      <x:c r="A39" s="7" t="n">
        <x:f>'Monthly data'!A39</x:f>
        <x:v>34001</x:v>
      </x:c>
      <x:c r="B39" s="8" t="n">
        <x:f>IF(ISNUMBER('Monthly data'!F39),LN(1+'Monthly data'!F39),"")</x:f>
        <x:v>4.552191261197205</x:v>
      </x:c>
      <x:c r="C39" s="8" t="n">
        <x:f>IF(ISNUMBER('Monthly data'!G39),LN(1+'Monthly data'!G39),"")</x:f>
        <x:v>3.2732693086985325</x:v>
      </x:c>
      <x:c r="D39" s="8" t="n">
        <x:f>IF(ISNUMBER('Monthly data'!H39),LN(1+'Monthly data'!H39),"")</x:f>
        <x:v>3.4006539006697785</x:v>
      </x:c>
      <x:c r="E39" s="8" t="n">
        <x:f>IF(ISNUMBER('Monthly data'!I39),LN(1+'Monthly data'!I39),"")</x:f>
        <x:v>2.2045532127209504</x:v>
      </x:c>
      <x:c r="F39" s="8" t="n">
        <x:f>IF(ISNUMBER('Monthly data'!J39),LN(1+'Monthly data'!J39),"")</x:f>
        <x:v>2.811262410802389</x:v>
      </x:c>
      <x:c r="G39" s="8" t="n">
        <x:f>IF(ISNUMBER('Monthly data'!K39),LN(1+'Monthly data'!K39),"")</x:f>
        <x:v>1.6332130310848698</x:v>
      </x:c>
      <x:c r="H39" s="8" t="n">
        <x:f>IF(ISNUMBER('Monthly data'!L39),LN(1+'Monthly data'!L39),"")</x:f>
        <x:v>0.5292154888775816</x:v>
      </x:c>
      <x:c r="I39" s="8" t="n">
        <x:f>IF(ISNUMBER('Monthly data'!M39),LN(1+'Monthly data'!M39),"")</x:f>
        <x:v>1.1839333489882093</x:v>
      </x:c>
      <x:c r="J39" s="8" t="n">
        <x:f>IF(ISNUMBER('Monthly data'!N39),LN(1+'Monthly data'!N39),"")</x:f>
        <x:v>2.269710599919964</x:v>
      </x:c>
      <x:c r="K39" s="8" t="n">
        <x:f>IF(COUNT('Monthly data'!F37:F39)=3,'Monthly data'!F39-2*'Monthly data'!F38+'Monthly data'!F37,"")</x:f>
        <x:v>4.6299999999999955</x:v>
      </x:c>
      <x:c r="L39" s="8" t="n">
        <x:f>IF(COUNT('Monthly data'!G37:G39)=3,'Monthly data'!G39-2*'Monthly data'!G38+'Monthly data'!G37,"")</x:f>
        <x:v>-11.819100000000006</x:v>
      </x:c>
      <x:c r="M39" s="8" t="n">
        <x:f>IF(COUNT('Monthly data'!H37:H39)=3,'Monthly data'!H39-2*'Monthly data'!H38+'Monthly data'!H37,"")</x:f>
        <x:v>-0.7723000000000013</x:v>
      </x:c>
      <x:c r="N39" s="8" t="n">
        <x:f>IF(COUNT('Monthly data'!I37:I39)=3,'Monthly data'!I39-2*'Monthly data'!I38+'Monthly data'!I37,"")</x:f>
        <x:v>7.2088</x:v>
      </x:c>
      <x:c r="O39" s="8" t="n">
        <x:f>IF(COUNT('Monthly data'!J37:J39)=3,'Monthly data'!J39-2*'Monthly data'!J38+'Monthly data'!J37,"")</x:f>
        <x:v>0.30239999999999867</x:v>
      </x:c>
      <x:c r="P39" s="8" t="n">
        <x:f>IF(COUNT('Monthly data'!K37:K39)=3,'Monthly data'!K39-2*'Monthly data'!K38+'Monthly data'!K37,"")</x:f>
        <x:v>1.1315999999999997</x:v>
      </x:c>
      <x:c r="Q39" s="8" t="n">
        <x:f>IF(COUNT('Monthly data'!L37:L39)=3,'Monthly data'!L39-2*'Monthly data'!L38+'Monthly data'!L37,"")</x:f>
        <x:v>-0.20230000000000015</x:v>
      </x:c>
      <x:c r="R39" s="8" t="n">
        <x:f>IF(COUNT('Monthly data'!M37:M39)=3,'Monthly data'!M39-2*'Monthly data'!M38+'Monthly data'!M37,"")</x:f>
        <x:v>1.2905</x:v>
      </x:c>
      <x:c r="S39" s="8" t="n">
        <x:f>IF(COUNT('Monthly data'!N37:N39)=3,'Monthly data'!N39-2*'Monthly data'!N38+'Monthly data'!N37,"")</x:f>
        <x:v>7.4902000000000015</x:v>
      </x:c>
      <x:c r="T39" s="8" t="n">
        <x:f>IF(COUNT('Monthly data'!E38:E39)=2,'Monthly data'!E39-'Monthly data'!E38,"")</x:f>
        <x:v>0.009644050200000365</x:v>
      </x:c>
    </x:row>
    <x:row r="40" ht="19" customHeight="1">
      <x:c r="A40" s="7" t="n">
        <x:f>'Monthly data'!A40</x:f>
        <x:v>34029</x:v>
      </x:c>
      <x:c r="B40" s="8" t="n">
        <x:f>IF(ISNUMBER('Monthly data'!F40),LN(1+'Monthly data'!F40),"")</x:f>
        <x:v>4.767969076293182</x:v>
      </x:c>
      <x:c r="C40" s="8" t="n">
        <x:f>IF(ISNUMBER('Monthly data'!G40),LN(1+'Monthly data'!G40),"")</x:f>
        <x:v>3.406354063097087</x:v>
      </x:c>
      <x:c r="D40" s="8" t="n">
        <x:f>IF(ISNUMBER('Monthly data'!H40),LN(1+'Monthly data'!H40),"")</x:f>
        <x:v>3.2468566837826103</x:v>
      </x:c>
      <x:c r="E40" s="8" t="n">
        <x:f>IF(ISNUMBER('Monthly data'!I40),LN(1+'Monthly data'!I40),"")</x:f>
        <x:v>3.372893924478519</x:v>
      </x:c>
      <x:c r="F40" s="8" t="n">
        <x:f>IF(ISNUMBER('Monthly data'!J40),LN(1+'Monthly data'!J40),"")</x:f>
        <x:v>2.7528132195757253</x:v>
      </x:c>
      <x:c r="G40" s="8" t="n">
        <x:f>IF(ISNUMBER('Monthly data'!K40),LN(1+'Monthly data'!K40),"")</x:f>
        <x:v>2.080191260570382</x:v>
      </x:c>
      <x:c r="H40" s="8" t="n">
        <x:f>IF(ISNUMBER('Monthly data'!L40),LN(1+'Monthly data'!L40),"")</x:f>
        <x:v>0.8285518175661483</x:v>
      </x:c>
      <x:c r="I40" s="8" t="n">
        <x:f>IF(ISNUMBER('Monthly data'!M40),LN(1+'Monthly data'!M40),"")</x:f>
        <x:v>1.2918737855003988</x:v>
      </x:c>
      <x:c r="J40" s="8" t="n">
        <x:f>IF(ISNUMBER('Monthly data'!N40),LN(1+'Monthly data'!N40),"")</x:f>
        <x:v>2.3056105117957335</x:v>
      </x:c>
      <x:c r="K40" s="8" t="n">
        <x:f>IF(COUNT('Monthly data'!F38:F40)=3,'Monthly data'!F40-2*'Monthly data'!F39+'Monthly data'!F38,"")</x:f>
        <x:v>39.43000000000001</x:v>
      </x:c>
      <x:c r="L40" s="8" t="n">
        <x:f>IF(COUNT('Monthly data'!G38:G40)=3,'Monthly data'!G40-2*'Monthly data'!G39+'Monthly data'!G38,"")</x:f>
        <x:v>23.9143</x:v>
      </x:c>
      <x:c r="M40" s="8" t="n">
        <x:f>IF(COUNT('Monthly data'!H38:H40)=3,'Monthly data'!H40-2*'Monthly data'!H39+'Monthly data'!H38,"")</x:f>
        <x:v>-3.7949999999999946</x:v>
      </x:c>
      <x:c r="N40" s="8" t="n">
        <x:f>IF(COUNT('Monthly data'!I38:I40)=3,'Monthly data'!I40-2*'Monthly data'!I39+'Monthly data'!I38,"")</x:f>
        <x:v>16.8966</x:v>
      </x:c>
      <x:c r="O40" s="8" t="n">
        <x:f>IF(COUNT('Monthly data'!J38:J40)=3,'Monthly data'!J40-2*'Monthly data'!J39+'Monthly data'!J38,"")</x:f>
        <x:v>0.7020000000000017</x:v>
      </x:c>
      <x:c r="P40" s="8" t="n">
        <x:f>IF(COUNT('Monthly data'!K38:K40)=3,'Monthly data'!K40-2*'Monthly data'!K39+'Monthly data'!K38,"")</x:f>
        <x:v>1.3824999999999998</x:v>
      </x:c>
      <x:c r="Q40" s="8" t="n">
        <x:f>IF(COUNT('Monthly data'!L38:L40)=3,'Monthly data'!L40-2*'Monthly data'!L39+'Monthly data'!L38,"")</x:f>
        <x:v>1.0398</x:v>
      </x:c>
      <x:c r="R40" s="8" t="n">
        <x:f>IF(COUNT('Monthly data'!M38:M40)=3,'Monthly data'!M40-2*'Monthly data'!M39+'Monthly data'!M38,"")</x:f>
        <x:v>-0.42269999999999963</x:v>
      </x:c>
      <x:c r="S40" s="8" t="n">
        <x:f>IF(COUNT('Monthly data'!N38:N40)=3,'Monthly data'!N40-2*'Monthly data'!N39+'Monthly data'!N38,"")</x:f>
        <x:v>-0.2875000000000014</x:v>
      </x:c>
      <x:c r="T40" s="8" t="n">
        <x:f>IF(COUNT('Monthly data'!E39:E40)=2,'Monthly data'!E40-'Monthly data'!E39,"")</x:f>
        <x:v>-0.019728901200000593</x:v>
      </x:c>
    </x:row>
    <x:row r="41" ht="19" customHeight="1">
      <x:c r="A41" s="7" t="n">
        <x:f>'Monthly data'!A41</x:f>
        <x:v>34060</x:v>
      </x:c>
      <x:c r="B41" s="8" t="n">
        <x:f>IF(ISNUMBER('Monthly data'!F41),LN(1+'Monthly data'!F41),"")</x:f>
        <x:v>4.630642981961122</x:v>
      </x:c>
      <x:c r="C41" s="8" t="n">
        <x:f>IF(ISNUMBER('Monthly data'!G41),LN(1+'Monthly data'!G41),"")</x:f>
        <x:v>3.4979096084421464</x:v>
      </x:c>
      <x:c r="D41" s="8" t="n">
        <x:f>IF(ISNUMBER('Monthly data'!H41),LN(1+'Monthly data'!H41),"")</x:f>
        <x:v>3.1451905326035168</x:v>
      </x:c>
      <x:c r="E41" s="8" t="n">
        <x:f>IF(ISNUMBER('Monthly data'!I41),LN(1+'Monthly data'!I41),"")</x:f>
        <x:v>2.628451283828034</x:v>
      </x:c>
      <x:c r="F41" s="8" t="n">
        <x:f>IF(ISNUMBER('Monthly data'!J41),LN(1+'Monthly data'!J41),"")</x:f>
        <x:v>2.787175565067715</x:v>
      </x:c>
      <x:c r="G41" s="8" t="n">
        <x:f>IF(ISNUMBER('Monthly data'!K41),LN(1+'Monthly data'!K41),"")</x:f>
        <x:v>1.7995788182801866</x:v>
      </x:c>
      <x:c r="H41" s="8" t="n">
        <x:f>IF(ISNUMBER('Monthly data'!L41),LN(1+'Monthly data'!L41),"")</x:f>
        <x:v>0.690343253227211</x:v>
      </x:c>
      <x:c r="I41" s="8" t="n">
        <x:f>IF(ISNUMBER('Monthly data'!M41),LN(1+'Monthly data'!M41),"")</x:f>
        <x:v>1.5326648536281866</x:v>
      </x:c>
      <x:c r="J41" s="8" t="n">
        <x:f>IF(ISNUMBER('Monthly data'!N41),LN(1+'Monthly data'!N41),"")</x:f>
        <x:v>2.356135338550139</x:v>
      </x:c>
      <x:c r="K41" s="8" t="n">
        <x:f>IF(COUNT('Monthly data'!F39:F41)=3,'Monthly data'!F41-2*'Monthly data'!F40+'Monthly data'!F39,"")</x:f>
        <x:v>-37.940000000000026</x:v>
      </x:c>
      <x:c r="L41" s="8" t="n">
        <x:f>IF(COUNT('Monthly data'!G39:G41)=3,'Monthly data'!G41-2*'Monthly data'!G40+'Monthly data'!G39,"")</x:f>
        <x:v>-0.8663999999999987</x:v>
      </x:c>
      <x:c r="M41" s="8" t="n">
        <x:f>IF(COUNT('Monthly data'!H39:H41)=3,'Monthly data'!H41-2*'Monthly data'!H40+'Monthly data'!H39,"")</x:f>
        <x:v>1.7890000000000015</x:v>
      </x:c>
      <x:c r="N41" s="8" t="n">
        <x:f>IF(COUNT('Monthly data'!I39:I41)=3,'Monthly data'!I41-2*'Monthly data'!I40+'Monthly data'!I39,"")</x:f>
        <x:v>-35.4071</x:v>
      </x:c>
      <x:c r="O41" s="8" t="n">
        <x:f>IF(COUNT('Monthly data'!J39:J41)=3,'Monthly data'!J41-2*'Monthly data'!J40+'Monthly data'!J39,"")</x:f>
        <x:v>1.4925999999999995</x:v>
      </x:c>
      <x:c r="P41" s="8" t="n">
        <x:f>IF(COUNT('Monthly data'!K39:K41)=3,'Monthly data'!K41-2*'Monthly data'!K40+'Monthly data'!K39,"")</x:f>
        <x:v>-4.8446</x:v>
      </x:c>
      <x:c r="Q41" s="8" t="n">
        <x:f>IF(COUNT('Monthly data'!L39:L41)=3,'Monthly data'!L41-2*'Monthly data'!L40+'Monthly data'!L39,"")</x:f>
        <x:v>-0.8880000000000001</x:v>
      </x:c>
      <x:c r="R41" s="8" t="n">
        <x:f>IF(COUNT('Monthly data'!M39:M41)=3,'Monthly data'!M41-2*'Monthly data'!M40+'Monthly data'!M39,"")</x:f>
        <x:v>0.6184999999999996</x:v>
      </x:c>
      <x:c r="S41" s="8" t="n">
        <x:f>IF(COUNT('Monthly data'!N39:N41)=3,'Monthly data'!N41-2*'Monthly data'!N40+'Monthly data'!N39,"")</x:f>
        <x:v>0.16610000000000014</x:v>
      </x:c>
      <x:c r="T41" s="8" t="n">
        <x:f>IF(COUNT('Monthly data'!E40:E41)=2,'Monthly data'!E41-'Monthly data'!E40,"")</x:f>
        <x:v>-0.003799449099998853</x:v>
      </x:c>
    </x:row>
    <x:row r="42" ht="19" customHeight="1">
      <x:c r="A42" s="7" t="n">
        <x:f>'Monthly data'!A42</x:f>
        <x:v>34090</x:v>
      </x:c>
      <x:c r="B42" s="8" t="n">
        <x:f>IF(ISNUMBER('Monthly data'!F42),LN(1+'Monthly data'!F42),"")</x:f>
        <x:v>4.649474111544616</x:v>
      </x:c>
      <x:c r="C42" s="8" t="n">
        <x:f>IF(ISNUMBER('Monthly data'!G42),LN(1+'Monthly data'!G42),"")</x:f>
        <x:v>3.4931169714221317</x:v>
      </x:c>
      <x:c r="D42" s="8" t="n">
        <x:f>IF(ISNUMBER('Monthly data'!H42),LN(1+'Monthly data'!H42),"")</x:f>
        <x:v>3.136615326380345</x:v>
      </x:c>
      <x:c r="E42" s="8" t="n">
        <x:f>IF(ISNUMBER('Monthly data'!I42),LN(1+'Monthly data'!I42),"")</x:f>
        <x:v>2.6467703646795586</x:v>
      </x:c>
      <x:c r="F42" s="8" t="n">
        <x:f>IF(ISNUMBER('Monthly data'!J42),LN(1+'Monthly data'!J42),"")</x:f>
        <x:v>3.0517864668556642</x:v>
      </x:c>
      <x:c r="G42" s="8" t="n">
        <x:f>IF(ISNUMBER('Monthly data'!K42),LN(1+'Monthly data'!K42),"")</x:f>
        <x:v>1.5227464842553906</x:v>
      </x:c>
      <x:c r="H42" s="8" t="n">
        <x:f>IF(ISNUMBER('Monthly data'!L42),LN(1+'Monthly data'!L42),"")</x:f>
        <x:v>0.9083795206028189</x:v>
      </x:c>
      <x:c r="I42" s="8" t="n">
        <x:f>IF(ISNUMBER('Monthly data'!M42),LN(1+'Monthly data'!M42),"")</x:f>
        <x:v>1.5646288132988877</x:v>
      </x:c>
      <x:c r="J42" s="8" t="n">
        <x:f>IF(ISNUMBER('Monthly data'!N42),LN(1+'Monthly data'!N42),"")</x:f>
        <x:v>2.1410539108073583</x:v>
      </x:c>
      <x:c r="K42" s="8" t="n">
        <x:f>IF(COUNT('Monthly data'!F40:F42)=3,'Monthly data'!F42-2*'Monthly data'!F41+'Monthly data'!F40,"")</x:f>
        <x:v>17.05000000000001</x:v>
      </x:c>
      <x:c r="L42" s="8" t="n">
        <x:f>IF(COUNT('Monthly data'!G40:G42)=3,'Monthly data'!G42-2*'Monthly data'!G41+'Monthly data'!G40,"")</x:f>
        <x:v>-3.0492000000000026</x:v>
      </x:c>
      <x:c r="M42" s="8" t="n">
        <x:f>IF(COUNT('Monthly data'!H40:H42)=3,'Monthly data'!H42-2*'Monthly data'!H41+'Monthly data'!H40,"")</x:f>
        <x:v>2.286999999999999</x:v>
      </x:c>
      <x:c r="N42" s="8" t="n">
        <x:f>IF(COUNT('Monthly data'!I40:I42)=3,'Monthly data'!I42-2*'Monthly data'!I41+'Monthly data'!I40,"")</x:f>
        <x:v>15.566600000000001</x:v>
      </x:c>
      <x:c r="O42" s="8" t="n">
        <x:f>IF(COUNT('Monthly data'!J40:J42)=3,'Monthly data'!J42-2*'Monthly data'!J41+'Monthly data'!J40,"")</x:f>
        <x:v>4.3696</x:v>
      </x:c>
      <x:c r="P42" s="8" t="n">
        <x:f>IF(COUNT('Monthly data'!K40:K42)=3,'Monthly data'!K42-2*'Monthly data'!K41+'Monthly data'!K40,"")</x:f>
        <x:v>0.49659999999999904</x:v>
      </x:c>
      <x:c r="Q42" s="8" t="n">
        <x:f>IF(COUNT('Monthly data'!L40:L42)=3,'Monthly data'!L42-2*'Monthly data'!L41+'Monthly data'!L40,"")</x:f>
        <x:v>0.7815000000000001</x:v>
      </x:c>
      <x:c r="R42" s="8" t="n">
        <x:f>IF(COUNT('Monthly data'!M40:M42)=3,'Monthly data'!M42-2*'Monthly data'!M41+'Monthly data'!M40,"")</x:f>
        <x:v>-0.8405</x:v>
      </x:c>
      <x:c r="S42" s="8" t="n">
        <x:f>IF(COUNT('Monthly data'!N40:N42)=3,'Monthly data'!N42-2*'Monthly data'!N41+'Monthly data'!N40,"")</x:f>
        <x:v>-2.5615000000000006</x:v>
      </x:c>
      <x:c r="T42" s="8" t="n">
        <x:f>IF(COUNT('Monthly data'!E41:E42)=2,'Monthly data'!E42-'Monthly data'!E41,"")</x:f>
        <x:v>-0.0006761701000002063</x:v>
      </x:c>
    </x:row>
    <x:row r="43" ht="19" customHeight="1">
      <x:c r="A43" s="7" t="n">
        <x:f>'Monthly data'!A43</x:f>
        <x:v>34121</x:v>
      </x:c>
      <x:c r="B43" s="8" t="n">
        <x:f>IF(ISNUMBER('Monthly data'!F43),LN(1+'Monthly data'!F43),"")</x:f>
        <x:v>4.610754564281992</x:v>
      </x:c>
      <x:c r="C43" s="8" t="n">
        <x:f>IF(ISNUMBER('Monthly data'!G43),LN(1+'Monthly data'!G43),"")</x:f>
        <x:v>3.3623110126096556</x:v>
      </x:c>
      <x:c r="D43" s="8" t="n">
        <x:f>IF(ISNUMBER('Monthly data'!H43),LN(1+'Monthly data'!H43),"")</x:f>
        <x:v>3.191315504331131</x:v>
      </x:c>
      <x:c r="E43" s="8" t="n">
        <x:f>IF(ISNUMBER('Monthly data'!I43),LN(1+'Monthly data'!I43),"")</x:f>
        <x:v>2.550421256898627</x:v>
      </x:c>
      <x:c r="F43" s="8" t="n">
        <x:f>IF(ISNUMBER('Monthly data'!J43),LN(1+'Monthly data'!J43),"")</x:f>
        <x:v>2.828785910361386</x:v>
      </x:c>
      <x:c r="G43" s="8" t="n">
        <x:f>IF(ISNUMBER('Monthly data'!K43),LN(1+'Monthly data'!K43),"")</x:f>
        <x:v>1.587682980631071</x:v>
      </x:c>
      <x:c r="H43" s="8" t="n">
        <x:f>IF(ISNUMBER('Monthly data'!L43),LN(1+'Monthly data'!L43),"")</x:f>
        <x:v>1.770518808457188</x:v>
      </x:c>
      <x:c r="I43" s="8" t="n">
        <x:f>IF(ISNUMBER('Monthly data'!M43),LN(1+'Monthly data'!M43),"")</x:f>
        <x:v>1.7019623976096927</x:v>
      </x:c>
      <x:c r="J43" s="8" t="n">
        <x:f>IF(ISNUMBER('Monthly data'!N43),LN(1+'Monthly data'!N43),"")</x:f>
        <x:v>2.127695848017387</x:v>
      </x:c>
      <x:c r="K43" s="8" t="n">
        <x:f>IF(COUNT('Monthly data'!F41:F43)=3,'Monthly data'!F43-2*'Monthly data'!F42+'Monthly data'!F41,"")</x:f>
        <x:v>-5.920000000000002</x:v>
      </x:c>
      <x:c r="L43" s="8" t="n">
        <x:f>IF(COUNT('Monthly data'!G41:G43)=3,'Monthly data'!G43-2*'Monthly data'!G42+'Monthly data'!G41,"")</x:f>
        <x:v>-3.8744999999999976</x:v>
      </x:c>
      <x:c r="M43" s="8" t="n">
        <x:f>IF(COUNT('Monthly data'!H41:H43)=3,'Monthly data'!H43-2*'Monthly data'!H42+'Monthly data'!H41,"")</x:f>
        <x:v>1.4928999999999988</x:v>
      </x:c>
      <x:c r="N43" s="8" t="n">
        <x:f>IF(COUNT('Monthly data'!I41:I43)=3,'Monthly data'!I43-2*'Monthly data'!I42+'Monthly data'!I41,"")</x:f>
        <x:v>-1.5519999999999996</x:v>
      </x:c>
      <x:c r="O43" s="8" t="n">
        <x:f>IF(COUNT('Monthly data'!J41:J43)=3,'Monthly data'!J43-2*'Monthly data'!J42+'Monthly data'!J41,"")</x:f>
        <x:v>-9.146199999999997</x:v>
      </x:c>
      <x:c r="P43" s="8" t="n">
        <x:f>IF(COUNT('Monthly data'!K41:K43)=3,'Monthly data'!K43-2*'Monthly data'!K42+'Monthly data'!K41,"")</x:f>
        <x:v>1.7699000000000003</x:v>
      </x:c>
      <x:c r="Q43" s="8" t="n">
        <x:f>IF(COUNT('Monthly data'!L41:L43)=3,'Monthly data'!L43-2*'Monthly data'!L42+'Monthly data'!L41,"")</x:f>
        <x:v>2.9077</x:v>
      </x:c>
      <x:c r="R43" s="8" t="n">
        <x:f>IF(COUNT('Monthly data'!M41:M43)=3,'Monthly data'!M43-2*'Monthly data'!M42+'Monthly data'!M41,"")</x:f>
        <x:v>0.5534000000000003</x:v>
      </x:c>
      <x:c r="S43" s="8" t="n">
        <x:f>IF(COUNT('Monthly data'!N41:N43)=3,'Monthly data'!N43-2*'Monthly data'!N42+'Monthly data'!N41,"")</x:f>
        <x:v>1.9288000000000007</x:v>
      </x:c>
      <x:c r="T43" s="8" t="n">
        <x:f>IF(COUNT('Monthly data'!E42:E43)=2,'Monthly data'!E43-'Monthly data'!E42,"")</x:f>
        <x:v>-0.0052547910000004805</x:v>
      </x:c>
    </x:row>
    <x:row r="44" ht="19" customHeight="1">
      <x:c r="A44" s="7" t="n">
        <x:f>'Monthly data'!A44</x:f>
        <x:v>34151</x:v>
      </x:c>
      <x:c r="B44" s="8" t="n">
        <x:f>IF(ISNUMBER('Monthly data'!F44),LN(1+'Monthly data'!F44),"")</x:f>
        <x:v>4.709530201312334</x:v>
      </x:c>
      <x:c r="C44" s="8" t="n">
        <x:f>IF(ISNUMBER('Monthly data'!G44),LN(1+'Monthly data'!G44),"")</x:f>
        <x:v>3.42095425627771</x:v>
      </x:c>
      <x:c r="D44" s="8" t="n">
        <x:f>IF(ISNUMBER('Monthly data'!H44),LN(1+'Monthly data'!H44),"")</x:f>
        <x:v>3.4605411835788678</x:v>
      </x:c>
      <x:c r="E44" s="8" t="n">
        <x:f>IF(ISNUMBER('Monthly data'!I44),LN(1+'Monthly data'!I44),"")</x:f>
        <x:v>2.745487273231105</x:v>
      </x:c>
      <x:c r="F44" s="8" t="n">
        <x:f>IF(ISNUMBER('Monthly data'!J44),LN(1+'Monthly data'!J44),"")</x:f>
        <x:v>2.9215581453658532</x:v>
      </x:c>
      <x:c r="G44" s="8" t="n">
        <x:f>IF(ISNUMBER('Monthly data'!K44),LN(1+'Monthly data'!K44),"")</x:f>
        <x:v>1.8298417140593157</x:v>
      </x:c>
      <x:c r="H44" s="8" t="n">
        <x:f>IF(ISNUMBER('Monthly data'!L44),LN(1+'Monthly data'!L44),"")</x:f>
        <x:v>0.8674785674627196</x:v>
      </x:c>
      <x:c r="I44" s="8" t="n">
        <x:f>IF(ISNUMBER('Monthly data'!M44),LN(1+'Monthly data'!M44),"")</x:f>
        <x:v>1.3812315667774282</x:v>
      </x:c>
      <x:c r="J44" s="8" t="n">
        <x:f>IF(ISNUMBER('Monthly data'!N44),LN(1+'Monthly data'!N44),"")</x:f>
        <x:v>2.1782909057220046</x:v>
      </x:c>
      <x:c r="K44" s="8" t="n">
        <x:f>IF(COUNT('Monthly data'!F42:F44)=3,'Monthly data'!F44-2*'Monthly data'!F43+'Monthly data'!F42,"")</x:f>
        <x:v>14.409999999999997</x:v>
      </x:c>
      <x:c r="L44" s="8" t="n">
        <x:f>IF(COUNT('Monthly data'!G42:G44)=3,'Monthly data'!G44-2*'Monthly data'!G43+'Monthly data'!G42,"")</x:f>
        <x:v>5.775300000000005</x:v>
      </x:c>
      <x:c r="M44" s="8" t="n">
        <x:f>IF(COUNT('Monthly data'!H42:H44)=3,'Monthly data'!H44-2*'Monthly data'!H43+'Monthly data'!H42,"")</x:f>
        <x:v>6.219200000000001</x:v>
      </x:c>
      <x:c r="N44" s="8" t="n">
        <x:f>IF(COUNT('Monthly data'!I42:I44)=3,'Monthly data'!I44-2*'Monthly data'!I43+'Monthly data'!I42,"")</x:f>
        <x:v>4.0556</x:v>
      </x:c>
      <x:c r="O44" s="8" t="n">
        <x:f>IF(COUNT('Monthly data'!J42:J44)=3,'Monthly data'!J44-2*'Monthly data'!J43+'Monthly data'!J42,"")</x:f>
        <x:v>5.8735</x:v>
      </x:c>
      <x:c r="P44" s="8" t="n">
        <x:f>IF(COUNT('Monthly data'!K42:K44)=3,'Monthly data'!K44-2*'Monthly data'!K43+'Monthly data'!K42,"")</x:f>
        <x:v>1.0329000000000002</x:v>
      </x:c>
      <x:c r="Q44" s="8" t="n">
        <x:f>IF(COUNT('Monthly data'!L42:L44)=3,'Monthly data'!L44-2*'Monthly data'!L43+'Monthly data'!L42,"")</x:f>
        <x:v>-6.8866</x:v>
      </x:c>
      <x:c r="R44" s="8" t="n">
        <x:f>IF(COUNT('Monthly data'!M42:M44)=3,'Monthly data'!M44-2*'Monthly data'!M43+'Monthly data'!M42,"")</x:f>
        <x:v>-2.2087000000000003</x:v>
      </x:c>
      <x:c r="S44" s="8" t="n">
        <x:f>IF(COUNT('Monthly data'!N42:N44)=3,'Monthly data'!N44-2*'Monthly data'!N43+'Monthly data'!N42,"")</x:f>
        <x:v>0.5485999999999995</x:v>
      </x:c>
      <x:c r="T44" s="8" t="n">
        <x:f>IF(COUNT('Monthly data'!E43:E44)=2,'Monthly data'!E44-'Monthly data'!E43,"")</x:f>
        <x:v>0.00905042399999978</x:v>
      </x:c>
    </x:row>
    <x:row r="45" ht="19" customHeight="1">
      <x:c r="A45" s="7" t="n">
        <x:f>'Monthly data'!A45</x:f>
        <x:v>34182</x:v>
      </x:c>
      <x:c r="B45" s="8" t="n">
        <x:f>IF(ISNUMBER('Monthly data'!F45),LN(1+'Monthly data'!F45),"")</x:f>
        <x:v>4.649378440652412</x:v>
      </x:c>
      <x:c r="C45" s="8" t="n">
        <x:f>IF(ISNUMBER('Monthly data'!G45),LN(1+'Monthly data'!G45),"")</x:f>
        <x:v>3.612044305053068</x:v>
      </x:c>
      <x:c r="D45" s="8" t="n">
        <x:f>IF(ISNUMBER('Monthly data'!H45),LN(1+'Monthly data'!H45),"")</x:f>
        <x:v>3.0346692926237573</x:v>
      </x:c>
      <x:c r="E45" s="8" t="n">
        <x:f>IF(ISNUMBER('Monthly data'!I45),LN(1+'Monthly data'!I45),"")</x:f>
        <x:v>2.6402423414969682</x:v>
      </x:c>
      <x:c r="F45" s="8" t="n">
        <x:f>IF(ISNUMBER('Monthly data'!J45),LN(1+'Monthly data'!J45),"")</x:f>
        <x:v>2.9372023313635873</x:v>
      </x:c>
      <x:c r="G45" s="8" t="n">
        <x:f>IF(ISNUMBER('Monthly data'!K45),LN(1+'Monthly data'!K45),"")</x:f>
        <x:v>1.0099267838354222</x:v>
      </x:c>
      <x:c r="H45" s="8" t="n">
        <x:f>IF(ISNUMBER('Monthly data'!L45),LN(1+'Monthly data'!L45),"")</x:f>
        <x:v>0.8646184182994854</x:v>
      </x:c>
      <x:c r="I45" s="8" t="n">
        <x:f>IF(ISNUMBER('Monthly data'!M45),LN(1+'Monthly data'!M45),"")</x:f>
        <x:v>1.6335840342621788</x:v>
      </x:c>
      <x:c r="J45" s="8" t="n">
        <x:f>IF(ISNUMBER('Monthly data'!N45),LN(1+'Monthly data'!N45),"")</x:f>
        <x:v>2.3573383946468165</x:v>
      </x:c>
      <x:c r="K45" s="8" t="n">
        <x:f>IF(COUNT('Monthly data'!F43:F45)=3,'Monthly data'!F45-2*'Monthly data'!F44+'Monthly data'!F43,"")</x:f>
        <x:v>-16.92</x:v>
      </x:c>
      <x:c r="L45" s="8" t="n">
        <x:f>IF(COUNT('Monthly data'!G43:G45)=3,'Monthly data'!G45-2*'Monthly data'!G44+'Monthly data'!G43,"")</x:f>
        <x:v>4.700299999999995</x:v>
      </x:c>
      <x:c r="M45" s="8" t="n">
        <x:f>IF(COUNT('Monthly data'!H43:H45)=3,'Monthly data'!H45-2*'Monthly data'!H44+'Monthly data'!H43,"")</x:f>
        <x:v>-18.5539</x:v>
      </x:c>
      <x:c r="N45" s="8" t="n">
        <x:f>IF(COUNT('Monthly data'!I43:I45)=3,'Monthly data'!I45-2*'Monthly data'!I44+'Monthly data'!I43,"")</x:f>
        <x:v>-4.315300000000001</x:v>
      </x:c>
      <x:c r="O45" s="8" t="n">
        <x:f>IF(COUNT('Monthly data'!J43:J45)=3,'Monthly data'!J45-2*'Monthly data'!J44+'Monthly data'!J43,"")</x:f>
        <x:v>-1.352500000000001</x:v>
      </x:c>
      <x:c r="P45" s="8" t="n">
        <x:f>IF(COUNT('Monthly data'!K43:K45)=3,'Monthly data'!K45-2*'Monthly data'!K44+'Monthly data'!K43,"")</x:f>
        <x:v>-4.827999999999999</x:v>
      </x:c>
      <x:c r="Q45" s="8" t="n">
        <x:f>IF(COUNT('Monthly data'!L43:L45)=3,'Monthly data'!L45-2*'Monthly data'!L44+'Monthly data'!L43,"")</x:f>
        <x:v>3.4862</x:v>
      </x:c>
      <x:c r="R45" s="8" t="n">
        <x:f>IF(COUNT('Monthly data'!M43:M45)=3,'Monthly data'!M45-2*'Monthly data'!M44+'Monthly data'!M43,"")</x:f>
        <x:v>2.6473000000000004</x:v>
      </x:c>
      <x:c r="S45" s="8" t="n">
        <x:f>IF(COUNT('Monthly data'!N43:N45)=3,'Monthly data'!N45-2*'Monthly data'!N44+'Monthly data'!N43,"")</x:f>
        <x:v>1.2958999999999996</x:v>
      </x:c>
      <x:c r="T45" s="8" t="n">
        <x:f>IF(COUNT('Monthly data'!E44:E45)=2,'Monthly data'!E45-'Monthly data'!E44,"")</x:f>
        <x:v>-0.004484719399998838</x:v>
      </x:c>
    </x:row>
    <x:row r="46" ht="19" customHeight="1">
      <x:c r="A46" s="7" t="n">
        <x:f>'Monthly data'!A46</x:f>
        <x:v>34213</x:v>
      </x:c>
      <x:c r="B46" s="8" t="n">
        <x:f>IF(ISNUMBER('Monthly data'!F46),LN(1+'Monthly data'!F46),"")</x:f>
        <x:v>4.627714150422986</x:v>
      </x:c>
      <x:c r="C46" s="8" t="n">
        <x:f>IF(ISNUMBER('Monthly data'!G46),LN(1+'Monthly data'!G46),"")</x:f>
        <x:v>3.1029081404641983</x:v>
      </x:c>
      <x:c r="D46" s="8" t="n">
        <x:f>IF(ISNUMBER('Monthly data'!H46),LN(1+'Monthly data'!H46),"")</x:f>
        <x:v>3.7026738721360823</x:v>
      </x:c>
      <x:c r="E46" s="8" t="n">
        <x:f>IF(ISNUMBER('Monthly data'!I46),LN(1+'Monthly data'!I46),"")</x:f>
        <x:v>2.0214415973818474</x:v>
      </x:c>
      <x:c r="F46" s="8" t="n">
        <x:f>IF(ISNUMBER('Monthly data'!J46),LN(1+'Monthly data'!J46),"")</x:f>
        <x:v>2.9433331047547826</x:v>
      </x:c>
      <x:c r="G46" s="8" t="n">
        <x:f>IF(ISNUMBER('Monthly data'!K46),LN(1+'Monthly data'!K46),"")</x:f>
        <x:v>1.4714164545367128</x:v>
      </x:c>
      <x:c r="H46" s="8" t="n">
        <x:f>IF(ISNUMBER('Monthly data'!L46),LN(1+'Monthly data'!L46),"")</x:f>
        <x:v>1.353487038143773</x:v>
      </x:c>
      <x:c r="I46" s="8" t="n">
        <x:f>IF(ISNUMBER('Monthly data'!M46),LN(1+'Monthly data'!M46),"")</x:f>
        <x:v>1.0015505758249785</x:v>
      </x:c>
      <x:c r="J46" s="8" t="n">
        <x:f>IF(ISNUMBER('Monthly data'!N46),LN(1+'Monthly data'!N46),"")</x:f>
        <x:v>2.1955231306964618</x:v>
      </x:c>
      <x:c r="K46" s="8" t="n">
        <x:f>IF(COUNT('Monthly data'!F44:F46)=3,'Monthly data'!F46-2*'Monthly data'!F45+'Monthly data'!F44,"")</x:f>
        <x:v>4.240000000000009</x:v>
      </x:c>
      <x:c r="L46" s="8" t="n">
        <x:f>IF(COUNT('Monthly data'!G44:G46)=3,'Monthly data'!G46-2*'Monthly data'!G45+'Monthly data'!G44,"")</x:f>
        <x:v>-21.222199999999997</x:v>
      </x:c>
      <x:c r="M46" s="8" t="n">
        <x:f>IF(COUNT('Monthly data'!H44:H46)=3,'Monthly data'!H46-2*'Monthly data'!H45+'Monthly data'!H44,"")</x:f>
        <x:v>30.801599999999997</x:v>
      </x:c>
      <x:c r="N46" s="8" t="n">
        <x:f>IF(COUNT('Monthly data'!I44:I46)=3,'Monthly data'!I46-2*'Monthly data'!I45+'Monthly data'!I44,"")</x:f>
        <x:v>-4.911800000000001</x:v>
      </x:c>
      <x:c r="O46" s="8" t="n">
        <x:f>IF(COUNT('Monthly data'!J44:J46)=3,'Monthly data'!J46-2*'Monthly data'!J45+'Monthly data'!J44,"")</x:f>
        <x:v>-0.17680000000000007</x:v>
      </x:c>
      <x:c r="P46" s="8" t="n">
        <x:f>IF(COUNT('Monthly data'!K44:K46)=3,'Monthly data'!K46-2*'Monthly data'!K45+'Monthly data'!K44,"")</x:f>
        <x:v>5.0975</x:v>
      </x:c>
      <x:c r="Q46" s="8" t="n">
        <x:f>IF(COUNT('Monthly data'!L44:L46)=3,'Monthly data'!L46-2*'Monthly data'!L45+'Monthly data'!L44,"")</x:f>
        <x:v>1.5035999999999996</x:v>
      </x:c>
      <x:c r="R46" s="8" t="n">
        <x:f>IF(COUNT('Monthly data'!M44:M46)=3,'Monthly data'!M46-2*'Monthly data'!M45+'Monthly data'!M44,"")</x:f>
        <x:v>-3.5421000000000005</x:v>
      </x:c>
      <x:c r="S46" s="8" t="n">
        <x:f>IF(COUNT('Monthly data'!N44:N46)=3,'Monthly data'!N46-2*'Monthly data'!N45+'Monthly data'!N44,"")</x:f>
        <x:v>-3.3096999999999985</x:v>
      </x:c>
      <x:c r="T46" s="8" t="n">
        <x:f>IF(COUNT('Monthly data'!E45:E46)=2,'Monthly data'!E46-'Monthly data'!E45,"")</x:f>
        <x:v>0.007852636899999155</x:v>
      </x:c>
    </x:row>
    <x:row r="47" ht="19" customHeight="1">
      <x:c r="A47" s="7" t="n">
        <x:f>'Monthly data'!A47</x:f>
        <x:v>34243</x:v>
      </x:c>
      <x:c r="B47" s="8" t="n">
        <x:f>IF(ISNUMBER('Monthly data'!F47),LN(1+'Monthly data'!F47),"")</x:f>
        <x:v>4.688131706702439</x:v>
      </x:c>
      <x:c r="C47" s="8" t="n">
        <x:f>IF(ISNUMBER('Monthly data'!G47),LN(1+'Monthly data'!G47),"")</x:f>
        <x:v>3.412490045506575</x:v>
      </x:c>
      <x:c r="D47" s="8" t="n">
        <x:f>IF(ISNUMBER('Monthly data'!H47),LN(1+'Monthly data'!H47),"")</x:f>
        <x:v>3.3154361320285095</x:v>
      </x:c>
      <x:c r="E47" s="8" t="n">
        <x:f>IF(ISNUMBER('Monthly data'!I47),LN(1+'Monthly data'!I47),"")</x:f>
        <x:v>2.2986473502514024</x:v>
      </x:c>
      <x:c r="F47" s="8" t="n">
        <x:f>IF(ISNUMBER('Monthly data'!J47),LN(1+'Monthly data'!J47),"")</x:f>
        <x:v>3.1039497043406734</x:v>
      </x:c>
      <x:c r="G47" s="8" t="n">
        <x:f>IF(ISNUMBER('Monthly data'!K47),LN(1+'Monthly data'!K47),"")</x:f>
        <x:v>1.786009637247448</x:v>
      </x:c>
      <x:c r="H47" s="8" t="n">
        <x:f>IF(ISNUMBER('Monthly data'!L47),LN(1+'Monthly data'!L47),"")</x:f>
        <x:v>1.5062749803197613</x:v>
      </x:c>
      <x:c r="I47" s="8" t="n">
        <x:f>IF(ISNUMBER('Monthly data'!M47),LN(1+'Monthly data'!M47),"")</x:f>
        <x:v>2.0758350460857242</x:v>
      </x:c>
      <x:c r="J47" s="8" t="n">
        <x:f>IF(ISNUMBER('Monthly data'!N47),LN(1+'Monthly data'!N47),"")</x:f>
        <x:v>1.9574998708745934</x:v>
      </x:c>
      <x:c r="K47" s="8" t="n">
        <x:f>IF(COUNT('Monthly data'!F45:F47)=3,'Monthly data'!F47-2*'Monthly data'!F46+'Monthly data'!F45,"")</x:f>
        <x:v>8.61</x:v>
      </x:c>
      <x:c r="L47" s="8" t="n">
        <x:f>IF(COUNT('Monthly data'!G45:G47)=3,'Monthly data'!G47-2*'Monthly data'!G46+'Monthly data'!G45,"")</x:f>
        <x:v>22.8572</x:v>
      </x:c>
      <x:c r="M47" s="8" t="n">
        <x:f>IF(COUNT('Monthly data'!H45:H47)=3,'Monthly data'!H47-2*'Monthly data'!H46+'Monthly data'!H45,"")</x:f>
        <x:v>-32.78269999999999</x:v>
      </x:c>
      <x:c r="N47" s="8" t="n">
        <x:f>IF(COUNT('Monthly data'!I45:I47)=3,'Monthly data'!I47-2*'Monthly data'!I46+'Monthly data'!I45,"")</x:f>
        <x:v>8.8789</x:v>
      </x:c>
      <x:c r="O47" s="8" t="n">
        <x:f>IF(COUNT('Monthly data'!J45:J47)=3,'Monthly data'!J47-2*'Monthly data'!J46+'Monthly data'!J45,"")</x:f>
        <x:v>3.1907999999999994</x:v>
      </x:c>
      <x:c r="P47" s="8" t="n">
        <x:f>IF(COUNT('Monthly data'!K45:K47)=3,'Monthly data'!K47-2*'Monthly data'!K46+'Monthly data'!K45,"")</x:f>
        <x:v>0.00020000000000042206</x:v>
      </x:c>
      <x:c r="Q47" s="8" t="n">
        <x:f>IF(COUNT('Monthly data'!L45:L47)=3,'Monthly data'!L47-2*'Monthly data'!L46+'Monthly data'!L45,"")</x:f>
        <x:v>-0.8577999999999995</x:v>
      </x:c>
      <x:c r="R47" s="8" t="n">
        <x:f>IF(COUNT('Monthly data'!M45:M47)=3,'Monthly data'!M47-2*'Monthly data'!M46+'Monthly data'!M45,"")</x:f>
        <x:v>7.6484000000000005</x:v>
      </x:c>
      <x:c r="S47" s="8" t="n">
        <x:f>IF(COUNT('Monthly data'!N45:N47)=3,'Monthly data'!N47-2*'Monthly data'!N46+'Monthly data'!N45,"")</x:f>
        <x:v>-0.32500000000000107</x:v>
      </x:c>
      <x:c r="T47" s="8" t="n">
        <x:f>IF(COUNT('Monthly data'!E46:E47)=2,'Monthly data'!E47-'Monthly data'!E46,"")</x:f>
        <x:v>0.010030283500000792</x:v>
      </x:c>
    </x:row>
    <x:row r="48" ht="19" customHeight="1">
      <x:c r="A48" s="7" t="n">
        <x:f>'Monthly data'!A48</x:f>
        <x:v>34274</x:v>
      </x:c>
      <x:c r="B48" s="8" t="n">
        <x:f>IF(ISNUMBER('Monthly data'!F48),LN(1+'Monthly data'!F48),"")</x:f>
        <x:v>4.466827236366346</x:v>
      </x:c>
      <x:c r="C48" s="8" t="n">
        <x:f>IF(ISNUMBER('Monthly data'!G48),LN(1+'Monthly data'!G48),"")</x:f>
        <x:v>2.700071791400604</x:v>
      </x:c>
      <x:c r="D48" s="8" t="n">
        <x:f>IF(ISNUMBER('Monthly data'!H48),LN(1+'Monthly data'!H48),"")</x:f>
        <x:v>3.3443765578910902</x:v>
      </x:c>
      <x:c r="E48" s="8" t="n">
        <x:f>IF(ISNUMBER('Monthly data'!I48),LN(1+'Monthly data'!I48),"")</x:f>
        <x:v>2.277513408565022</x:v>
      </x:c>
      <x:c r="F48" s="8" t="n">
        <x:f>IF(ISNUMBER('Monthly data'!J48),LN(1+'Monthly data'!J48),"")</x:f>
        <x:v>2.5741454054381157</x:v>
      </x:c>
      <x:c r="G48" s="8" t="n">
        <x:f>IF(ISNUMBER('Monthly data'!K48),LN(1+'Monthly data'!K48),"")</x:f>
        <x:v>2.0413631757993853</x:v>
      </x:c>
      <x:c r="H48" s="8" t="n">
        <x:f>IF(ISNUMBER('Monthly data'!L48),LN(1+'Monthly data'!L48),"")</x:f>
        <x:v>1.4820135481784344</x:v>
      </x:c>
      <x:c r="I48" s="8" t="n">
        <x:f>IF(ISNUMBER('Monthly data'!M48),LN(1+'Monthly data'!M48),"")</x:f>
        <x:v>1.8855381738924533</x:v>
      </x:c>
      <x:c r="J48" s="8" t="n">
        <x:f>IF(ISNUMBER('Monthly data'!N48),LN(1+'Monthly data'!N48),"")</x:f>
        <x:v>2.2290354264971737</x:v>
      </x:c>
      <x:c r="K48" s="8" t="n">
        <x:f>IF(COUNT('Monthly data'!F46:F48)=3,'Monthly data'!F48-2*'Monthly data'!F47+'Monthly data'!F46,"")</x:f>
        <x:v>-27.940000000000026</x:v>
      </x:c>
      <x:c r="L48" s="8" t="n">
        <x:f>IF(COUNT('Monthly data'!G46:G48)=3,'Monthly data'!G48-2*'Monthly data'!G47+'Monthly data'!G46,"")</x:f>
        <x:v>-23.537999999999997</x:v>
      </x:c>
      <x:c r="M48" s="8" t="n">
        <x:f>IF(COUNT('Monthly data'!H46:H48)=3,'Monthly data'!H48-2*'Monthly data'!H47+'Monthly data'!H46,"")</x:f>
        <x:v>13.829699999999995</x:v>
      </x:c>
      <x:c r="N48" s="8" t="n">
        <x:f>IF(COUNT('Monthly data'!I46:I48)=3,'Monthly data'!I48-2*'Monthly data'!I47+'Monthly data'!I46,"")</x:f>
        <x:v>-2.619799999999999</x:v>
      </x:c>
      <x:c r="O48" s="8" t="n">
        <x:f>IF(COUNT('Monthly data'!J46:J48)=3,'Monthly data'!J48-2*'Monthly data'!J47+'Monthly data'!J46,"")</x:f>
        <x:v>-12.472499999999997</x:v>
      </x:c>
      <x:c r="P48" s="8" t="n">
        <x:f>IF(COUNT('Monthly data'!K46:K48)=3,'Monthly data'!K48-2*'Monthly data'!K47+'Monthly data'!K46,"")</x:f>
        <x:v>0.12529999999999974</x:v>
      </x:c>
      <x:c r="Q48" s="8" t="n">
        <x:f>IF(COUNT('Monthly data'!L46:L48)=3,'Monthly data'!L48-2*'Monthly data'!L47+'Monthly data'!L46,"")</x:f>
        <x:v>-0.7471000000000001</x:v>
      </x:c>
      <x:c r="R48" s="8" t="n">
        <x:f>IF(COUNT('Monthly data'!M46:M48)=3,'Monthly data'!M48-2*'Monthly data'!M47+'Monthly data'!M46,"")</x:f>
        <x:v>-6.629999999999999</x:v>
      </x:c>
      <x:c r="S48" s="8" t="n">
        <x:f>IF(COUNT('Monthly data'!N46:N48)=3,'Monthly data'!N48-2*'Monthly data'!N47+'Monthly data'!N46,"")</x:f>
        <x:v>4.112400000000001</x:v>
      </x:c>
      <x:c r="T48" s="8" t="n">
        <x:f>IF(COUNT('Monthly data'!E47:E48)=2,'Monthly data'!E48-'Monthly data'!E47,"")</x:f>
        <x:v>0.0048299148999984</x:v>
      </x:c>
    </x:row>
    <x:row r="49" ht="19" customHeight="1">
      <x:c r="A49" s="7" t="n">
        <x:f>'Monthly data'!A49</x:f>
        <x:v>34304</x:v>
      </x:c>
      <x:c r="B49" s="8" t="n">
        <x:f>IF(ISNUMBER('Monthly data'!F49),LN(1+'Monthly data'!F49),"")</x:f>
        <x:v>4.516120369154581</x:v>
      </x:c>
      <x:c r="C49" s="8" t="n">
        <x:f>IF(ISNUMBER('Monthly data'!G49),LN(1+'Monthly data'!G49),"")</x:f>
        <x:v>2.677089149501747</x:v>
      </x:c>
      <x:c r="D49" s="8" t="n">
        <x:f>IF(ISNUMBER('Monthly data'!H49),LN(1+'Monthly data'!H49),"")</x:f>
        <x:v>3.4839594654017607</x:v>
      </x:c>
      <x:c r="E49" s="8" t="n">
        <x:f>IF(ISNUMBER('Monthly data'!I49),LN(1+'Monthly data'!I49),"")</x:f>
        <x:v>2.5893192162839584</x:v>
      </x:c>
      <x:c r="F49" s="8" t="n">
        <x:f>IF(ISNUMBER('Monthly data'!J49),LN(1+'Monthly data'!J49),"")</x:f>
        <x:v>2.5586913554110127</x:v>
      </x:c>
      <x:c r="G49" s="8" t="n">
        <x:f>IF(ISNUMBER('Monthly data'!K49),LN(1+'Monthly data'!K49),"")</x:f>
        <x:v>2.2846247676170526</x:v>
      </x:c>
      <x:c r="H49" s="8" t="n">
        <x:f>IF(ISNUMBER('Monthly data'!L49),LN(1+'Monthly data'!L49),"")</x:f>
        <x:v>0.6350942491113282</x:v>
      </x:c>
      <x:c r="I49" s="8" t="n">
        <x:f>IF(ISNUMBER('Monthly data'!M49),LN(1+'Monthly data'!M49),"")</x:f>
        <x:v>1.4304547769055451</x:v>
      </x:c>
      <x:c r="J49" s="8" t="n">
        <x:f>IF(ISNUMBER('Monthly data'!N49),LN(1+'Monthly data'!N49),"")</x:f>
        <x:v>2.221309959529064</x:v>
      </x:c>
      <x:c r="K49" s="8" t="n">
        <x:f>IF(COUNT('Monthly data'!F47:F49)=3,'Monthly data'!F49-2*'Monthly data'!F48+'Monthly data'!F47,"")</x:f>
        <x:v>25.970000000000013</x:v>
      </x:c>
      <x:c r="L49" s="8" t="n">
        <x:f>IF(COUNT('Monthly data'!G47:G49)=3,'Monthly data'!G49-2*'Monthly data'!G48+'Monthly data'!G47,"")</x:f>
        <x:v>15.121799999999997</x:v>
      </x:c>
      <x:c r="M49" s="8" t="n">
        <x:f>IF(COUNT('Monthly data'!H47:H49)=3,'Monthly data'!H49-2*'Monthly data'!H48+'Monthly data'!H47,"")</x:f>
        <x:v>3.437100000000001</x:v>
      </x:c>
      <x:c r="N49" s="8" t="n">
        <x:f>IF(COUNT('Monthly data'!I47:I49)=3,'Monthly data'!I49-2*'Monthly data'!I48+'Monthly data'!I47,"")</x:f>
        <x:v>3.7766</x:v>
      </x:c>
      <x:c r="O49" s="8" t="n">
        <x:f>IF(COUNT('Monthly data'!J47:J49)=3,'Monthly data'!J49-2*'Monthly data'!J48+'Monthly data'!J47,"")</x:f>
        <x:v>8.964499999999997</x:v>
      </x:c>
      <x:c r="P49" s="8" t="n">
        <x:f>IF(COUNT('Monthly data'!K47:K49)=3,'Monthly data'!K49-2*'Monthly data'!K48+'Monthly data'!K47,"")</x:f>
        <x:v>0.38539999999999885</x:v>
      </x:c>
      <x:c r="Q49" s="8" t="n">
        <x:f>IF(COUNT('Monthly data'!L47:L49)=3,'Monthly data'!L49-2*'Monthly data'!L48+'Monthly data'!L47,"")</x:f>
        <x:v>-2.4065000000000003</x:v>
      </x:c>
      <x:c r="R49" s="8" t="n">
        <x:f>IF(COUNT('Monthly data'!M47:M49)=3,'Monthly data'!M49-2*'Monthly data'!M48+'Monthly data'!M47,"")</x:f>
        <x:v>-1.0280000000000005</x:v>
      </x:c>
      <x:c r="S49" s="8" t="n">
        <x:f>IF(COUNT('Monthly data'!N47:N49)=3,'Monthly data'!N49-2*'Monthly data'!N48+'Monthly data'!N47,"")</x:f>
        <x:v>-2.280800000000001</x:v>
      </x:c>
      <x:c r="T49" s="8" t="n">
        <x:f>IF(COUNT('Monthly data'!E48:E49)=2,'Monthly data'!E49-'Monthly data'!E48,"")</x:f>
        <x:v>-0.002389081499998724</x:v>
      </x:c>
    </x:row>
    <x:row r="50" ht="19" customHeight="1">
      <x:c r="A50" s="7" t="n">
        <x:f>'Monthly data'!A50</x:f>
        <x:v>34335</x:v>
      </x:c>
      <x:c r="B50" s="8" t="n">
        <x:f>IF(ISNUMBER('Monthly data'!F50),LN(1+'Monthly data'!F50),"")</x:f>
        <x:v>4.5266679578331335</x:v>
      </x:c>
      <x:c r="C50" s="8" t="n">
        <x:f>IF(ISNUMBER('Monthly data'!G50),LN(1+'Monthly data'!G50),"")</x:f>
        <x:v>2.914516795120251</x:v>
      </x:c>
      <x:c r="D50" s="8" t="n">
        <x:f>IF(ISNUMBER('Monthly data'!H50),LN(1+'Monthly data'!H50),"")</x:f>
        <x:v>3.445740444412827</x:v>
      </x:c>
      <x:c r="E50" s="8" t="n">
        <x:f>IF(ISNUMBER('Monthly data'!I50),LN(1+'Monthly data'!I50),"")</x:f>
        <x:v>2.093862064341066</x:v>
      </x:c>
      <x:c r="F50" s="8" t="n">
        <x:f>IF(ISNUMBER('Monthly data'!J50),LN(1+'Monthly data'!J50),"")</x:f>
        <x:v>2.9717776385911328</x:v>
      </x:c>
      <x:c r="G50" s="8" t="n">
        <x:f>IF(ISNUMBER('Monthly data'!K50),LN(1+'Monthly data'!K50),"")</x:f>
        <x:v>2.174728993953165</x:v>
      </x:c>
      <x:c r="H50" s="8" t="n">
        <x:f>IF(ISNUMBER('Monthly data'!L50),LN(1+'Monthly data'!L50),"")</x:f>
        <x:v>0.7439353473920504</x:v>
      </x:c>
      <x:c r="I50" s="8" t="n">
        <x:f>IF(ISNUMBER('Monthly data'!M50),LN(1+'Monthly data'!M50),"")</x:f>
        <x:v>1.2545898701224625</x:v>
      </x:c>
      <x:c r="J50" s="8" t="n">
        <x:f>IF(ISNUMBER('Monthly data'!N50),LN(1+'Monthly data'!N50),"")</x:f>
        <x:v>2.02688429094116</x:v>
      </x:c>
      <x:c r="K50" s="8" t="n">
        <x:f>IF(COUNT('Monthly data'!F48:F50)=3,'Monthly data'!F50-2*'Monthly data'!F49+'Monthly data'!F48,"")</x:f>
        <x:v>-3.430000000000007</x:v>
      </x:c>
      <x:c r="L50" s="8" t="n">
        <x:f>IF(COUNT('Monthly data'!G48:G50)=3,'Monthly data'!G50-2*'Monthly data'!G49+'Monthly data'!G48,"")</x:f>
        <x:v>4.235300000000002</x:v>
      </x:c>
      <x:c r="M50" s="8" t="n">
        <x:f>IF(COUNT('Monthly data'!H48:H50)=3,'Monthly data'!H50-2*'Monthly data'!H49+'Monthly data'!H48,"")</x:f>
        <x:v>-5.4676000000000045</x:v>
      </x:c>
      <x:c r="N50" s="8" t="n">
        <x:f>IF(COUNT('Monthly data'!I48:I50)=3,'Monthly data'!I50-2*'Monthly data'!I49+'Monthly data'!I48,"")</x:f>
        <x:v>-8.772800000000002</x:v>
      </x:c>
      <x:c r="O50" s="8" t="n">
        <x:f>IF(COUNT('Monthly data'!J48:J50)=3,'Monthly data'!J50-2*'Monthly data'!J49+'Monthly data'!J48,"")</x:f>
        <x:v>6.808899999999998</x:v>
      </x:c>
      <x:c r="P50" s="8" t="n">
        <x:f>IF(COUNT('Monthly data'!K48:K50)=3,'Monthly data'!K50-2*'Monthly data'!K49+'Monthly data'!K48,"")</x:f>
        <x:v>-3.143099999999997</x:v>
      </x:c>
      <x:c r="Q50" s="8" t="n">
        <x:f>IF(COUNT('Monthly data'!L48:L50)=3,'Monthly data'!L50-2*'Monthly data'!L49+'Monthly data'!L48,"")</x:f>
        <x:v>2.7316000000000003</x:v>
      </x:c>
      <x:c r="R50" s="8" t="n">
        <x:f>IF(COUNT('Monthly data'!M48:M50)=3,'Monthly data'!M50-2*'Monthly data'!M49+'Monthly data'!M48,"")</x:f>
        <x:v>1.7351</x:v>
      </x:c>
      <x:c r="S50" s="8" t="n">
        <x:f>IF(COUNT('Monthly data'!N48:N50)=3,'Monthly data'!N50-2*'Monthly data'!N49+'Monthly data'!N48,"")</x:f>
        <x:v>-1.557500000000001</x:v>
      </x:c>
      <x:c r="T50" s="8" t="n">
        <x:f>IF(COUNT('Monthly data'!E49:E50)=2,'Monthly data'!E50-'Monthly data'!E49,"")</x:f>
        <x:v>0.026539667299999792</x:v>
      </x:c>
    </x:row>
    <x:row r="51" ht="19" customHeight="1">
      <x:c r="A51" s="7" t="n">
        <x:f>'Monthly data'!A51</x:f>
        <x:v>34366</x:v>
      </x:c>
      <x:c r="B51" s="8" t="n">
        <x:f>IF(ISNUMBER('Monthly data'!F51),LN(1+'Monthly data'!F51),"")</x:f>
        <x:v>4.683334206957445</x:v>
      </x:c>
      <x:c r="C51" s="8" t="n">
        <x:f>IF(ISNUMBER('Monthly data'!G51),LN(1+'Monthly data'!G51),"")</x:f>
        <x:v>3.4173823620464163</x:v>
      </x:c>
      <x:c r="D51" s="8" t="n">
        <x:f>IF(ISNUMBER('Monthly data'!H51),LN(1+'Monthly data'!H51),"")</x:f>
        <x:v>3.4639217582341177</x:v>
      </x:c>
      <x:c r="E51" s="8" t="n">
        <x:f>IF(ISNUMBER('Monthly data'!I51),LN(1+'Monthly data'!I51),"")</x:f>
        <x:v>2.4730196113935747</x:v>
      </x:c>
      <x:c r="F51" s="8" t="n">
        <x:f>IF(ISNUMBER('Monthly data'!J51),LN(1+'Monthly data'!J51),"")</x:f>
        <x:v>2.79274667855599</x:v>
      </x:c>
      <x:c r="G51" s="8" t="n">
        <x:f>IF(ISNUMBER('Monthly data'!K51),LN(1+'Monthly data'!K51),"")</x:f>
        <x:v>2.162506600522191</x:v>
      </x:c>
      <x:c r="H51" s="8" t="n">
        <x:f>IF(ISNUMBER('Monthly data'!L51),LN(1+'Monthly data'!L51),"")</x:f>
        <x:v>0.519448341056876</x:v>
      </x:c>
      <x:c r="I51" s="8" t="n">
        <x:f>IF(ISNUMBER('Monthly data'!M51),LN(1+'Monthly data'!M51),"")</x:f>
        <x:v>1.6877683858400554</x:v>
      </x:c>
      <x:c r="J51" s="8" t="n">
        <x:f>IF(ISNUMBER('Monthly data'!N51),LN(1+'Monthly data'!N51),"")</x:f>
        <x:v>2.1671089534315957</x:v>
      </x:c>
      <x:c r="K51" s="8" t="n">
        <x:f>IF(COUNT('Monthly data'!F49:F51)=3,'Monthly data'!F51-2*'Monthly data'!F50+'Monthly data'!F49,"")</x:f>
        <x:v>14.709999999999994</x:v>
      </x:c>
      <x:c r="L51" s="8" t="n">
        <x:f>IF(COUNT('Monthly data'!G49:G51)=3,'Monthly data'!G51-2*'Monthly data'!G50+'Monthly data'!G49,"")</x:f>
        <x:v>8.152399999999997</x:v>
      </x:c>
      <x:c r="M51" s="8" t="n">
        <x:f>IF(COUNT('Monthly data'!H49:H51)=3,'Monthly data'!H51-2*'Monthly data'!H50+'Monthly data'!H49,"")</x:f>
        <x:v>1.797500000000003</x:v>
      </x:c>
      <x:c r="N51" s="8" t="n">
        <x:f>IF(COUNT('Monthly data'!I49:I51)=3,'Monthly data'!I51-2*'Monthly data'!I50+'Monthly data'!I49,"")</x:f>
        <x:v>8.9465</x:v>
      </x:c>
      <x:c r="O51" s="8" t="n">
        <x:f>IF(COUNT('Monthly data'!J49:J51)=3,'Monthly data'!J51-2*'Monthly data'!J50+'Monthly data'!J49,"")</x:f>
        <x:v>-9.808499999999995</x:v>
      </x:c>
      <x:c r="P51" s="8" t="n">
        <x:f>IF(COUNT('Monthly data'!K49:K51)=3,'Monthly data'!K51-2*'Monthly data'!K50+'Monthly data'!K49,"")</x:f>
        <x:v>0.9152999999999984</x:v>
      </x:c>
      <x:c r="Q51" s="8" t="n">
        <x:f>IF(COUNT('Monthly data'!L49:L51)=3,'Monthly data'!L51-2*'Monthly data'!L50+'Monthly data'!L49,"")</x:f>
        <x:v>-0.6401000000000001</x:v>
      </x:c>
      <x:c r="R51" s="8" t="n">
        <x:f>IF(COUNT('Monthly data'!M49:M51)=3,'Monthly data'!M51-2*'Monthly data'!M50+'Monthly data'!M49,"")</x:f>
        <x:v>2.5751999999999997</x:v>
      </x:c>
      <x:c r="S51" s="8" t="n">
        <x:f>IF(COUNT('Monthly data'!N49:N51)=3,'Monthly data'!N51-2*'Monthly data'!N50+'Monthly data'!N49,"")</x:f>
        <x:v>2.7716000000000003</x:v>
      </x:c>
      <x:c r="T51" s="8" t="n">
        <x:f>IF(COUNT('Monthly data'!E50:E51)=2,'Monthly data'!E51-'Monthly data'!E50,"")</x:f>
        <x:v>-0.011384617900001004</x:v>
      </x:c>
    </x:row>
    <x:row r="52" ht="19" customHeight="1">
      <x:c r="A52" s="7" t="n">
        <x:f>'Monthly data'!A52</x:f>
        <x:v>34394</x:v>
      </x:c>
      <x:c r="B52" s="8" t="n">
        <x:f>IF(ISNUMBER('Monthly data'!F52),LN(1+'Monthly data'!F52),"")</x:f>
        <x:v>4.679163865896418</x:v>
      </x:c>
      <x:c r="C52" s="8" t="n">
        <x:f>IF(ISNUMBER('Monthly data'!G52),LN(1+'Monthly data'!G52),"")</x:f>
        <x:v>3.1047436168232507</x:v>
      </x:c>
      <x:c r="D52" s="8" t="n">
        <x:f>IF(ISNUMBER('Monthly data'!H52),LN(1+'Monthly data'!H52),"")</x:f>
        <x:v>3.4964469535692526</x:v>
      </x:c>
      <x:c r="E52" s="8" t="n">
        <x:f>IF(ISNUMBER('Monthly data'!I52),LN(1+'Monthly data'!I52),"")</x:f>
        <x:v>2.7415043193611544</x:v>
      </x:c>
      <x:c r="F52" s="8" t="n">
        <x:f>IF(ISNUMBER('Monthly data'!J52),LN(1+'Monthly data'!J52),"")</x:f>
        <x:v>3.057617277225999</x:v>
      </x:c>
      <x:c r="G52" s="8" t="n">
        <x:f>IF(ISNUMBER('Monthly data'!K52),LN(1+'Monthly data'!K52),"")</x:f>
        <x:v>2.092012198853688</x:v>
      </x:c>
      <x:c r="H52" s="8" t="n">
        <x:f>IF(ISNUMBER('Monthly data'!L52),LN(1+'Monthly data'!L52),"")</x:f>
        <x:v>0.7064088545431305</x:v>
      </x:c>
      <x:c r="I52" s="8" t="n">
        <x:f>IF(ISNUMBER('Monthly data'!M52),LN(1+'Monthly data'!M52),"")</x:f>
        <x:v>1.3411400791127808</x:v>
      </x:c>
      <x:c r="J52" s="8" t="n">
        <x:f>IF(ISNUMBER('Monthly data'!N52),LN(1+'Monthly data'!N52),"")</x:f>
        <x:v>2.1564257306961983</x:v>
      </x:c>
      <x:c r="K52" s="8" t="n">
        <x:f>IF(COUNT('Monthly data'!F50:F52)=3,'Monthly data'!F52-2*'Monthly data'!F51+'Monthly data'!F50,"")</x:f>
        <x:v>-16.12999999999998</x:v>
      </x:c>
      <x:c r="L52" s="8" t="n">
        <x:f>IF(COUNT('Monthly data'!G50:G52)=3,'Monthly data'!G52-2*'Monthly data'!G51+'Monthly data'!G50,"")</x:f>
        <x:v>-20.235599999999998</x:v>
      </x:c>
      <x:c r="M52" s="8" t="n">
        <x:f>IF(COUNT('Monthly data'!H50:H52)=3,'Monthly data'!H52-2*'Monthly data'!H51+'Monthly data'!H50,"")</x:f>
        <x:v>0.48049999999999926</x:v>
      </x:c>
      <x:c r="N52" s="8" t="n">
        <x:f>IF(COUNT('Monthly data'!I50:I52)=3,'Monthly data'!I52-2*'Monthly data'!I51+'Monthly data'!I50,"")</x:f>
        <x:v>-0.0898999999999992</x:v>
      </x:c>
      <x:c r="O52" s="8" t="n">
        <x:f>IF(COUNT('Monthly data'!J50:J52)=3,'Monthly data'!J52-2*'Monthly data'!J51+'Monthly data'!J50,"")</x:f>
        <x:v>8.151800000000001</x:v>
      </x:c>
      <x:c r="P52" s="8" t="n">
        <x:f>IF(COUNT('Monthly data'!K50:K52)=3,'Monthly data'!K52-2*'Monthly data'!K51+'Monthly data'!K50,"")</x:f>
        <x:v>-0.484799999999999</x:v>
      </x:c>
      <x:c r="Q52" s="8" t="n">
        <x:f>IF(COUNT('Monthly data'!L50:L52)=3,'Monthly data'!L52-2*'Monthly data'!L51+'Monthly data'!L50,"")</x:f>
        <x:v>0.7686999999999999</x:v>
      </x:c>
      <x:c r="R52" s="8" t="n">
        <x:f>IF(COUNT('Monthly data'!M50:M52)=3,'Monthly data'!M52-2*'Monthly data'!M51+'Monthly data'!M50,"")</x:f>
        <x:v>-3.4850000000000003</x:v>
      </x:c>
      <x:c r="S52" s="8" t="n">
        <x:f>IF(COUNT('Monthly data'!N50:N52)=3,'Monthly data'!N52-2*'Monthly data'!N51+'Monthly data'!N50,"")</x:f>
        <x:v>-1.2353999999999994</x:v>
      </x:c>
      <x:c r="T52" s="8" t="n">
        <x:f>IF(COUNT('Monthly data'!E51:E52)=2,'Monthly data'!E52-'Monthly data'!E51,"")</x:f>
        <x:v>-0.0019407994999998124</x:v>
      </x:c>
    </x:row>
    <x:row r="53" ht="19" customHeight="1">
      <x:c r="A53" s="7" t="n">
        <x:f>'Monthly data'!A53</x:f>
        <x:v>34425</x:v>
      </x:c>
      <x:c r="B53" s="8" t="n">
        <x:f>IF(ISNUMBER('Monthly data'!F53),LN(1+'Monthly data'!F53),"")</x:f>
        <x:v>4.7427558489406545</x:v>
      </x:c>
      <x:c r="C53" s="8" t="n">
        <x:f>IF(ISNUMBER('Monthly data'!G53),LN(1+'Monthly data'!G53),"")</x:f>
        <x:v>3.610723299113645</x:v>
      </x:c>
      <x:c r="D53" s="8" t="n">
        <x:f>IF(ISNUMBER('Monthly data'!H53),LN(1+'Monthly data'!H53),"")</x:f>
        <x:v>3.2389019565971684</x:v>
      </x:c>
      <x:c r="E53" s="8" t="n">
        <x:f>IF(ISNUMBER('Monthly data'!I53),LN(1+'Monthly data'!I53),"")</x:f>
        <x:v>2.402330875497267</x:v>
      </x:c>
      <x:c r="F53" s="8" t="n">
        <x:f>IF(ISNUMBER('Monthly data'!J53),LN(1+'Monthly data'!J53),"")</x:f>
        <x:v>3.260635619516423</x:v>
      </x:c>
      <x:c r="G53" s="8" t="n">
        <x:f>IF(ISNUMBER('Monthly data'!K53),LN(1+'Monthly data'!K53),"")</x:f>
        <x:v>1.9154803962178137</x:v>
      </x:c>
      <x:c r="H53" s="8" t="n">
        <x:f>IF(ISNUMBER('Monthly data'!L53),LN(1+'Monthly data'!L53),"")</x:f>
        <x:v>0.23230148909897544</x:v>
      </x:c>
      <x:c r="I53" s="8" t="n">
        <x:f>IF(ISNUMBER('Monthly data'!M53),LN(1+'Monthly data'!M53),"")</x:f>
        <x:v>1.354906887878258</x:v>
      </x:c>
      <x:c r="J53" s="8" t="n">
        <x:f>IF(ISNUMBER('Monthly data'!N53),LN(1+'Monthly data'!N53),"")</x:f>
        <x:v>2.3232011148853275</x:v>
      </x:c>
      <x:c r="K53" s="8" t="n">
        <x:f>IF(COUNT('Monthly data'!F51:F53)=3,'Monthly data'!F53-2*'Monthly data'!F52+'Monthly data'!F51,"")</x:f>
        <x:v>7.519999999999982</x:v>
      </x:c>
      <x:c r="L53" s="8" t="n">
        <x:f>IF(COUNT('Monthly data'!G51:G53)=3,'Monthly data'!G53-2*'Monthly data'!G52+'Monthly data'!G51,"")</x:f>
        <x:v>22.875300000000003</x:v>
      </x:c>
      <x:c r="M53" s="8" t="n">
        <x:f>IF(COUNT('Monthly data'!H51:H53)=3,'Monthly data'!H53-2*'Monthly data'!H52+'Monthly data'!H51,"")</x:f>
        <x:v>-8.548300000000005</x:v>
      </x:c>
      <x:c r="N53" s="8" t="n">
        <x:f>IF(COUNT('Monthly data'!I51:I53)=3,'Monthly data'!I53-2*'Monthly data'!I52+'Monthly data'!I51,"")</x:f>
        <x:v>-8.113500000000002</x:v>
      </x:c>
      <x:c r="O53" s="8" t="n">
        <x:f>IF(COUNT('Monthly data'!J51:J53)=3,'Monthly data'!J53-2*'Monthly data'!J52+'Monthly data'!J51,"")</x:f>
        <x:v>-0.16170000000000506</x:v>
      </x:c>
      <x:c r="P53" s="8" t="n">
        <x:f>IF(COUNT('Monthly data'!K51:K53)=3,'Monthly data'!K53-2*'Monthly data'!K52+'Monthly data'!K51,"")</x:f>
        <x:v>-0.7193000000000023</x:v>
      </x:c>
      <x:c r="Q53" s="8" t="n">
        <x:f>IF(COUNT('Monthly data'!L51:L53)=3,'Monthly data'!L53-2*'Monthly data'!L52+'Monthly data'!L51,"")</x:f>
        <x:v>-1.1107999999999998</x:v>
      </x:c>
      <x:c r="R53" s="8" t="n">
        <x:f>IF(COUNT('Monthly data'!M51:M53)=3,'Monthly data'!M53-2*'Monthly data'!M52+'Monthly data'!M51,"")</x:f>
        <x:v>1.637</x:v>
      </x:c>
      <x:c r="S53" s="8" t="n">
        <x:f>IF(COUNT('Monthly data'!N51:N53)=3,'Monthly data'!N53-2*'Monthly data'!N52+'Monthly data'!N51,"")</x:f>
        <x:v>1.660899999999999</x:v>
      </x:c>
      <x:c r="T53" s="8" t="n">
        <x:f>IF(COUNT('Monthly data'!E52:E53)=2,'Monthly data'!E53-'Monthly data'!E52,"")</x:f>
        <x:v>-0.00372126979999976</x:v>
      </x:c>
    </x:row>
    <x:row r="54" ht="19" customHeight="1">
      <x:c r="A54" s="7" t="n">
        <x:f>'Monthly data'!A54</x:f>
        <x:v>34455</x:v>
      </x:c>
      <x:c r="B54" s="8" t="n">
        <x:f>IF(ISNUMBER('Monthly data'!F54),LN(1+'Monthly data'!F54),"")</x:f>
        <x:v>4.6257568195964796</x:v>
      </x:c>
      <x:c r="C54" s="8" t="n">
        <x:f>IF(ISNUMBER('Monthly data'!G54),LN(1+'Monthly data'!G54),"")</x:f>
        <x:v>3.0070232894456215</x:v>
      </x:c>
      <x:c r="D54" s="8" t="n">
        <x:f>IF(ISNUMBER('Monthly data'!H54),LN(1+'Monthly data'!H54),"")</x:f>
        <x:v>3.39125141746612</x:v>
      </x:c>
      <x:c r="E54" s="8" t="n">
        <x:f>IF(ISNUMBER('Monthly data'!I54),LN(1+'Monthly data'!I54),"")</x:f>
        <x:v>1.617703656851133</x:v>
      </x:c>
      <x:c r="F54" s="8" t="n">
        <x:f>IF(ISNUMBER('Monthly data'!J54),LN(1+'Monthly data'!J54),"")</x:f>
        <x:v>3.3334501625994153</x:v>
      </x:c>
      <x:c r="G54" s="8" t="n">
        <x:f>IF(ISNUMBER('Monthly data'!K54),LN(1+'Monthly data'!K54),"")</x:f>
        <x:v>2.107992554718993</x:v>
      </x:c>
      <x:c r="H54" s="8" t="n">
        <x:f>IF(ISNUMBER('Monthly data'!L54),LN(1+'Monthly data'!L54),"")</x:f>
        <x:v>0.5828299562490759</x:v>
      </x:c>
      <x:c r="I54" s="8" t="n">
        <x:f>IF(ISNUMBER('Monthly data'!M54),LN(1+'Monthly data'!M54),"")</x:f>
        <x:v>1.9009874964123705</x:v>
      </x:c>
      <x:c r="J54" s="8" t="n">
        <x:f>IF(ISNUMBER('Monthly data'!N54),LN(1+'Monthly data'!N54),"")</x:f>
        <x:v>2.236242278430956</x:v>
      </x:c>
      <x:c r="K54" s="8" t="n">
        <x:f>IF(COUNT('Monthly data'!F52:F54)=3,'Monthly data'!F54-2*'Monthly data'!F53+'Monthly data'!F52,"")</x:f>
        <x:v>-19.739999999999995</x:v>
      </x:c>
      <x:c r="L54" s="8" t="n">
        <x:f>IF(COUNT('Monthly data'!G52:G54)=3,'Monthly data'!G54-2*'Monthly data'!G53+'Monthly data'!G52,"")</x:f>
        <x:v>-31.455000000000005</x:v>
      </x:c>
      <x:c r="M54" s="8" t="n">
        <x:f>IF(COUNT('Monthly data'!H52:H54)=3,'Monthly data'!H54-2*'Monthly data'!H53+'Monthly data'!H52,"")</x:f>
        <x:v>11.689699999999998</x:v>
      </x:c>
      <x:c r="N54" s="8" t="n">
        <x:f>IF(COUNT('Monthly data'!I52:I54)=3,'Monthly data'!I54-2*'Monthly data'!I53+'Monthly data'!I52,"")</x:f>
        <x:v>-1.5459999999999994</x:v>
      </x:c>
      <x:c r="O54" s="8" t="n">
        <x:f>IF(COUNT('Monthly data'!J52:J54)=3,'Monthly data'!J54-2*'Monthly data'!J53+'Monthly data'!J52,"")</x:f>
        <x:v>-2.8204999999999956</x:v>
      </x:c>
      <x:c r="P54" s="8" t="n">
        <x:f>IF(COUNT('Monthly data'!K52:K54)=3,'Monthly data'!K54-2*'Monthly data'!K53+'Monthly data'!K52,"")</x:f>
        <x:v>2.7525000000000013</x:v>
      </x:c>
      <x:c r="Q54" s="8" t="n">
        <x:f>IF(COUNT('Monthly data'!L52:L54)=3,'Monthly data'!L54-2*'Monthly data'!L53+'Monthly data'!L52,"")</x:f>
        <x:v>1.2948</x:v>
      </x:c>
      <x:c r="R54" s="8" t="n">
        <x:f>IF(COUNT('Monthly data'!M52:M54)=3,'Monthly data'!M54-2*'Monthly data'!M53+'Monthly data'!M52,"")</x:f>
        <x:v>2.7631</x:v>
      </x:c>
      <x:c r="S54" s="8" t="n">
        <x:f>IF(COUNT('Monthly data'!N52:N54)=3,'Monthly data'!N54-2*'Monthly data'!N53+'Monthly data'!N52,"")</x:f>
        <x:v>-2.4182999999999986</x:v>
      </x:c>
      <x:c r="T54" s="8" t="n">
        <x:f>IF(COUNT('Monthly data'!E53:E54)=2,'Monthly data'!E54-'Monthly data'!E53,"")</x:f>
        <x:v>0.0028483230000002635</x:v>
      </x:c>
    </x:row>
    <x:row r="55" ht="19" customHeight="1">
      <x:c r="A55" s="7" t="n">
        <x:f>'Monthly data'!A55</x:f>
        <x:v>34486</x:v>
      </x:c>
      <x:c r="B55" s="8" t="n">
        <x:f>IF(ISNUMBER('Monthly data'!F55),LN(1+'Monthly data'!F55),"")</x:f>
        <x:v>4.538923540169165</x:v>
      </x:c>
      <x:c r="C55" s="8" t="n">
        <x:f>IF(ISNUMBER('Monthly data'!G55),LN(1+'Monthly data'!G55),"")</x:f>
        <x:v>2.835498965326861</x:v>
      </x:c>
      <x:c r="D55" s="8" t="n">
        <x:f>IF(ISNUMBER('Monthly data'!H55),LN(1+'Monthly data'!H55),"")</x:f>
        <x:v>3.1745184214817628</x:v>
      </x:c>
      <x:c r="E55" s="8" t="n">
        <x:f>IF(ISNUMBER('Monthly data'!I55),LN(1+'Monthly data'!I55),"")</x:f>
        <x:v>1.8096321307626855</x:v>
      </x:c>
      <x:c r="F55" s="8" t="n">
        <x:f>IF(ISNUMBER('Monthly data'!J55),LN(1+'Monthly data'!J55),"")</x:f>
        <x:v>3.074039630222734</x:v>
      </x:c>
      <x:c r="G55" s="8" t="n">
        <x:f>IF(ISNUMBER('Monthly data'!K55),LN(1+'Monthly data'!K55),"")</x:f>
        <x:v>2.5706178763927374</x:v>
      </x:c>
      <x:c r="H55" s="8" t="n">
        <x:f>IF(ISNUMBER('Monthly data'!L55),LN(1+'Monthly data'!L55),"")</x:f>
        <x:v>0.23736198855176527</x:v>
      </x:c>
      <x:c r="I55" s="8" t="n">
        <x:f>IF(ISNUMBER('Monthly data'!M55),LN(1+'Monthly data'!M55),"")</x:f>
        <x:v>2.1610330493432226</x:v>
      </x:c>
      <x:c r="J55" s="8" t="n">
        <x:f>IF(ISNUMBER('Monthly data'!N55),LN(1+'Monthly data'!N55),"")</x:f>
        <x:v>2.1834186008028293</x:v>
      </x:c>
      <x:c r="K55" s="8" t="n">
        <x:f>IF(COUNT('Monthly data'!F53:F55)=3,'Monthly data'!F55-2*'Monthly data'!F54+'Monthly data'!F53,"")</x:f>
        <x:v>4.180000000000007</x:v>
      </x:c>
      <x:c r="L55" s="8" t="n">
        <x:f>IF(COUNT('Monthly data'!G53:G55)=3,'Monthly data'!G55-2*'Monthly data'!G54+'Monthly data'!G53,"")</x:f>
        <x:v>13.577500000000004</x:v>
      </x:c>
      <x:c r="M55" s="8" t="n">
        <x:f>IF(COUNT('Monthly data'!H53:H55)=3,'Monthly data'!H55-2*'Monthly data'!H54+'Monthly data'!H53,"")</x:f>
        <x:v>-9.985199999999995</x:v>
      </x:c>
      <x:c r="N55" s="8" t="n">
        <x:f>IF(COUNT('Monthly data'!I53:I55)=3,'Monthly data'!I55-2*'Monthly data'!I54+'Monthly data'!I53,"")</x:f>
        <x:v>7.0741</x:v>
      </x:c>
      <x:c r="O55" s="8" t="n">
        <x:f>IF(COUNT('Monthly data'!J53:J55)=3,'Monthly data'!J55-2*'Monthly data'!J54+'Monthly data'!J53,"")</x:f>
        <x:v>-8.374600000000001</x:v>
      </x:c>
      <x:c r="P55" s="8" t="n">
        <x:f>IF(COUNT('Monthly data'!K53:K55)=3,'Monthly data'!K55-2*'Monthly data'!K54+'Monthly data'!K53,"")</x:f>
        <x:v>3.4006999999999996</x:v>
      </x:c>
      <x:c r="Q55" s="8" t="n">
        <x:f>IF(COUNT('Monthly data'!L53:L55)=3,'Monthly data'!L55-2*'Monthly data'!L54+'Monthly data'!L53,"")</x:f>
        <x:v>-1.0528</x:v>
      </x:c>
      <x:c r="R55" s="8" t="n">
        <x:f>IF(COUNT('Monthly data'!M53:M55)=3,'Monthly data'!M55-2*'Monthly data'!M54+'Monthly data'!M53,"")</x:f>
        <x:v>-0.8284999999999996</x:v>
      </x:c>
      <x:c r="S55" s="8" t="n">
        <x:f>IF(COUNT('Monthly data'!N53:N55)=3,'Monthly data'!N55-2*'Monthly data'!N54+'Monthly data'!N53,"")</x:f>
        <x:v>0.3686999999999987</x:v>
      </x:c>
      <x:c r="T55" s="8" t="n">
        <x:f>IF(COUNT('Monthly data'!E54:E55)=2,'Monthly data'!E55-'Monthly data'!E54,"")</x:f>
        <x:v>0.0070326734999994756</x:v>
      </x:c>
    </x:row>
    <x:row r="56" ht="19" customHeight="1">
      <x:c r="A56" s="7" t="n">
        <x:f>'Monthly data'!A56</x:f>
        <x:v>34516</x:v>
      </x:c>
      <x:c r="B56" s="8" t="n">
        <x:f>IF(ISNUMBER('Monthly data'!F56),LN(1+'Monthly data'!F56),"")</x:f>
        <x:v>4.706100904566532</x:v>
      </x:c>
      <x:c r="C56" s="8" t="n">
        <x:f>IF(ISNUMBER('Monthly data'!G56),LN(1+'Monthly data'!G56),"")</x:f>
        <x:v>3.1151717143913364</x:v>
      </x:c>
      <x:c r="D56" s="8" t="n">
        <x:f>IF(ISNUMBER('Monthly data'!H56),LN(1+'Monthly data'!H56),"")</x:f>
        <x:v>3.470972169594973</x:v>
      </x:c>
      <x:c r="E56" s="8" t="n">
        <x:f>IF(ISNUMBER('Monthly data'!I56),LN(1+'Monthly data'!I56),"")</x:f>
        <x:v>2.5130242845966175</x:v>
      </x:c>
      <x:c r="F56" s="8" t="n">
        <x:f>IF(ISNUMBER('Monthly data'!J56),LN(1+'Monthly data'!J56),"")</x:f>
        <x:v>3.1282199967449897</x:v>
      </x:c>
      <x:c r="G56" s="8" t="n">
        <x:f>IF(ISNUMBER('Monthly data'!K56),LN(1+'Monthly data'!K56),"")</x:f>
        <x:v>1.9237959950958041</x:v>
      </x:c>
      <x:c r="H56" s="8" t="n">
        <x:f>IF(ISNUMBER('Monthly data'!L56),LN(1+'Monthly data'!L56),"")</x:f>
        <x:v>0.9733513631557673</x:v>
      </x:c>
      <x:c r="I56" s="8" t="n">
        <x:f>IF(ISNUMBER('Monthly data'!M56),LN(1+'Monthly data'!M56),"")</x:f>
        <x:v>1.4085449700547104</x:v>
      </x:c>
      <x:c r="J56" s="8" t="n">
        <x:f>IF(ISNUMBER('Monthly data'!N56),LN(1+'Monthly data'!N56),"")</x:f>
        <x:v>2.6501032411473604</x:v>
      </x:c>
      <x:c r="K56" s="8" t="n">
        <x:f>IF(COUNT('Monthly data'!F54:F56)=3,'Monthly data'!F56-2*'Monthly data'!F55+'Monthly data'!F54,"")</x:f>
        <x:v>25.519999999999996</x:v>
      </x:c>
      <x:c r="L56" s="8" t="n">
        <x:f>IF(COUNT('Monthly data'!G54:G56)=3,'Monthly data'!G56-2*'Monthly data'!G55+'Monthly data'!G54,"")</x:f>
        <x:v>8.686599999999995</x:v>
      </x:c>
      <x:c r="M56" s="8" t="n">
        <x:f>IF(COUNT('Monthly data'!H54:H56)=3,'Monthly data'!H56-2*'Monthly data'!H55+'Monthly data'!H54,"")</x:f>
        <x:v>14.040500000000002</x:v>
      </x:c>
      <x:c r="N56" s="8" t="n">
        <x:f>IF(COUNT('Monthly data'!I54:I56)=3,'Monthly data'!I56-2*'Monthly data'!I55+'Monthly data'!I54,"")</x:f>
        <x:v>5.1673</x:v>
      </x:c>
      <x:c r="O56" s="8" t="n">
        <x:f>IF(COUNT('Monthly data'!J54:J56)=3,'Monthly data'!J56-2*'Monthly data'!J55+'Monthly data'!J54,"")</x:f>
        <x:v>7.609999999999999</x:v>
      </x:c>
      <x:c r="P56" s="8" t="n">
        <x:f>IF(COUNT('Monthly data'!K54:K56)=3,'Monthly data'!K56-2*'Monthly data'!K55+'Monthly data'!K54,"")</x:f>
        <x:v>-11.069199999999999</x:v>
      </x:c>
      <x:c r="Q56" s="8" t="n">
        <x:f>IF(COUNT('Monthly data'!L54:L56)=3,'Monthly data'!L56-2*'Monthly data'!L55+'Monthly data'!L54,"")</x:f>
        <x:v>1.9021</x:v>
      </x:c>
      <x:c r="R56" s="8" t="n">
        <x:f>IF(COUNT('Monthly data'!M54:M56)=3,'Monthly data'!M56-2*'Monthly data'!M55+'Monthly data'!M54,"")</x:f>
        <x:v>-6.577700000000001</x:v>
      </x:c>
      <x:c r="S56" s="8" t="n">
        <x:f>IF(COUNT('Monthly data'!N54:N56)=3,'Monthly data'!N56-2*'Monthly data'!N55+'Monthly data'!N54,"")</x:f>
        <x:v>5.760400000000001</x:v>
      </x:c>
      <x:c r="T56" s="8" t="n">
        <x:f>IF(COUNT('Monthly data'!E55:E56)=2,'Monthly data'!E56-'Monthly data'!E55,"")</x:f>
        <x:v>-0.0019570949999998533</x:v>
      </x:c>
    </x:row>
    <x:row r="57" ht="19" customHeight="1">
      <x:c r="A57" s="7" t="n">
        <x:f>'Monthly data'!A57</x:f>
        <x:v>34547</x:v>
      </x:c>
      <x:c r="B57" s="8" t="n">
        <x:f>IF(ISNUMBER('Monthly data'!F57),LN(1+'Monthly data'!F57),"")</x:f>
        <x:v>4.640537329825382</x:v>
      </x:c>
      <x:c r="C57" s="8" t="n">
        <x:f>IF(ISNUMBER('Monthly data'!G57),LN(1+'Monthly data'!G57),"")</x:f>
        <x:v>3.010285854561502</x:v>
      </x:c>
      <x:c r="D57" s="8" t="n">
        <x:f>IF(ISNUMBER('Monthly data'!H57),LN(1+'Monthly data'!H57),"")</x:f>
        <x:v>3.436686783147941</x:v>
      </x:c>
      <x:c r="E57" s="8" t="n">
        <x:f>IF(ISNUMBER('Monthly data'!I57),LN(1+'Monthly data'!I57),"")</x:f>
        <x:v>2.4472307428069993</x:v>
      </x:c>
      <x:c r="F57" s="8" t="n">
        <x:f>IF(ISNUMBER('Monthly data'!J57),LN(1+'Monthly data'!J57),"")</x:f>
        <x:v>2.8560620769700584</x:v>
      </x:c>
      <x:c r="G57" s="8" t="n">
        <x:f>IF(ISNUMBER('Monthly data'!K57),LN(1+'Monthly data'!K57),"")</x:f>
        <x:v>2.3795183559665865</x:v>
      </x:c>
      <x:c r="H57" s="8" t="n">
        <x:f>IF(ISNUMBER('Monthly data'!L57),LN(1+'Monthly data'!L57),"")</x:f>
        <x:v>0.5836670799411242</x:v>
      </x:c>
      <x:c r="I57" s="8" t="n">
        <x:f>IF(ISNUMBER('Monthly data'!M57),LN(1+'Monthly data'!M57),"")</x:f>
        <x:v>1.6670273444834647</x:v>
      </x:c>
      <x:c r="J57" s="8" t="n">
        <x:f>IF(ISNUMBER('Monthly data'!N57),LN(1+'Monthly data'!N57),"")</x:f>
        <x:v>2.516486062941323</x:v>
      </x:c>
      <x:c r="K57" s="8" t="n">
        <x:f>IF(COUNT('Monthly data'!F55:F57)=3,'Monthly data'!F57-2*'Monthly data'!F56+'Monthly data'!F55,"")</x:f>
        <x:v>-24.05000000000001</x:v>
      </x:c>
      <x:c r="L57" s="8" t="n">
        <x:f>IF(COUNT('Monthly data'!G55:G57)=3,'Monthly data'!G57-2*'Monthly data'!G56+'Monthly data'!G55,"")</x:f>
        <x:v>-7.742499999999996</x:v>
      </x:c>
      <x:c r="M57" s="8" t="n">
        <x:f>IF(COUNT('Monthly data'!H55:H57)=3,'Monthly data'!H57-2*'Monthly data'!H56+'Monthly data'!H55,"")</x:f>
        <x:v>-9.336900000000004</x:v>
      </x:c>
      <x:c r="N57" s="8" t="n">
        <x:f>IF(COUNT('Monthly data'!I55:I57)=3,'Monthly data'!I57-2*'Monthly data'!I56+'Monthly data'!I55,"")</x:f>
        <x:v>-7.0199</x:v>
      </x:c>
      <x:c r="O57" s="8" t="n">
        <x:f>IF(COUNT('Monthly data'!J55:J57)=3,'Monthly data'!J57-2*'Monthly data'!J56+'Monthly data'!J55,"")</x:f>
        <x:v>-6.6446000000000005</x:v>
      </x:c>
      <x:c r="P57" s="8" t="n">
        <x:f>IF(COUNT('Monthly data'!K55:K57)=3,'Monthly data'!K57-2*'Monthly data'!K56+'Monthly data'!K55,"")</x:f>
        <x:v>10.1798</x:v>
      </x:c>
      <x:c r="Q57" s="8" t="n">
        <x:f>IF(COUNT('Monthly data'!L55:L57)=3,'Monthly data'!L57-2*'Monthly data'!L56+'Monthly data'!L55,"")</x:f>
        <x:v>-2.2331000000000003</x:v>
      </x:c>
      <x:c r="R57" s="8" t="n">
        <x:f>IF(COUNT('Monthly data'!M55:M57)=3,'Monthly data'!M57-2*'Monthly data'!M56+'Monthly data'!M55,"")</x:f>
        <x:v>5.796500000000001</x:v>
      </x:c>
      <x:c r="S57" s="8" t="n">
        <x:f>IF(COUNT('Monthly data'!N55:N57)=3,'Monthly data'!N57-2*'Monthly data'!N56+'Monthly data'!N55,"")</x:f>
        <x:v>-7.0494</x:v>
      </x:c>
      <x:c r="T57" s="8" t="n">
        <x:f>IF(COUNT('Monthly data'!E56:E57)=2,'Monthly data'!E57-'Monthly data'!E56,"")</x:f>
        <x:v>-0.013927020199998807</x:v>
      </x:c>
    </x:row>
    <x:row r="58" ht="19" customHeight="1">
      <x:c r="A58" s="7" t="n">
        <x:f>'Monthly data'!A58</x:f>
        <x:v>34578</x:v>
      </x:c>
      <x:c r="B58" s="8" t="n">
        <x:f>IF(ISNUMBER('Monthly data'!F58),LN(1+'Monthly data'!F58),"")</x:f>
        <x:v>4.6414056785701865</x:v>
      </x:c>
      <x:c r="C58" s="8" t="n">
        <x:f>IF(ISNUMBER('Monthly data'!G58),LN(1+'Monthly data'!G58),"")</x:f>
        <x:v>3.6167844545707175</x:v>
      </x:c>
      <x:c r="D58" s="8" t="n">
        <x:f>IF(ISNUMBER('Monthly data'!H58),LN(1+'Monthly data'!H58),"")</x:f>
        <x:v>3.494806114826723</x:v>
      </x:c>
      <x:c r="E58" s="8" t="n">
        <x:f>IF(ISNUMBER('Monthly data'!I58),LN(1+'Monthly data'!I58),"")</x:f>
        <x:v>2.118000978545832</x:v>
      </x:c>
      <x:c r="F58" s="8" t="n">
        <x:f>IF(ISNUMBER('Monthly data'!J58),LN(1+'Monthly data'!J58),"")</x:f>
        <x:v>2.3855742249240706</x:v>
      </x:c>
      <x:c r="G58" s="8" t="n">
        <x:f>IF(ISNUMBER('Monthly data'!K58),LN(1+'Monthly data'!K58),"")</x:f>
        <x:v>1.3667037113548866</x:v>
      </x:c>
      <x:c r="H58" s="8" t="n">
        <x:f>IF(ISNUMBER('Monthly data'!L58),LN(1+'Monthly data'!L58),"")</x:f>
        <x:v>1.1020065217361252</x:v>
      </x:c>
      <x:c r="I58" s="8" t="n">
        <x:f>IF(ISNUMBER('Monthly data'!M58),LN(1+'Monthly data'!M58),"")</x:f>
        <x:v>1.5896840839472395</x:v>
      </x:c>
      <x:c r="J58" s="8" t="n">
        <x:f>IF(ISNUMBER('Monthly data'!N58),LN(1+'Monthly data'!N58),"")</x:f>
        <x:v>2.2527538871286996</x:v>
      </x:c>
      <x:c r="K58" s="8" t="n">
        <x:f>IF(COUNT('Monthly data'!F56:F58)=3,'Monthly data'!F58-2*'Monthly data'!F57+'Monthly data'!F56,"")</x:f>
        <x:v>7.110000000000014</x:v>
      </x:c>
      <x:c r="L58" s="8" t="n">
        <x:f>IF(COUNT('Monthly data'!G56:G58)=3,'Monthly data'!G58-2*'Monthly data'!G57+'Monthly data'!G56,"")</x:f>
        <x:v>19.1686</x:v>
      </x:c>
      <x:c r="M58" s="8" t="n">
        <x:f>IF(COUNT('Monthly data'!H56:H58)=3,'Monthly data'!H58-2*'Monthly data'!H57+'Monthly data'!H56,"")</x:f>
        <x:v>2.9442999999999984</x:v>
      </x:c>
      <x:c r="N58" s="8" t="n">
        <x:f>IF(COUNT('Monthly data'!I56:I58)=3,'Monthly data'!I58-2*'Monthly data'!I57+'Monthly data'!I56,"")</x:f>
        <x:v>-2.4559000000000015</x:v>
      </x:c>
      <x:c r="O58" s="8" t="n">
        <x:f>IF(COUNT('Monthly data'!J56:J58)=3,'Monthly data'!J58-2*'Monthly data'!J57+'Monthly data'!J56,"")</x:f>
        <x:v>-1.0872000000000028</x:v>
      </x:c>
      <x:c r="P58" s="8" t="n">
        <x:f>IF(COUNT('Monthly data'!K56:K58)=3,'Monthly data'!K58-2*'Monthly data'!K57+'Monthly data'!K56,"")</x:f>
        <x:v>-10.8301</x:v>
      </x:c>
      <x:c r="Q58" s="8" t="n">
        <x:f>IF(COUNT('Monthly data'!L56:L58)=3,'Monthly data'!L58-2*'Monthly data'!L57+'Monthly data'!L56,"")</x:f>
        <x:v>2.0718000000000005</x:v>
      </x:c>
      <x:c r="R58" s="8" t="n">
        <x:f>IF(COUNT('Monthly data'!M56:M58)=3,'Monthly data'!M58-2*'Monthly data'!M57+'Monthly data'!M56,"")</x:f>
        <x:v>-1.6006</x:v>
      </x:c>
      <x:c r="S58" s="8" t="n">
        <x:f>IF(COUNT('Monthly data'!N56:N58)=3,'Monthly data'!N58-2*'Monthly data'!N57+'Monthly data'!N56,"")</x:f>
        <x:v>-1.1006</x:v>
      </x:c>
      <x:c r="T58" s="8" t="n">
        <x:f>IF(COUNT('Monthly data'!E57:E58)=2,'Monthly data'!E58-'Monthly data'!E57,"")</x:f>
        <x:v>0.017363968199999746</x:v>
      </x:c>
    </x:row>
    <x:row r="59" ht="19" customHeight="1">
      <x:c r="A59" s="7" t="n">
        <x:f>'Monthly data'!A59</x:f>
        <x:v>34608</x:v>
      </x:c>
      <x:c r="B59" s="8" t="n">
        <x:f>IF(ISNUMBER('Monthly data'!F59),LN(1+'Monthly data'!F59),"")</x:f>
        <x:v>4.501585869731521</x:v>
      </x:c>
      <x:c r="C59" s="8" t="n">
        <x:f>IF(ISNUMBER('Monthly data'!G59),LN(1+'Monthly data'!G59),"")</x:f>
        <x:v>3.2917395947517623</x:v>
      </x:c>
      <x:c r="D59" s="8" t="n">
        <x:f>IF(ISNUMBER('Monthly data'!H59),LN(1+'Monthly data'!H59),"")</x:f>
        <x:v>3.2901242839371205</x:v>
      </x:c>
      <x:c r="E59" s="8" t="n">
        <x:f>IF(ISNUMBER('Monthly data'!I59),LN(1+'Monthly data'!I59),"")</x:f>
        <x:v>2.5250163907158765</x:v>
      </x:c>
      <x:c r="F59" s="8" t="n">
        <x:f>IF(ISNUMBER('Monthly data'!J59),LN(1+'Monthly data'!J59),"")</x:f>
        <x:v>1.9088756158967346</x:v>
      </x:c>
      <x:c r="G59" s="8" t="n">
        <x:f>IF(ISNUMBER('Monthly data'!K59),LN(1+'Monthly data'!K59),"")</x:f>
        <x:v>1.6587422301182437</x:v>
      </x:c>
      <x:c r="H59" s="8" t="n">
        <x:f>IF(ISNUMBER('Monthly data'!L59),LN(1+'Monthly data'!L59),"")</x:f>
        <x:v>1.5358344283894656</x:v>
      </x:c>
      <x:c r="I59" s="8" t="n">
        <x:f>IF(ISNUMBER('Monthly data'!M59),LN(1+'Monthly data'!M59),"")</x:f>
        <x:v>1.489955934392061</x:v>
      </x:c>
      <x:c r="J59" s="8" t="n">
        <x:f>IF(ISNUMBER('Monthly data'!N59),LN(1+'Monthly data'!N59),"")</x:f>
        <x:v>2.28773537974371</x:v>
      </x:c>
      <x:c r="K59" s="8" t="n">
        <x:f>IF(COUNT('Monthly data'!F57:F59)=3,'Monthly data'!F59-2*'Monthly data'!F58+'Monthly data'!F57,"")</x:f>
        <x:v>-13.620000000000005</x:v>
      </x:c>
      <x:c r="L59" s="8" t="n">
        <x:f>IF(COUNT('Monthly data'!G57:G59)=3,'Monthly data'!G59-2*'Monthly data'!G58+'Monthly data'!G57,"")</x:f>
        <x:v>-27.2526</x:v>
      </x:c>
      <x:c r="M59" s="8" t="n">
        <x:f>IF(COUNT('Monthly data'!H57:H59)=3,'Monthly data'!H59-2*'Monthly data'!H58+'Monthly data'!H57,"")</x:f>
        <x:v>-7.957800000000002</x:v>
      </x:c>
      <x:c r="N59" s="8" t="n">
        <x:f>IF(COUNT('Monthly data'!I57:I59)=3,'Monthly data'!I59-2*'Monthly data'!I58+'Monthly data'!I57,"")</x:f>
        <x:v>7.4184</x:v>
      </x:c>
      <x:c r="O59" s="8" t="n">
        <x:f>IF(COUNT('Monthly data'!J57:J59)=3,'Monthly data'!J59-2*'Monthly data'!J58+'Monthly data'!J57,"")</x:f>
        <x:v>2.4078000000000017</x:v>
      </x:c>
      <x:c r="P59" s="8" t="n">
        <x:f>IF(COUNT('Monthly data'!K57:K59)=3,'Monthly data'!K59-2*'Monthly data'!K58+'Monthly data'!K57,"")</x:f>
        <x:v>8.2076</x:v>
      </x:c>
      <x:c r="Q59" s="8" t="n">
        <x:f>IF(COUNT('Monthly data'!L57:L59)=3,'Monthly data'!L59-2*'Monthly data'!L58+'Monthly data'!L57,"")</x:f>
        <x:v>0.41739999999999955</x:v>
      </x:c>
      <x:c r="R59" s="8" t="n">
        <x:f>IF(COUNT('Monthly data'!M57:M59)=3,'Monthly data'!M59-2*'Monthly data'!M58+'Monthly data'!M57,"")</x:f>
        <x:v>-0.0710999999999995</x:v>
      </x:c>
      <x:c r="S59" s="8" t="n">
        <x:f>IF(COUNT('Monthly data'!N57:N59)=3,'Monthly data'!N59-2*'Monthly data'!N58+'Monthly data'!N57,"")</x:f>
        <x:v>3.2098000000000013</x:v>
      </x:c>
      <x:c r="T59" s="8" t="n">
        <x:f>IF(COUNT('Monthly data'!E58:E59)=2,'Monthly data'!E59-'Monthly data'!E58,"")</x:f>
        <x:v>0.009233040999999886</x:v>
      </x:c>
    </x:row>
    <x:row r="60" ht="19" customHeight="1">
      <x:c r="A60" s="7" t="n">
        <x:f>'Monthly data'!A60</x:f>
        <x:v>34639</x:v>
      </x:c>
      <x:c r="B60" s="8" t="n">
        <x:f>IF(ISNUMBER('Monthly data'!F60),LN(1+'Monthly data'!F60),"")</x:f>
        <x:v>4.37424644735492</x:v>
      </x:c>
      <x:c r="C60" s="8" t="n">
        <x:f>IF(ISNUMBER('Monthly data'!G60),LN(1+'Monthly data'!G60),"")</x:f>
        <x:v>3.2791427356548497</x:v>
      </x:c>
      <x:c r="D60" s="8" t="n">
        <x:f>IF(ISNUMBER('Monthly data'!H60),LN(1+'Monthly data'!H60),"")</x:f>
        <x:v>3.0514933226455274</x:v>
      </x:c>
      <x:c r="E60" s="8" t="n">
        <x:f>IF(ISNUMBER('Monthly data'!I60),LN(1+'Monthly data'!I60),"")</x:f>
        <x:v>2.171359611141165</x:v>
      </x:c>
      <x:c r="F60" s="8" t="n">
        <x:f>IF(ISNUMBER('Monthly data'!J60),LN(1+'Monthly data'!J60),"")</x:f>
        <x:v>2.5373884043435777</x:v>
      </x:c>
      <x:c r="G60" s="8" t="n">
        <x:f>IF(ISNUMBER('Monthly data'!K60),LN(1+'Monthly data'!K60),"")</x:f>
        <x:v>1.6599028638403122</x:v>
      </x:c>
      <x:c r="H60" s="8" t="n">
        <x:f>IF(ISNUMBER('Monthly data'!L60),LN(1+'Monthly data'!L60),"")</x:f>
        <x:v>0.5175430115135149</x:v>
      </x:c>
      <x:c r="I60" s="8" t="n">
        <x:f>IF(ISNUMBER('Monthly data'!M60),LN(1+'Monthly data'!M60),"")</x:f>
        <x:v>0.6530020402555187</x:v>
      </x:c>
      <x:c r="J60" s="8" t="n">
        <x:f>IF(ISNUMBER('Monthly data'!N60),LN(1+'Monthly data'!N60),"")</x:f>
        <x:v>2.1288505619373788</x:v>
      </x:c>
      <x:c r="K60" s="8" t="n">
        <x:f>IF(COUNT('Monthly data'!F58:F60)=3,'Monthly data'!F60-2*'Monthly data'!F59+'Monthly data'!F58,"")</x:f>
        <x:v>2.75</x:v>
      </x:c>
      <x:c r="L60" s="8" t="n">
        <x:f>IF(COUNT('Monthly data'!G58:G60)=3,'Monthly data'!G60-2*'Monthly data'!G59+'Monthly data'!G58,"")</x:f>
        <x:v>9.991499999999998</x:v>
      </x:c>
      <x:c r="M60" s="8" t="n">
        <x:f>IF(COUNT('Monthly data'!H58:H60)=3,'Monthly data'!H60-2*'Monthly data'!H59+'Monthly data'!H58,"")</x:f>
        <x:v>0.39839999999999876</x:v>
      </x:c>
      <x:c r="N60" s="8" t="n">
        <x:f>IF(COUNT('Monthly data'!I58:I60)=3,'Monthly data'!I60-2*'Monthly data'!I59+'Monthly data'!I58,"")</x:f>
        <x:v>-7.8975</x:v>
      </x:c>
      <x:c r="O60" s="8" t="n">
        <x:f>IF(COUNT('Monthly data'!J58:J60)=3,'Monthly data'!J60-2*'Monthly data'!J59+'Monthly data'!J58,"")</x:f>
        <x:v>10.0209</x:v>
      </x:c>
      <x:c r="P60" s="8" t="n">
        <x:f>IF(COUNT('Monthly data'!K58:K60)=3,'Monthly data'!K60-2*'Monthly data'!K59+'Monthly data'!K58,"")</x:f>
        <x:v>-1.3241999999999998</x:v>
      </x:c>
      <x:c r="Q60" s="8" t="n">
        <x:f>IF(COUNT('Monthly data'!L58:L60)=3,'Monthly data'!L60-2*'Monthly data'!L59+'Monthly data'!L58,"")</x:f>
        <x:v>-4.6023</x:v>
      </x:c>
      <x:c r="R60" s="8" t="n">
        <x:f>IF(COUNT('Monthly data'!M58:M60)=3,'Monthly data'!M60-2*'Monthly data'!M59+'Monthly data'!M58,"")</x:f>
        <x:v>-2.0503000000000005</x:v>
      </x:c>
      <x:c r="S60" s="8" t="n">
        <x:f>IF(COUNT('Monthly data'!N58:N60)=3,'Monthly data'!N60-2*'Monthly data'!N59+'Monthly data'!N58,"")</x:f>
        <x:v>-1.7861000000000011</x:v>
      </x:c>
      <x:c r="T60" s="8" t="n">
        <x:f>IF(COUNT('Monthly data'!E59:E60)=2,'Monthly data'!E60-'Monthly data'!E59,"")</x:f>
        <x:v>0.0005864572999989548</x:v>
      </x:c>
    </x:row>
    <x:row r="61" ht="19" customHeight="1">
      <x:c r="A61" s="7" t="n">
        <x:f>'Monthly data'!A61</x:f>
        <x:v>34669</x:v>
      </x:c>
      <x:c r="B61" s="8" t="n">
        <x:f>IF(ISNUMBER('Monthly data'!F61),LN(1+'Monthly data'!F61),"")</x:f>
        <x:v>4.630935393874117</x:v>
      </x:c>
      <x:c r="C61" s="8" t="n">
        <x:f>IF(ISNUMBER('Monthly data'!G61),LN(1+'Monthly data'!G61),"")</x:f>
        <x:v>3.7115993905501843</x:v>
      </x:c>
      <x:c r="D61" s="8" t="n">
        <x:f>IF(ISNUMBER('Monthly data'!H61),LN(1+'Monthly data'!H61),"")</x:f>
        <x:v>3.2711038822286818</x:v>
      </x:c>
      <x:c r="E61" s="8" t="n">
        <x:f>IF(ISNUMBER('Monthly data'!I61),LN(1+'Monthly data'!I61),"")</x:f>
        <x:v>2.5488043406376963</x:v>
      </x:c>
      <x:c r="F61" s="8" t="n">
        <x:f>IF(ISNUMBER('Monthly data'!J61),LN(1+'Monthly data'!J61),"")</x:f>
        <x:v>2.560246006333816</x:v>
      </x:c>
      <x:c r="G61" s="8" t="n">
        <x:f>IF(ISNUMBER('Monthly data'!K61),LN(1+'Monthly data'!K61),"")</x:f>
        <x:v>1.5272729543794628</x:v>
      </x:c>
      <x:c r="H61" s="8" t="n">
        <x:f>IF(ISNUMBER('Monthly data'!L61),LN(1+'Monthly data'!L61),"")</x:f>
        <x:v>0.31327671711326166</x:v>
      </x:c>
      <x:c r="I61" s="8" t="n">
        <x:f>IF(ISNUMBER('Monthly data'!M61),LN(1+'Monthly data'!M61),"")</x:f>
        <x:v>0.6522210139472995</x:v>
      </x:c>
      <x:c r="J61" s="8" t="n">
        <x:f>IF(ISNUMBER('Monthly data'!N61),LN(1+'Monthly data'!N61),"")</x:f>
        <x:v>2.1663414541241908</x:v>
      </x:c>
      <x:c r="K61" s="8" t="n">
        <x:f>IF(COUNT('Monthly data'!F59:F61)=3,'Monthly data'!F61-2*'Monthly data'!F60+'Monthly data'!F59,"")</x:f>
        <x:v>34.010000000000005</x:v>
      </x:c>
      <x:c r="L61" s="8" t="n">
        <x:f>IF(COUNT('Monthly data'!G59:G61)=3,'Monthly data'!G61-2*'Monthly data'!G60+'Monthly data'!G59,"")</x:f>
        <x:v>14.702799999999996</x:v>
      </x:c>
      <x:c r="M61" s="8" t="n">
        <x:f>IF(COUNT('Monthly data'!H59:H61)=3,'Monthly data'!H61-2*'Monthly data'!H60+'Monthly data'!H59,"")</x:f>
        <x:v>10.892800000000001</x:v>
      </x:c>
      <x:c r="N61" s="8" t="n">
        <x:f>IF(COUNT('Monthly data'!I59:I61)=3,'Monthly data'!I61-2*'Monthly data'!I60+'Monthly data'!I59,"")</x:f>
        <x:v>7.7425</x:v>
      </x:c>
      <x:c r="O61" s="8" t="n">
        <x:f>IF(COUNT('Monthly data'!J59:J61)=3,'Monthly data'!J61-2*'Monthly data'!J60+'Monthly data'!J59,"")</x:f>
        <x:v>-5.608699999999999</x:v>
      </x:c>
      <x:c r="P61" s="8" t="n">
        <x:f>IF(COUNT('Monthly data'!K59:K61)=3,'Monthly data'!K61-2*'Monthly data'!K60+'Monthly data'!K59,"")</x:f>
        <x:v>-0.6593</x:v>
      </x:c>
      <x:c r="Q61" s="8" t="n">
        <x:f>IF(COUNT('Monthly data'!L59:L61)=3,'Monthly data'!L61-2*'Monthly data'!L60+'Monthly data'!L59,"")</x:f>
        <x:v>2.6573</x:v>
      </x:c>
      <x:c r="R61" s="8" t="n">
        <x:f>IF(COUNT('Monthly data'!M59:M61)=3,'Monthly data'!M61-2*'Monthly data'!M60+'Monthly data'!M59,"")</x:f>
        <x:v>2.5141</x:v>
      </x:c>
      <x:c r="S61" s="8" t="n">
        <x:f>IF(COUNT('Monthly data'!N59:N61)=3,'Monthly data'!N61-2*'Monthly data'!N60+'Monthly data'!N59,"")</x:f>
        <x:v>1.7685000000000013</x:v>
      </x:c>
      <x:c r="T61" s="8" t="n">
        <x:f>IF(COUNT('Monthly data'!E60:E61)=2,'Monthly data'!E61-'Monthly data'!E60,"")</x:f>
        <x:v>0.007956065600000173</x:v>
      </x:c>
    </x:row>
    <x:row r="62" ht="19" customHeight="1">
      <x:c r="A62" s="7" t="n">
        <x:f>'Monthly data'!A62</x:f>
        <x:v>34700</x:v>
      </x:c>
      <x:c r="B62" s="8" t="n">
        <x:f>IF(ISNUMBER('Monthly data'!F62),LN(1+'Monthly data'!F62),"")</x:f>
        <x:v>4.476313563863087</x:v>
      </x:c>
      <x:c r="C62" s="8" t="n">
        <x:f>IF(ISNUMBER('Monthly data'!G62),LN(1+'Monthly data'!G62),"")</x:f>
        <x:v>3.585564067974585</x:v>
      </x:c>
      <x:c r="D62" s="8" t="n">
        <x:f>IF(ISNUMBER('Monthly data'!H62),LN(1+'Monthly data'!H62),"")</x:f>
        <x:v>3.02375591746021</x:v>
      </x:c>
      <x:c r="E62" s="8" t="n">
        <x:f>IF(ISNUMBER('Monthly data'!I62),LN(1+'Monthly data'!I62),"")</x:f>
        <x:v>2.495887802297234</x:v>
      </x:c>
      <x:c r="F62" s="8" t="n">
        <x:f>IF(ISNUMBER('Monthly data'!J62),LN(1+'Monthly data'!J62),"")</x:f>
        <x:v>1.8777689556039667</x:v>
      </x:c>
      <x:c r="G62" s="8" t="n">
        <x:f>IF(ISNUMBER('Monthly data'!K62),LN(1+'Monthly data'!K62),"")</x:f>
        <x:v>1.527707114070214</x:v>
      </x:c>
      <x:c r="H62" s="8" t="n">
        <x:f>IF(ISNUMBER('Monthly data'!L62),LN(1+'Monthly data'!L62),"")</x:f>
        <x:v>0.32396578452902763</x:v>
      </x:c>
      <x:c r="I62" s="8" t="n">
        <x:f>IF(ISNUMBER('Monthly data'!M62),LN(1+'Monthly data'!M62),"")</x:f>
        <x:v>1.2252743077458517</x:v>
      </x:c>
      <x:c r="J62" s="8" t="n">
        <x:f>IF(ISNUMBER('Monthly data'!N62),LN(1+'Monthly data'!N62),"")</x:f>
        <x:v>2.3225053604291763</x:v>
      </x:c>
      <x:c r="K62" s="8" t="n">
        <x:f>IF(COUNT('Monthly data'!F60:F62)=3,'Monthly data'!F62-2*'Monthly data'!F61+'Monthly data'!F60,"")</x:f>
        <x:v>-37.93000000000001</x:v>
      </x:c>
      <x:c r="L62" s="8" t="n">
        <x:f>IF(COUNT('Monthly data'!G60:G62)=3,'Monthly data'!G62-2*'Monthly data'!G61+'Monthly data'!G60,"")</x:f>
        <x:v>-19.21169999999999</x:v>
      </x:c>
      <x:c r="M62" s="8" t="n">
        <x:f>IF(COUNT('Monthly data'!H60:H62)=3,'Monthly data'!H62-2*'Monthly data'!H61+'Monthly data'!H60,"")</x:f>
        <x:v>-10.965499999999999</x:v>
      </x:c>
      <x:c r="N62" s="8" t="n">
        <x:f>IF(COUNT('Monthly data'!I60:I62)=3,'Monthly data'!I62-2*'Monthly data'!I61+'Monthly data'!I60,"")</x:f>
        <x:v>-4.6809</x:v>
      </x:c>
      <x:c r="O62" s="8" t="n">
        <x:f>IF(COUNT('Monthly data'!J60:J62)=3,'Monthly data'!J62-2*'Monthly data'!J61+'Monthly data'!J60,"")</x:f>
        <x:v>-6.692500000000003</x:v>
      </x:c>
      <x:c r="P62" s="8" t="n">
        <x:f>IF(COUNT('Monthly data'!K60:K62)=3,'Monthly data'!K62-2*'Monthly data'!K61+'Monthly data'!K60,"")</x:f>
        <x:v>0.6552000000000002</x:v>
      </x:c>
      <x:c r="Q62" s="8" t="n">
        <x:f>IF(COUNT('Monthly data'!L60:L62)=3,'Monthly data'!L62-2*'Monthly data'!L61+'Monthly data'!L60,"")</x:f>
        <x:v>0.32469999999999993</x:v>
      </x:c>
      <x:c r="R62" s="8" t="n">
        <x:f>IF(COUNT('Monthly data'!M60:M62)=3,'Monthly data'!M62-2*'Monthly data'!M61+'Monthly data'!M60,"")</x:f>
        <x:v>1.4868000000000001</x:v>
      </x:c>
      <x:c r="S62" s="8" t="n">
        <x:f>IF(COUNT('Monthly data'!N60:N62)=3,'Monthly data'!N62-2*'Monthly data'!N61+'Monthly data'!N60,"")</x:f>
        <x:v>1.1537999999999995</x:v>
      </x:c>
      <x:c r="T62" s="8" t="n">
        <x:f>IF(COUNT('Monthly data'!E61:E62)=2,'Monthly data'!E62-'Monthly data'!E61,"")</x:f>
        <x:v>-0.007533089699998996</x:v>
      </x:c>
    </x:row>
    <x:row r="63" ht="19" customHeight="1">
      <x:c r="A63" s="7" t="n">
        <x:f>'Monthly data'!A63</x:f>
        <x:v>34731</x:v>
      </x:c>
      <x:c r="B63" s="8" t="n">
        <x:f>IF(ISNUMBER('Monthly data'!F63),LN(1+'Monthly data'!F63),"")</x:f>
        <x:v>4.470724089435168</x:v>
      </x:c>
      <x:c r="C63" s="8" t="n">
        <x:f>IF(ISNUMBER('Monthly data'!G63),LN(1+'Monthly data'!G63),"")</x:f>
        <x:v>3.2001536536690574</x:v>
      </x:c>
      <x:c r="D63" s="8" t="n">
        <x:f>IF(ISNUMBER('Monthly data'!H63),LN(1+'Monthly data'!H63),"")</x:f>
        <x:v>3.372924785236496</x:v>
      </x:c>
      <x:c r="E63" s="8" t="n">
        <x:f>IF(ISNUMBER('Monthly data'!I63),LN(1+'Monthly data'!I63),"")</x:f>
        <x:v>2.320110619859864</x:v>
      </x:c>
      <x:c r="F63" s="8" t="n">
        <x:f>IF(ISNUMBER('Monthly data'!J63),LN(1+'Monthly data'!J63),"")</x:f>
        <x:v>2.3903395271816184</x:v>
      </x:c>
      <x:c r="G63" s="8" t="n">
        <x:f>IF(ISNUMBER('Monthly data'!K63),LN(1+'Monthly data'!K63),"")</x:f>
        <x:v>1.2397935132407023</x:v>
      </x:c>
      <x:c r="H63" s="8" t="n">
        <x:f>IF(ISNUMBER('Monthly data'!L63),LN(1+'Monthly data'!L63),"")</x:f>
        <x:v>0.3149567145866617</x:v>
      </x:c>
      <x:c r="I63" s="8" t="n">
        <x:f>IF(ISNUMBER('Monthly data'!M63),LN(1+'Monthly data'!M63),"")</x:f>
        <x:v>1.6275921230141424</x:v>
      </x:c>
      <x:c r="J63" s="8" t="n">
        <x:f>IF(ISNUMBER('Monthly data'!N63),LN(1+'Monthly data'!N63),"")</x:f>
        <x:v>2.273073889619657</x:v>
      </x:c>
      <x:c r="K63" s="8" t="n">
        <x:f>IF(COUNT('Monthly data'!F61:F63)=3,'Monthly data'!F63-2*'Monthly data'!F62+'Monthly data'!F61,"")</x:f>
        <x:v>14.210000000000008</x:v>
      </x:c>
      <x:c r="L63" s="8" t="n">
        <x:f>IF(COUNT('Monthly data'!G61:G63)=3,'Monthly data'!G63-2*'Monthly data'!G62+'Monthly data'!G61,"")</x:f>
        <x:v>-6.691900000000011</x:v>
      </x:c>
      <x:c r="M63" s="8" t="n">
        <x:f>IF(COUNT('Monthly data'!H61:H63)=3,'Monthly data'!H63-2*'Monthly data'!H62+'Monthly data'!H61,"")</x:f>
        <x:v>14.367299999999997</x:v>
      </x:c>
      <x:c r="N63" s="8" t="n">
        <x:f>IF(COUNT('Monthly data'!I61:I63)=3,'Monthly data'!I63-2*'Monthly data'!I62+'Monthly data'!I61,"")</x:f>
        <x:v>-1.2964000000000002</x:v>
      </x:c>
      <x:c r="O63" s="8" t="n">
        <x:f>IF(COUNT('Monthly data'!J61:J63)=3,'Monthly data'!J63-2*'Monthly data'!J62+'Monthly data'!J61,"")</x:f>
        <x:v>10.7784</x:v>
      </x:c>
      <x:c r="P63" s="8" t="n">
        <x:f>IF(COUNT('Monthly data'!K61:K63)=3,'Monthly data'!K63-2*'Monthly data'!K62+'Monthly data'!K61,"")</x:f>
        <x:v>-1.154700000000001</x:v>
      </x:c>
      <x:c r="Q63" s="8" t="n">
        <x:f>IF(COUNT('Monthly data'!L61:L63)=3,'Monthly data'!L63-2*'Monthly data'!L62+'Monthly data'!L61,"")</x:f>
        <x:v>-0.027100000000000013</x:v>
      </x:c>
      <x:c r="R63" s="8" t="n">
        <x:f>IF(COUNT('Monthly data'!M61:M63)=3,'Monthly data'!M63-2*'Monthly data'!M62+'Monthly data'!M61,"")</x:f>
        <x:v>0.2011999999999996</x:v>
      </x:c>
      <x:c r="S63" s="8" t="n">
        <x:f>IF(COUNT('Monthly data'!N61:N63)=3,'Monthly data'!N63-2*'Monthly data'!N62+'Monthly data'!N61,"")</x:f>
        <x:v>-1.9669000000000008</x:v>
      </x:c>
      <x:c r="T63" s="8" t="n">
        <x:f>IF(COUNT('Monthly data'!E62:E63)=2,'Monthly data'!E63-'Monthly data'!E62,"")</x:f>
        <x:v>0.00737513610000029</x:v>
      </x:c>
    </x:row>
    <x:row r="64" ht="19" customHeight="1">
      <x:c r="A64" s="7" t="n">
        <x:f>'Monthly data'!A64</x:f>
        <x:v>34759</x:v>
      </x:c>
      <x:c r="B64" s="8" t="n">
        <x:f>IF(ISNUMBER('Monthly data'!F64),LN(1+'Monthly data'!F64),"")</x:f>
        <x:v>4.389870788696931</x:v>
      </x:c>
      <x:c r="C64" s="8" t="n">
        <x:f>IF(ISNUMBER('Monthly data'!G64),LN(1+'Monthly data'!G64),"")</x:f>
        <x:v>2.8522024917786615</x:v>
      </x:c>
      <x:c r="D64" s="8" t="n">
        <x:f>IF(ISNUMBER('Monthly data'!H64),LN(1+'Monthly data'!H64),"")</x:f>
        <x:v>3.352378217072215</x:v>
      </x:c>
      <x:c r="E64" s="8" t="n">
        <x:f>IF(ISNUMBER('Monthly data'!I64),LN(1+'Monthly data'!I64),"")</x:f>
        <x:v>2.582879947011809</x:v>
      </x:c>
      <x:c r="F64" s="8" t="n">
        <x:f>IF(ISNUMBER('Monthly data'!J64),LN(1+'Monthly data'!J64),"")</x:f>
        <x:v>2.1510991928189322</x:v>
      </x:c>
      <x:c r="G64" s="8" t="n">
        <x:f>IF(ISNUMBER('Monthly data'!K64),LN(1+'Monthly data'!K64),"")</x:f>
        <x:v>1.5129930891652703</x:v>
      </x:c>
      <x:c r="H64" s="8" t="n">
        <x:f>IF(ISNUMBER('Monthly data'!L64),LN(1+'Monthly data'!L64),"")</x:f>
        <x:v>0.6975873085859664</x:v>
      </x:c>
      <x:c r="I64" s="8" t="n">
        <x:f>IF(ISNUMBER('Monthly data'!M64),LN(1+'Monthly data'!M64),"")</x:f>
        <x:v>1.6381614144532182</x:v>
      </x:c>
      <x:c r="J64" s="8" t="n">
        <x:f>IF(ISNUMBER('Monthly data'!N64),LN(1+'Monthly data'!N64),"")</x:f>
        <x:v>2.105243295043668</x:v>
      </x:c>
      <x:c r="K64" s="8" t="n">
        <x:f>IF(COUNT('Monthly data'!F62:F64)=3,'Monthly data'!F64-2*'Monthly data'!F63+'Monthly data'!F62,"")</x:f>
        <x:v>-6.300000000000011</x:v>
      </x:c>
      <x:c r="L64" s="8" t="n">
        <x:f>IF(COUNT('Monthly data'!G62:G64)=3,'Monthly data'!G64-2*'Monthly data'!G63+'Monthly data'!G62,"")</x:f>
        <x:v>4.327000000000002</x:v>
      </x:c>
      <x:c r="M64" s="8" t="n">
        <x:f>IF(COUNT('Monthly data'!H62:H64)=3,'Monthly data'!H64-2*'Monthly data'!H63+'Monthly data'!H62,"")</x:f>
        <x:v>-9.188399999999998</x:v>
      </x:c>
      <x:c r="N64" s="8" t="n">
        <x:f>IF(COUNT('Monthly data'!I62:I64)=3,'Monthly data'!I64-2*'Monthly data'!I63+'Monthly data'!I62,"")</x:f>
        <x:v>5.014100000000001</x:v>
      </x:c>
      <x:c r="O64" s="8" t="n">
        <x:f>IF(COUNT('Monthly data'!J62:J64)=3,'Monthly data'!J64-2*'Monthly data'!J63+'Monthly data'!J62,"")</x:f>
        <x:v>-6.701199999999998</x:v>
      </x:c>
      <x:c r="P64" s="8" t="n">
        <x:f>IF(COUNT('Monthly data'!K62:K64)=3,'Monthly data'!K64-2*'Monthly data'!K63+'Monthly data'!K62,"")</x:f>
        <x:v>2.2381</x:v>
      </x:c>
      <x:c r="Q64" s="8" t="n">
        <x:f>IF(COUNT('Monthly data'!L62:L64)=3,'Monthly data'!L64-2*'Monthly data'!L63+'Monthly data'!L62,"")</x:f>
        <x:v>0.6511</x:v>
      </x:c>
      <x:c r="R64" s="8" t="n">
        <x:f>IF(COUNT('Monthly data'!M62:M64)=3,'Monthly data'!M64-2*'Monthly data'!M63+'Monthly data'!M62,"")</x:f>
        <x:v>-1.6323999999999996</x:v>
      </x:c>
      <x:c r="S64" s="8" t="n">
        <x:f>IF(COUNT('Monthly data'!N62:N64)=3,'Monthly data'!N64-2*'Monthly data'!N63+'Monthly data'!N62,"")</x:f>
        <x:v>-1.0080999999999989</x:v>
      </x:c>
      <x:c r="T64" s="8" t="n">
        <x:f>IF(COUNT('Monthly data'!E63:E64)=2,'Monthly data'!E64-'Monthly data'!E63,"")</x:f>
        <x:v>-0.008535396500001013</x:v>
      </x:c>
    </x:row>
    <x:row r="65" ht="19" customHeight="1">
      <x:c r="A65" s="7" t="n">
        <x:f>'Monthly data'!A65</x:f>
        <x:v>34790</x:v>
      </x:c>
      <x:c r="B65" s="8" t="n">
        <x:f>IF(ISNUMBER('Monthly data'!F65),LN(1+'Monthly data'!F65),"")</x:f>
        <x:v>4.618777189394308</x:v>
      </x:c>
      <x:c r="C65" s="8" t="n">
        <x:f>IF(ISNUMBER('Monthly data'!G65),LN(1+'Monthly data'!G65),"")</x:f>
        <x:v>2.936974345879443</x:v>
      </x:c>
      <x:c r="D65" s="8" t="n">
        <x:f>IF(ISNUMBER('Monthly data'!H65),LN(1+'Monthly data'!H65),"")</x:f>
        <x:v>3.2497463877346817</x:v>
      </x:c>
      <x:c r="E65" s="8" t="n">
        <x:f>IF(ISNUMBER('Monthly data'!I65),LN(1+'Monthly data'!I65),"")</x:f>
        <x:v>3.4554045931333457</x:v>
      </x:c>
      <x:c r="F65" s="8" t="n">
        <x:f>IF(ISNUMBER('Monthly data'!J65),LN(1+'Monthly data'!J65),"")</x:f>
        <x:v>2.2475056929769823</x:v>
      </x:c>
      <x:c r="G65" s="8" t="n">
        <x:f>IF(ISNUMBER('Monthly data'!K65),LN(1+'Monthly data'!K65),"")</x:f>
        <x:v>1.9270767661756847</x:v>
      </x:c>
      <x:c r="H65" s="8" t="n">
        <x:f>IF(ISNUMBER('Monthly data'!L65),LN(1+'Monthly data'!L65),"")</x:f>
        <x:v>0.06915285868831672</x:v>
      </x:c>
      <x:c r="I65" s="8" t="n">
        <x:f>IF(ISNUMBER('Monthly data'!M65),LN(1+'Monthly data'!M65),"")</x:f>
        <x:v>1.766339091881144</x:v>
      </x:c>
      <x:c r="J65" s="8" t="n">
        <x:f>IF(ISNUMBER('Monthly data'!N65),LN(1+'Monthly data'!N65),"")</x:f>
        <x:v>2.1749789683888996</x:v>
      </x:c>
      <x:c r="K65" s="8" t="n">
        <x:f>IF(COUNT('Monthly data'!F63:F65)=3,'Monthly data'!F65-2*'Monthly data'!F64+'Monthly data'!F63,"")</x:f>
        <x:v>27.530000000000015</x:v>
      </x:c>
      <x:c r="L65" s="8" t="n">
        <x:f>IF(COUNT('Monthly data'!G63:G65)=3,'Monthly data'!G65-2*'Monthly data'!G64+'Monthly data'!G63,"")</x:f>
        <x:v>8.743199999999998</x:v>
      </x:c>
      <x:c r="M65" s="8" t="n">
        <x:f>IF(COUNT('Monthly data'!H63:H65)=3,'Monthly data'!H65-2*'Monthly data'!H64+'Monthly data'!H63,"")</x:f>
        <x:v>-2.1936999999999998</x:v>
      </x:c>
      <x:c r="N65" s="8" t="n">
        <x:f>IF(COUNT('Monthly data'!I63:I65)=3,'Monthly data'!I65-2*'Monthly data'!I64+'Monthly data'!I63,"")</x:f>
        <x:v>15.377499999999998</x:v>
      </x:c>
      <x:c r="O65" s="8" t="n">
        <x:f>IF(COUNT('Monthly data'!J63:J65)=3,'Monthly data'!J65-2*'Monthly data'!J64+'Monthly data'!J63,"")</x:f>
        <x:v>3.1927000000000003</x:v>
      </x:c>
      <x:c r="P65" s="8" t="n">
        <x:f>IF(COUNT('Monthly data'!K63:K65)=3,'Monthly data'!K65-2*'Monthly data'!K64+'Monthly data'!K63,"")</x:f>
        <x:v>1.2437</x:v>
      </x:c>
      <x:c r="Q65" s="8" t="n">
        <x:f>IF(COUNT('Monthly data'!L63:L65)=3,'Monthly data'!L65-2*'Monthly data'!L64+'Monthly data'!L63,"")</x:f>
        <x:v>-1.5759999999999996</x:v>
      </x:c>
      <x:c r="R65" s="8" t="n">
        <x:f>IF(COUNT('Monthly data'!M63:M65)=3,'Monthly data'!M65-2*'Monthly data'!M64+'Monthly data'!M63,"")</x:f>
        <x:v>0.6496000000000004</x:v>
      </x:c>
      <x:c r="S65" s="8" t="n">
        <x:f>IF(COUNT('Monthly data'!N63:N65)=3,'Monthly data'!N65-2*'Monthly data'!N64+'Monthly data'!N63,"")</x:f>
        <x:v>2.092999999999998</x:v>
      </x:c>
      <x:c r="T65" s="8" t="n">
        <x:f>IF(COUNT('Monthly data'!E64:E65)=2,'Monthly data'!E65-'Monthly data'!E64,"")</x:f>
        <x:v>0.006913037300000369</x:v>
      </x:c>
    </x:row>
    <x:row r="66" ht="19" customHeight="1">
      <x:c r="A66" s="7" t="n">
        <x:f>'Monthly data'!A66</x:f>
        <x:v>34820</x:v>
      </x:c>
      <x:c r="B66" s="8" t="n">
        <x:f>IF(ISNUMBER('Monthly data'!F66),LN(1+'Monthly data'!F66),"")</x:f>
        <x:v>4.487849543411548</x:v>
      </x:c>
      <x:c r="C66" s="8" t="n">
        <x:f>IF(ISNUMBER('Monthly data'!G66),LN(1+'Monthly data'!G66),"")</x:f>
        <x:v>3.1309272816026796</x:v>
      </x:c>
      <x:c r="D66" s="8" t="n">
        <x:f>IF(ISNUMBER('Monthly data'!H66),LN(1+'Monthly data'!H66),"")</x:f>
        <x:v>3.3723245440930394</x:v>
      </x:c>
      <x:c r="E66" s="8" t="n">
        <x:f>IF(ISNUMBER('Monthly data'!I66),LN(1+'Monthly data'!I66),"")</x:f>
        <x:v>2.69454609640174</x:v>
      </x:c>
      <x:c r="F66" s="8" t="n">
        <x:f>IF(ISNUMBER('Monthly data'!J66),LN(1+'Monthly data'!J66),"")</x:f>
        <x:v>1.5349083129465266</x:v>
      </x:c>
      <x:c r="G66" s="8" t="n">
        <x:f>IF(ISNUMBER('Monthly data'!K66),LN(1+'Monthly data'!K66),"")</x:f>
        <x:v>1.7868976698111476</x:v>
      </x:c>
      <x:c r="H66" s="8" t="n">
        <x:f>IF(ISNUMBER('Monthly data'!L66),LN(1+'Monthly data'!L66),"")</x:f>
        <x:v>0.07982729985955435</x:v>
      </x:c>
      <x:c r="I66" s="8" t="n">
        <x:f>IF(ISNUMBER('Monthly data'!M66),LN(1+'Monthly data'!M66),"")</x:f>
        <x:v>2.151494725630045</x:v>
      </x:c>
      <x:c r="J66" s="8" t="n">
        <x:f>IF(ISNUMBER('Monthly data'!N66),LN(1+'Monthly data'!N66),"")</x:f>
        <x:v>2.1744334890354042</x:v>
      </x:c>
      <x:c r="K66" s="8" t="n">
        <x:f>IF(COUNT('Monthly data'!F64:F66)=3,'Monthly data'!F66-2*'Monthly data'!F65+'Monthly data'!F64,"")</x:f>
        <x:v>-33.18000000000001</x:v>
      </x:c>
      <x:c r="L66" s="8" t="n">
        <x:f>IF(COUNT('Monthly data'!G64:G66)=3,'Monthly data'!G66-2*'Monthly data'!G65+'Monthly data'!G64,"")</x:f>
        <x:v>2.503700000000002</x:v>
      </x:c>
      <x:c r="M66" s="8" t="n">
        <x:f>IF(COUNT('Monthly data'!H64:H66)=3,'Monthly data'!H66-2*'Monthly data'!H65+'Monthly data'!H64,"")</x:f>
        <x:v>6.1492</x:v>
      </x:c>
      <x:c r="N66" s="8" t="n">
        <x:f>IF(COUNT('Monthly data'!I64:I66)=3,'Monthly data'!I66-2*'Monthly data'!I65+'Monthly data'!I64,"")</x:f>
        <x:v>-35.3082</x:v>
      </x:c>
      <x:c r="O66" s="8" t="n">
        <x:f>IF(COUNT('Monthly data'!J64:J66)=3,'Monthly data'!J66-2*'Monthly data'!J65+'Monthly data'!J64,"")</x:f>
        <x:v>-5.6930000000000005</x:v>
      </x:c>
      <x:c r="P66" s="8" t="n">
        <x:f>IF(COUNT('Monthly data'!K64:K66)=3,'Monthly data'!K66-2*'Monthly data'!K65+'Monthly data'!K64,"")</x:f>
        <x:v>-3.2275999999999994</x:v>
      </x:c>
      <x:c r="Q66" s="8" t="n">
        <x:f>IF(COUNT('Monthly data'!L64:L66)=3,'Monthly data'!L66-2*'Monthly data'!L65+'Monthly data'!L64,"")</x:f>
        <x:v>0.9487999999999999</x:v>
      </x:c>
      <x:c r="R66" s="8" t="n">
        <x:f>IF(COUNT('Monthly data'!M64:M66)=3,'Monthly data'!M66-2*'Monthly data'!M65+'Monthly data'!M64,"")</x:f>
        <x:v>2.044599999999999</x:v>
      </x:c>
      <x:c r="S66" s="8" t="n">
        <x:f>IF(COUNT('Monthly data'!N64:N66)=3,'Monthly data'!N66-2*'Monthly data'!N65+'Monthly data'!N64,"")</x:f>
        <x:v>-0.5976999999999988</x:v>
      </x:c>
      <x:c r="T66" s="8" t="n">
        <x:f>IF(COUNT('Monthly data'!E65:E66)=2,'Monthly data'!E66-'Monthly data'!E65,"")</x:f>
        <x:v>-0.007775034999999875</x:v>
      </x:c>
    </x:row>
    <x:row r="67" ht="19" customHeight="1">
      <x:c r="A67" s="7" t="n">
        <x:f>'Monthly data'!A67</x:f>
        <x:v>34851</x:v>
      </x:c>
      <x:c r="B67" s="8" t="n">
        <x:f>IF(ISNUMBER('Monthly data'!F67),LN(1+'Monthly data'!F67),"")</x:f>
        <x:v>4.549128795104466</x:v>
      </x:c>
      <x:c r="C67" s="8" t="n">
        <x:f>IF(ISNUMBER('Monthly data'!G67),LN(1+'Monthly data'!G67),"")</x:f>
        <x:v>3.529300316836491</x:v>
      </x:c>
      <x:c r="D67" s="8" t="n">
        <x:f>IF(ISNUMBER('Monthly data'!H67),LN(1+'Monthly data'!H67),"")</x:f>
        <x:v>3.3090345770056113</x:v>
      </x:c>
      <x:c r="E67" s="8" t="n">
        <x:f>IF(ISNUMBER('Monthly data'!I67),LN(1+'Monthly data'!I67),"")</x:f>
        <x:v>2.6270787289270854</x:v>
      </x:c>
      <x:c r="F67" s="8" t="n">
        <x:f>IF(ISNUMBER('Monthly data'!J67),LN(1+'Monthly data'!J67),"")</x:f>
        <x:v>1.8126236244073641</x:v>
      </x:c>
      <x:c r="G67" s="8" t="n">
        <x:f>IF(ISNUMBER('Monthly data'!K67),LN(1+'Monthly data'!K67),"")</x:f>
        <x:v>1.7068005300008642</x:v>
      </x:c>
      <x:c r="H67" s="8" t="n">
        <x:f>IF(ISNUMBER('Monthly data'!L67),LN(1+'Monthly data'!L67),"")</x:f>
        <x:v>0.7224632348939983</x:v>
      </x:c>
      <x:c r="I67" s="8" t="n">
        <x:f>IF(ISNUMBER('Monthly data'!M67),LN(1+'Monthly data'!M67),"")</x:f>
        <x:v>1.7160656248588546</x:v>
      </x:c>
      <x:c r="J67" s="8" t="n">
        <x:f>IF(ISNUMBER('Monthly data'!N67),LN(1+'Monthly data'!N67),"")</x:f>
        <x:v>1.9456243939454962</x:v>
      </x:c>
      <x:c r="K67" s="8" t="n">
        <x:f>IF(COUNT('Monthly data'!F65:F67)=3,'Monthly data'!F67-2*'Monthly data'!F66+'Monthly data'!F65,"")</x:f>
        <x:v>18.059999999999988</x:v>
      </x:c>
      <x:c r="L67" s="8" t="n">
        <x:f>IF(COUNT('Monthly data'!G65:G67)=3,'Monthly data'!G67-2*'Monthly data'!G66+'Monthly data'!G65,"")</x:f>
        <x:v>7.168399999999998</x:v>
      </x:c>
      <x:c r="M67" s="8" t="n">
        <x:f>IF(COUNT('Monthly data'!H65:H67)=3,'Monthly data'!H67-2*'Monthly data'!H66+'Monthly data'!H65,"")</x:f>
        <x:v>-5.149900000000002</x:v>
      </x:c>
      <x:c r="N67" s="8" t="n">
        <x:f>IF(COUNT('Monthly data'!I65:I67)=3,'Monthly data'!I67-2*'Monthly data'!I66+'Monthly data'!I65,"")</x:f>
        <x:v>15.906799999999999</x:v>
      </x:c>
      <x:c r="O67" s="8" t="n">
        <x:f>IF(COUNT('Monthly data'!J65:J67)=3,'Monthly data'!J67-2*'Monthly data'!J66+'Monthly data'!J65,"")</x:f>
        <x:v>6.308800000000001</x:v>
      </x:c>
      <x:c r="P67" s="8" t="n">
        <x:f>IF(COUNT('Monthly data'!K65:K67)=3,'Monthly data'!K67-2*'Monthly data'!K66+'Monthly data'!K65,"")</x:f>
        <x:v>0.4388999999999994</x:v>
      </x:c>
      <x:c r="Q67" s="8" t="n">
        <x:f>IF(COUNT('Monthly data'!L65:L67)=3,'Monthly data'!L67-2*'Monthly data'!L66+'Monthly data'!L65,"")</x:f>
        <x:v>0.9649000000000001</x:v>
      </x:c>
      <x:c r="R67" s="8" t="n">
        <x:f>IF(COUNT('Monthly data'!M65:M67)=3,'Monthly data'!M67-2*'Monthly data'!M66+'Monthly data'!M65,"")</x:f>
        <x:v>-5.783399999999999</x:v>
      </x:c>
      <x:c r="S67" s="8" t="n">
        <x:f>IF(COUNT('Monthly data'!N65:N67)=3,'Monthly data'!N67-2*'Monthly data'!N66+'Monthly data'!N65,"")</x:f>
        <x:v>-1.7943999999999996</x:v>
      </x:c>
      <x:c r="T67" s="8" t="n">
        <x:f>IF(COUNT('Monthly data'!E66:E67)=2,'Monthly data'!E67-'Monthly data'!E66,"")</x:f>
        <x:v>-0.006770247500000437</x:v>
      </x:c>
    </x:row>
    <x:row r="68" ht="19" customHeight="1">
      <x:c r="A68" s="7" t="n">
        <x:f>'Monthly data'!A68</x:f>
        <x:v>34881</x:v>
      </x:c>
      <x:c r="B68" s="8" t="n">
        <x:f>IF(ISNUMBER('Monthly data'!F68),LN(1+'Monthly data'!F68),"")</x:f>
        <x:v>4.490544660146788</x:v>
      </x:c>
      <x:c r="C68" s="8" t="n">
        <x:f>IF(ISNUMBER('Monthly data'!G68),LN(1+'Monthly data'!G68),"")</x:f>
        <x:v>3.6045571855019602</x:v>
      </x:c>
      <x:c r="D68" s="8" t="n">
        <x:f>IF(ISNUMBER('Monthly data'!H68),LN(1+'Monthly data'!H68),"")</x:f>
        <x:v>3.2200031891542125</x:v>
      </x:c>
      <x:c r="E68" s="8" t="n">
        <x:f>IF(ISNUMBER('Monthly data'!I68),LN(1+'Monthly data'!I68),"")</x:f>
        <x:v>2.4512205921331938</x:v>
      </x:c>
      <x:c r="F68" s="8" t="n">
        <x:f>IF(ISNUMBER('Monthly data'!J68),LN(1+'Monthly data'!J68),"")</x:f>
        <x:v>2.014836351653277</x:v>
      </x:c>
      <x:c r="G68" s="8" t="n">
        <x:f>IF(ISNUMBER('Monthly data'!K68),LN(1+'Monthly data'!K68),"")</x:f>
        <x:v>1.3097102489371182</x:v>
      </x:c>
      <x:c r="H68" s="8" t="n">
        <x:f>IF(ISNUMBER('Monthly data'!L68),LN(1+'Monthly data'!L68),"")</x:f>
        <x:v>0.5971867894140341</x:v>
      </x:c>
      <x:c r="I68" s="8" t="n">
        <x:f>IF(ISNUMBER('Monthly data'!M68),LN(1+'Monthly data'!M68),"")</x:f>
        <x:v>0.9334231306144558</x:v>
      </x:c>
      <x:c r="J68" s="8" t="n">
        <x:f>IF(ISNUMBER('Monthly data'!N68),LN(1+'Monthly data'!N68),"")</x:f>
        <x:v>1.9753302454224415</x:v>
      </x:c>
      <x:c r="K68" s="8" t="n">
        <x:f>IF(COUNT('Monthly data'!F66:F68)=3,'Monthly data'!F68-2*'Monthly data'!F67+'Monthly data'!F66,"")</x:f>
        <x:v>-10.999999999999986</x:v>
      </x:c>
      <x:c r="L68" s="8" t="n">
        <x:f>IF(COUNT('Monthly data'!G66:G68)=3,'Monthly data'!G68-2*'Monthly data'!G67+'Monthly data'!G66,"")</x:f>
        <x:v>-8.539599999999997</x:v>
      </x:c>
      <x:c r="M68" s="8" t="n">
        <x:f>IF(COUNT('Monthly data'!H66:H68)=3,'Monthly data'!H68-2*'Monthly data'!H67+'Monthly data'!H66,"")</x:f>
        <x:v>-0.5429999999999993</x:v>
      </x:c>
      <x:c r="N68" s="8" t="n">
        <x:f>IF(COUNT('Monthly data'!I66:I68)=3,'Monthly data'!I68-2*'Monthly data'!I67+'Monthly data'!I66,"")</x:f>
        <x:v>-1.2652999999999999</x:v>
      </x:c>
      <x:c r="O68" s="8" t="n">
        <x:f>IF(COUNT('Monthly data'!J66:J68)=3,'Monthly data'!J68-2*'Monthly data'!J67+'Monthly data'!J66,"")</x:f>
        <x:v>-0.11260000000000003</x:v>
      </x:c>
      <x:c r="P68" s="8" t="n">
        <x:f>IF(COUNT('Monthly data'!K66:K68)=3,'Monthly data'!K68-2*'Monthly data'!K67+'Monthly data'!K66,"")</x:f>
        <x:v>-1.3466000000000005</x:v>
      </x:c>
      <x:c r="Q68" s="8" t="n">
        <x:f>IF(COUNT('Monthly data'!L66:L68)=3,'Monthly data'!L68-2*'Monthly data'!L67+'Monthly data'!L66,"")</x:f>
        <x:v>-1.2189000000000003</x:v>
      </x:c>
      <x:c r="R68" s="8" t="n">
        <x:f>IF(COUNT('Monthly data'!M66:M68)=3,'Monthly data'!M68-2*'Monthly data'!M67+'Monthly data'!M66,"")</x:f>
        <x:v>0.015699999999999825</x:v>
      </x:c>
      <x:c r="S68" s="8" t="n">
        <x:f>IF(COUNT('Monthly data'!N66:N68)=3,'Monthly data'!N68-2*'Monthly data'!N67+'Monthly data'!N66,"")</x:f>
        <x:v>2.0101999999999993</x:v>
      </x:c>
      <x:c r="T68" s="8" t="n">
        <x:f>IF(COUNT('Monthly data'!E67:E68)=2,'Monthly data'!E68-'Monthly data'!E67,"")</x:f>
        <x:v>0.01672423249999966</x:v>
      </x:c>
    </x:row>
    <x:row r="69" ht="19" customHeight="1">
      <x:c r="A69" s="7" t="n">
        <x:f>'Monthly data'!A69</x:f>
        <x:v>34912</x:v>
      </x:c>
      <x:c r="B69" s="8" t="n">
        <x:f>IF(ISNUMBER('Monthly data'!F69),LN(1+'Monthly data'!F69),"")</x:f>
        <x:v>4.564556503102795</x:v>
      </x:c>
      <x:c r="C69" s="8" t="n">
        <x:f>IF(ISNUMBER('Monthly data'!G69),LN(1+'Monthly data'!G69),"")</x:f>
        <x:v>3.5528707096715753</x:v>
      </x:c>
      <x:c r="D69" s="8" t="n">
        <x:f>IF(ISNUMBER('Monthly data'!H69),LN(1+'Monthly data'!H69),"")</x:f>
        <x:v>3.318018650692702</x:v>
      </x:c>
      <x:c r="E69" s="8" t="n">
        <x:f>IF(ISNUMBER('Monthly data'!I69),LN(1+'Monthly data'!I69),"")</x:f>
        <x:v>2.725680536038346</x:v>
      </x:c>
      <x:c r="F69" s="8" t="n">
        <x:f>IF(ISNUMBER('Monthly data'!J69),LN(1+'Monthly data'!J69),"")</x:f>
        <x:v>1.7308410542586379</x:v>
      </x:c>
      <x:c r="G69" s="8" t="n">
        <x:f>IF(ISNUMBER('Monthly data'!K69),LN(1+'Monthly data'!K69),"")</x:f>
        <x:v>1.9517360029080892</x:v>
      </x:c>
      <x:c r="H69" s="8" t="n">
        <x:f>IF(ISNUMBER('Monthly data'!L69),LN(1+'Monthly data'!L69),"")</x:f>
        <x:v>0.8735919773410399</x:v>
      </x:c>
      <x:c r="I69" s="8" t="n">
        <x:f>IF(ISNUMBER('Monthly data'!M69),LN(1+'Monthly data'!M69),"")</x:f>
        <x:v>0.8424288832756998</x:v>
      </x:c>
      <x:c r="J69" s="8" t="n">
        <x:f>IF(ISNUMBER('Monthly data'!N69),LN(1+'Monthly data'!N69),"")</x:f>
        <x:v>2.0580135942662157</x:v>
      </x:c>
      <x:c r="K69" s="8" t="n">
        <x:f>IF(COUNT('Monthly data'!F67:F69)=3,'Monthly data'!F69-2*'Monthly data'!F68+'Monthly data'!F67,"")</x:f>
        <x:v>12.22999999999999</x:v>
      </x:c>
      <x:c r="L69" s="8" t="n">
        <x:f>IF(COUNT('Monthly data'!G67:G69)=3,'Monthly data'!G69-2*'Monthly data'!G68+'Monthly data'!G67,"")</x:f>
        <x:v>-4.517299999999999</x:v>
      </x:c>
      <x:c r="M69" s="8" t="n">
        <x:f>IF(COUNT('Monthly data'!H67:H69)=3,'Monthly data'!H69-2*'Monthly data'!H68+'Monthly data'!H67,"")</x:f>
        <x:v>4.9079000000000015</x:v>
      </x:c>
      <x:c r="N69" s="8" t="n">
        <x:f>IF(COUNT('Monthly data'!I67:I69)=3,'Monthly data'!I69-2*'Monthly data'!I68+'Monthly data'!I67,"")</x:f>
        <x:v>5.895100000000001</x:v>
      </x:c>
      <x:c r="O69" s="8" t="n">
        <x:f>IF(COUNT('Monthly data'!J67:J69)=3,'Monthly data'!J69-2*'Monthly data'!J68+'Monthly data'!J67,"")</x:f>
        <x:v>-3.2271</x:v>
      </x:c>
      <x:c r="P69" s="8" t="n">
        <x:f>IF(COUNT('Monthly data'!K67:K69)=3,'Monthly data'!K69-2*'Monthly data'!K68+'Monthly data'!K67,"")</x:f>
        <x:v>5.142</x:v>
      </x:c>
      <x:c r="Q69" s="8" t="n">
        <x:f>IF(COUNT('Monthly data'!L67:L69)=3,'Monthly data'!L69-2*'Monthly data'!L68+'Monthly data'!L67,"")</x:f>
        <x:v>0.8210000000000002</x:v>
      </x:c>
      <x:c r="R69" s="8" t="n">
        <x:f>IF(COUNT('Monthly data'!M67:M69)=3,'Monthly data'!M69-2*'Monthly data'!M68+'Monthly data'!M67,"")</x:f>
        <x:v>2.7982</x:v>
      </x:c>
      <x:c r="S69" s="8" t="n">
        <x:f>IF(COUNT('Monthly data'!N67:N69)=3,'Monthly data'!N69-2*'Monthly data'!N68+'Monthly data'!N67,"")</x:f>
        <x:v>0.410400000000001</x:v>
      </x:c>
      <x:c r="T69" s="8" t="n">
        <x:f>IF(COUNT('Monthly data'!E68:E69)=2,'Monthly data'!E69-'Monthly data'!E68,"")</x:f>
        <x:v>-0.0008532040000002183</x:v>
      </x:c>
    </x:row>
    <x:row r="70" ht="19" customHeight="1">
      <x:c r="A70" s="7" t="n">
        <x:f>'Monthly data'!A70</x:f>
        <x:v>34943</x:v>
      </x:c>
      <x:c r="B70" s="8" t="n">
        <x:f>IF(ISNUMBER('Monthly data'!F70),LN(1+'Monthly data'!F70),"")</x:f>
        <x:v>4.383151002335591</x:v>
      </x:c>
      <x:c r="C70" s="8" t="n">
        <x:f>IF(ISNUMBER('Monthly data'!G70),LN(1+'Monthly data'!G70),"")</x:f>
        <x:v>3.2705456483597706</x:v>
      </x:c>
      <x:c r="D70" s="8" t="n">
        <x:f>IF(ISNUMBER('Monthly data'!H70),LN(1+'Monthly data'!H70),"")</x:f>
        <x:v>3.2115611376528603</x:v>
      </x:c>
      <x:c r="E70" s="8" t="n">
        <x:f>IF(ISNUMBER('Monthly data'!I70),LN(1+'Monthly data'!I70),"")</x:f>
        <x:v>2.432990354358051</x:v>
      </x:c>
      <x:c r="F70" s="8" t="n">
        <x:f>IF(ISNUMBER('Monthly data'!J70),LN(1+'Monthly data'!J70),"")</x:f>
        <x:v>1.9434499824684874</x:v>
      </x:c>
      <x:c r="G70" s="8" t="n">
        <x:f>IF(ISNUMBER('Monthly data'!K70),LN(1+'Monthly data'!K70),"")</x:f>
        <x:v>1.7853053528215899</x:v>
      </x:c>
      <x:c r="H70" s="8" t="n">
        <x:f>IF(ISNUMBER('Monthly data'!L70),LN(1+'Monthly data'!L70),"")</x:f>
        <x:v>0.6794538534279427</x:v>
      </x:c>
      <x:c r="I70" s="8" t="n">
        <x:f>IF(ISNUMBER('Monthly data'!M70),LN(1+'Monthly data'!M70),"")</x:f>
        <x:v>0.6876319998718351</x:v>
      </x:c>
      <x:c r="J70" s="8" t="n">
        <x:f>IF(ISNUMBER('Monthly data'!N70),LN(1+'Monthly data'!N70),"")</x:f>
        <x:v>2.0343918731261117</x:v>
      </x:c>
      <x:c r="K70" s="8" t="n">
        <x:f>IF(COUNT('Monthly data'!F68:F70)=3,'Monthly data'!F70-2*'Monthly data'!F69+'Monthly data'!F68,"")</x:f>
        <x:v>-22.779999999999987</x:v>
      </x:c>
      <x:c r="L70" s="8" t="n">
        <x:f>IF(COUNT('Monthly data'!G68:G70)=3,'Monthly data'!G70-2*'Monthly data'!G69+'Monthly data'!G68,"")</x:f>
        <x:v>-6.7357000000000085</x:v>
      </x:c>
      <x:c r="M70" s="8" t="n">
        <x:f>IF(COUNT('Monthly data'!H68:H70)=3,'Monthly data'!H70-2*'Monthly data'!H69+'Monthly data'!H68,"")</x:f>
        <x:v>-5.3652000000000015</x:v>
      </x:c>
      <x:c r="N70" s="8" t="n">
        <x:f>IF(COUNT('Monthly data'!I68:I70)=3,'Monthly data'!I70-2*'Monthly data'!I69+'Monthly data'!I68,"")</x:f>
        <x:v>-7.538200000000003</x:v>
      </x:c>
      <x:c r="O70" s="8" t="n">
        <x:f>IF(COUNT('Monthly data'!J68:J70)=3,'Monthly data'!J70-2*'Monthly data'!J69+'Monthly data'!J68,"")</x:f>
        <x:v>3.1914999999999996</x:v>
      </x:c>
      <x:c r="P70" s="8" t="n">
        <x:f>IF(COUNT('Monthly data'!K68:K70)=3,'Monthly data'!K70-2*'Monthly data'!K69+'Monthly data'!K68,"")</x:f>
        <x:v>-4.415299999999999</x:v>
      </x:c>
      <x:c r="Q70" s="8" t="n">
        <x:f>IF(COUNT('Monthly data'!L68:L70)=3,'Monthly data'!L70-2*'Monthly data'!L69+'Monthly data'!L68,"")</x:f>
        <x:v>-1.0012</x:v>
      </x:c>
      <x:c r="R70" s="8" t="n">
        <x:f>IF(COUNT('Monthly data'!M68:M70)=3,'Monthly data'!M70-2*'Monthly data'!M69+'Monthly data'!M68,"")</x:f>
        <x:v>-0.11180000000000034</x:v>
      </x:c>
      <x:c r="S70" s="8" t="n">
        <x:f>IF(COUNT('Monthly data'!N68:N70)=3,'Monthly data'!N70-2*'Monthly data'!N69+'Monthly data'!N68,"")</x:f>
        <x:v>-0.8042000000000007</x:v>
      </x:c>
      <x:c r="T70" s="8" t="n">
        <x:f>IF(COUNT('Monthly data'!E69:E70)=2,'Monthly data'!E70-'Monthly data'!E69,"")</x:f>
        <x:v>0.00427050810000118</x:v>
      </x:c>
    </x:row>
    <x:row r="71" ht="19" customHeight="1">
      <x:c r="A71" s="7" t="n">
        <x:f>'Monthly data'!A71</x:f>
        <x:v>34973</x:v>
      </x:c>
      <x:c r="B71" s="8" t="n">
        <x:f>IF(ISNUMBER('Monthly data'!F71),LN(1+'Monthly data'!F71),"")</x:f>
        <x:v>4.126650396974016</x:v>
      </x:c>
      <x:c r="C71" s="8" t="n">
        <x:f>IF(ISNUMBER('Monthly data'!G71),LN(1+'Monthly data'!G71),"")</x:f>
        <x:v>2.79284467813957</x:v>
      </x:c>
      <x:c r="D71" s="8" t="n">
        <x:f>IF(ISNUMBER('Monthly data'!H71),LN(1+'Monthly data'!H71),"")</x:f>
        <x:v>3.1216862801634653</x:v>
      </x:c>
      <x:c r="E71" s="8" t="n">
        <x:f>IF(ISNUMBER('Monthly data'!I71),LN(1+'Monthly data'!I71),"")</x:f>
        <x:v>2.3577075467842823</x:v>
      </x:c>
      <x:c r="F71" s="8" t="n">
        <x:f>IF(ISNUMBER('Monthly data'!J71),LN(1+'Monthly data'!J71),"")</x:f>
        <x:v>1.7038931814517695</x:v>
      </x:c>
      <x:c r="G71" s="8" t="n">
        <x:f>IF(ISNUMBER('Monthly data'!K71),LN(1+'Monthly data'!K71),"")</x:f>
        <x:v>1.2730416729250338</x:v>
      </x:c>
      <x:c r="H71" s="8" t="n">
        <x:f>IF(ISNUMBER('Monthly data'!L71),LN(1+'Monthly data'!L71),"")</x:f>
        <x:v>0.6172375864595954</x:v>
      </x:c>
      <x:c r="I71" s="8" t="n">
        <x:f>IF(ISNUMBER('Monthly data'!M71),LN(1+'Monthly data'!M71),"")</x:f>
        <x:v>1.0111644528077992</x:v>
      </x:c>
      <x:c r="J71" s="8" t="n">
        <x:f>IF(ISNUMBER('Monthly data'!N71),LN(1+'Monthly data'!N71),"")</x:f>
        <x:v>1.7442659640329068</x:v>
      </x:c>
      <x:c r="K71" s="8" t="n">
        <x:f>IF(COUNT('Monthly data'!F69:F71)=3,'Monthly data'!F71-2*'Monthly data'!F70+'Monthly data'!F69,"")</x:f>
        <x:v>-2.190000000000012</x:v>
      </x:c>
      <x:c r="L71" s="8" t="n">
        <x:f>IF(COUNT('Monthly data'!G69:G71)=3,'Monthly data'!G71-2*'Monthly data'!G70+'Monthly data'!G69,"")</x:f>
        <x:v>-1.4105999999999952</x:v>
      </x:c>
      <x:c r="M71" s="8" t="n">
        <x:f>IF(COUNT('Monthly data'!H69:H71)=3,'Monthly data'!H71-2*'Monthly data'!H70+'Monthly data'!H69,"")</x:f>
        <x:v>0.6546000000000021</x:v>
      </x:c>
      <x:c r="N71" s="8" t="n">
        <x:f>IF(COUNT('Monthly data'!I69:I71)=3,'Monthly data'!I71-2*'Monthly data'!I70+'Monthly data'!I69,"")</x:f>
        <x:v>3.0477000000000025</x:v>
      </x:c>
      <x:c r="O71" s="8" t="n">
        <x:f>IF(COUNT('Monthly data'!J69:J71)=3,'Monthly data'!J71-2*'Monthly data'!J70+'Monthly data'!J69,"")</x:f>
        <x:v>-2.8248999999999995</x:v>
      </x:c>
      <x:c r="P71" s="8" t="n">
        <x:f>IF(COUNT('Monthly data'!K69:K71)=3,'Monthly data'!K71-2*'Monthly data'!K70+'Monthly data'!K69,"")</x:f>
        <x:v>-1.310200000000001</x:v>
      </x:c>
      <x:c r="Q71" s="8" t="n">
        <x:f>IF(COUNT('Monthly data'!L69:L71)=3,'Monthly data'!L71-2*'Monthly data'!L70+'Monthly data'!L69,"")</x:f>
        <x:v>0.30369999999999986</x:v>
      </x:c>
      <x:c r="R71" s="8" t="n">
        <x:f>IF(COUNT('Monthly data'!M69:M71)=3,'Monthly data'!M71-2*'Monthly data'!M70+'Monthly data'!M69,"")</x:f>
        <x:v>1.0928</x:v>
      </x:c>
      <x:c r="S71" s="8" t="n">
        <x:f>IF(COUNT('Monthly data'!N69:N71)=3,'Monthly data'!N71-2*'Monthly data'!N70+'Monthly data'!N69,"")</x:f>
        <x:v>-1.7430999999999992</x:v>
      </x:c>
      <x:c r="T71" s="8" t="n">
        <x:f>IF(COUNT('Monthly data'!E70:E71)=2,'Monthly data'!E71-'Monthly data'!E70,"")</x:f>
        <x:v>-0.008118756700000063</x:v>
      </x:c>
    </x:row>
    <x:row r="72" ht="19" customHeight="1">
      <x:c r="A72" s="7" t="n">
        <x:f>'Monthly data'!A72</x:f>
        <x:v>35004</x:v>
      </x:c>
      <x:c r="B72" s="8" t="n">
        <x:f>IF(ISNUMBER('Monthly data'!F72),LN(1+'Monthly data'!F72),"")</x:f>
        <x:v>4.396792086874355</x:v>
      </x:c>
      <x:c r="C72" s="8" t="n">
        <x:f>IF(ISNUMBER('Monthly data'!G72),LN(1+'Monthly data'!G72),"")</x:f>
        <x:v>2.826437498600073</x:v>
      </x:c>
      <x:c r="D72" s="8" t="n">
        <x:f>IF(ISNUMBER('Monthly data'!H72),LN(1+'Monthly data'!H72),"")</x:f>
        <x:v>3.3945654388641073</x:v>
      </x:c>
      <x:c r="E72" s="8" t="n">
        <x:f>IF(ISNUMBER('Monthly data'!I72),LN(1+'Monthly data'!I72),"")</x:f>
        <x:v>2.8833918997062873</x:v>
      </x:c>
      <x:c r="F72" s="8" t="n">
        <x:f>IF(ISNUMBER('Monthly data'!J72),LN(1+'Monthly data'!J72),"")</x:f>
        <x:v>2.2242342865813765</x:v>
      </x:c>
      <x:c r="G72" s="8" t="n">
        <x:f>IF(ISNUMBER('Monthly data'!K72),LN(1+'Monthly data'!K72),"")</x:f>
        <x:v>0.9677060188203108</x:v>
      </x:c>
      <x:c r="H72" s="8" t="n">
        <x:f>IF(ISNUMBER('Monthly data'!L72),LN(1+'Monthly data'!L72),"")</x:f>
        <x:v>0.20351210936498243</x:v>
      </x:c>
      <x:c r="I72" s="8" t="n">
        <x:f>IF(ISNUMBER('Monthly data'!M72),LN(1+'Monthly data'!M72),"")</x:f>
        <x:v>1.33828514193353</x:v>
      </x:c>
      <x:c r="J72" s="8" t="n">
        <x:f>IF(ISNUMBER('Monthly data'!N72),LN(1+'Monthly data'!N72),"")</x:f>
        <x:v>1.9038522720992601</x:v>
      </x:c>
      <x:c r="K72" s="8" t="n">
        <x:f>IF(COUNT('Monthly data'!F70:F72)=3,'Monthly data'!F72-2*'Monthly data'!F71+'Monthly data'!F70,"")</x:f>
        <x:v>37.34</x:v>
      </x:c>
      <x:c r="L72" s="8" t="n">
        <x:f>IF(COUNT('Monthly data'!G70:G72)=3,'Monthly data'!G72-2*'Monthly data'!G71+'Monthly data'!G70,"")</x:f>
        <x:v>10.556099999999999</x:v>
      </x:c>
      <x:c r="M72" s="8" t="n">
        <x:f>IF(COUNT('Monthly data'!H70:H72)=3,'Monthly data'!H72-2*'Monthly data'!H71+'Monthly data'!H70,"")</x:f>
        <x:v>9.2503</x:v>
      </x:c>
      <x:c r="N72" s="8" t="n">
        <x:f>IF(COUNT('Monthly data'!I70:I72)=3,'Monthly data'!I72-2*'Monthly data'!I71+'Monthly data'!I70,"")</x:f>
        <x:v>8.134299999999998</x:v>
      </x:c>
      <x:c r="O72" s="8" t="n">
        <x:f>IF(COUNT('Monthly data'!J70:J72)=3,'Monthly data'!J72-2*'Monthly data'!J71+'Monthly data'!J70,"")</x:f>
        <x:v>5.238599999999999</x:v>
      </x:c>
      <x:c r="P72" s="8" t="n">
        <x:f>IF(COUNT('Monthly data'!K70:K72)=3,'Monthly data'!K72-2*'Monthly data'!K71+'Monthly data'!K70,"")</x:f>
        <x:v>1.4499000000000004</x:v>
      </x:c>
      <x:c r="Q72" s="8" t="n">
        <x:f>IF(COUNT('Monthly data'!L70:L72)=3,'Monthly data'!L72-2*'Monthly data'!L71+'Monthly data'!L70,"")</x:f>
        <x:v>-0.5091</x:v>
      </x:c>
      <x:c r="R72" s="8" t="n">
        <x:f>IF(COUNT('Monthly data'!M70:M72)=3,'Monthly data'!M72-2*'Monthly data'!M71+'Monthly data'!M70,"")</x:f>
        <x:v>0.30390000000000017</x:v>
      </x:c>
      <x:c r="S72" s="8" t="n">
        <x:f>IF(COUNT('Monthly data'!N70:N72)=3,'Monthly data'!N72-2*'Monthly data'!N71+'Monthly data'!N70,"")</x:f>
        <x:v>2.9158999999999997</x:v>
      </x:c>
      <x:c r="T72" s="8" t="n">
        <x:f>IF(COUNT('Monthly data'!E71:E72)=2,'Monthly data'!E72-'Monthly data'!E71,"")</x:f>
        <x:v>0.011946559200000095</x:v>
      </x:c>
    </x:row>
    <x:row r="73" ht="19" customHeight="1">
      <x:c r="A73" s="7" t="n">
        <x:f>'Monthly data'!A73</x:f>
        <x:v>35034</x:v>
      </x:c>
      <x:c r="B73" s="8" t="n">
        <x:f>IF(ISNUMBER('Monthly data'!F73),LN(1+'Monthly data'!F73),"")</x:f>
        <x:v>4.414493824811383</x:v>
      </x:c>
      <x:c r="C73" s="8" t="n">
        <x:f>IF(ISNUMBER('Monthly data'!G73),LN(1+'Monthly data'!G73),"")</x:f>
        <x:v>3.4290135661032646</x:v>
      </x:c>
      <x:c r="D73" s="8" t="n">
        <x:f>IF(ISNUMBER('Monthly data'!H73),LN(1+'Monthly data'!H73),"")</x:f>
        <x:v>3.2604974995590204</x:v>
      </x:c>
      <x:c r="E73" s="8" t="n">
        <x:f>IF(ISNUMBER('Monthly data'!I73),LN(1+'Monthly data'!I73),"")</x:f>
        <x:v>2.180519148764515</x:v>
      </x:c>
      <x:c r="F73" s="8" t="n">
        <x:f>IF(ISNUMBER('Monthly data'!J73),LN(1+'Monthly data'!J73),"")</x:f>
        <x:v>1.8493677818483685</x:v>
      </x:c>
      <x:c r="G73" s="8" t="n">
        <x:f>IF(ISNUMBER('Monthly data'!K73),LN(1+'Monthly data'!K73),"")</x:f>
        <x:v>1.5549183666582955</x:v>
      </x:c>
      <x:c r="H73" s="8" t="n">
        <x:f>IF(ISNUMBER('Monthly data'!L73),LN(1+'Monthly data'!L73),"")</x:f>
        <x:v>0.11964796226589584</x:v>
      </x:c>
      <x:c r="I73" s="8" t="n">
        <x:f>IF(ISNUMBER('Monthly data'!M73),LN(1+'Monthly data'!M73),"")</x:f>
        <x:v>0.7774883289936962</x:v>
      </x:c>
      <x:c r="J73" s="8" t="n">
        <x:f>IF(ISNUMBER('Monthly data'!N73),LN(1+'Monthly data'!N73),"")</x:f>
        <x:v>2.2498802765620174</x:v>
      </x:c>
      <x:c r="K73" s="8" t="n">
        <x:f>IF(COUNT('Monthly data'!F71:F73)=3,'Monthly data'!F73-2*'Monthly data'!F72+'Monthly data'!F71,"")</x:f>
        <x:v>-17.769999999999996</x:v>
      </x:c>
      <x:c r="L73" s="8" t="n">
        <x:f>IF(COUNT('Monthly data'!G71:G73)=3,'Monthly data'!G73-2*'Monthly data'!G72+'Monthly data'!G71,"")</x:f>
        <x:v>13.403200000000002</x:v>
      </x:c>
      <x:c r="M73" s="8" t="n">
        <x:f>IF(COUNT('Monthly data'!H71:H73)=3,'Monthly data'!H73-2*'Monthly data'!H72+'Monthly data'!H71,"")</x:f>
        <x:v>-10.856300000000001</x:v>
      </x:c>
      <x:c r="N73" s="8" t="n">
        <x:f>IF(COUNT('Monthly data'!I71:I73)=3,'Monthly data'!I73-2*'Monthly data'!I72+'Monthly data'!I71,"")</x:f>
        <x:v>-16.332</x:v>
      </x:c>
      <x:c r="O73" s="8" t="n">
        <x:f>IF(COUNT('Monthly data'!J71:J73)=3,'Monthly data'!J73-2*'Monthly data'!J72+'Monthly data'!J71,"")</x:f>
        <x:v>-6.641699999999998</x:v>
      </x:c>
      <x:c r="P73" s="8" t="n">
        <x:f>IF(COUNT('Monthly data'!K71:K73)=3,'Monthly data'!K73-2*'Monthly data'!K72+'Monthly data'!K71,"")</x:f>
        <x:v>3.0426</x:v>
      </x:c>
      <x:c r="Q73" s="8" t="n">
        <x:f>IF(COUNT('Monthly data'!L71:L73)=3,'Monthly data'!L73-2*'Monthly data'!L72+'Monthly data'!L71,"")</x:f>
        <x:v>0.5295</x:v>
      </x:c>
      <x:c r="R73" s="8" t="n">
        <x:f>IF(COUNT('Monthly data'!M71:M73)=3,'Monthly data'!M73-2*'Monthly data'!M72+'Monthly data'!M71,"")</x:f>
        <x:v>-2.7001999999999997</x:v>
      </x:c>
      <x:c r="S73" s="8" t="n">
        <x:f>IF(COUNT('Monthly data'!N71:N73)=3,'Monthly data'!N73-2*'Monthly data'!N72+'Monthly data'!N71,"")</x:f>
        <x:v>1.7848999999999986</x:v>
      </x:c>
      <x:c r="T73" s="8" t="n">
        <x:f>IF(COUNT('Monthly data'!E72:E73)=2,'Monthly data'!E73-'Monthly data'!E72,"")</x:f>
        <x:v>-0.0011726485000007614</x:v>
      </x:c>
    </x:row>
    <x:row r="74" ht="19" customHeight="1">
      <x:c r="A74" s="7" t="n">
        <x:f>'Monthly data'!A74</x:f>
        <x:v>35065</x:v>
      </x:c>
      <x:c r="B74" s="8" t="n">
        <x:f>IF(ISNUMBER('Monthly data'!F74),LN(1+'Monthly data'!F74),"")</x:f>
        <x:v>4.2922386792828595</x:v>
      </x:c>
      <x:c r="C74" s="8" t="n">
        <x:f>IF(ISNUMBER('Monthly data'!G74),LN(1+'Monthly data'!G74),"")</x:f>
        <x:v>3.1246706343383</x:v>
      </x:c>
      <x:c r="D74" s="8" t="n">
        <x:f>IF(ISNUMBER('Monthly data'!H74),LN(1+'Monthly data'!H74),"")</x:f>
        <x:v>3.201326736444811</x:v>
      </x:c>
      <x:c r="E74" s="8" t="n">
        <x:f>IF(ISNUMBER('Monthly data'!I74),LN(1+'Monthly data'!I74),"")</x:f>
        <x:v>2.309679865469912</x:v>
      </x:c>
      <x:c r="F74" s="8" t="n">
        <x:f>IF(ISNUMBER('Monthly data'!J74),LN(1+'Monthly data'!J74),"")</x:f>
        <x:v>2.115906056158631</x:v>
      </x:c>
      <x:c r="G74" s="8" t="n">
        <x:f>IF(ISNUMBER('Monthly data'!K74),LN(1+'Monthly data'!K74),"")</x:f>
        <x:v>1.3922018773343519</x:v>
      </x:c>
      <x:c r="H74" s="8" t="n">
        <x:f>IF(ISNUMBER('Monthly data'!L74),LN(1+'Monthly data'!L74),"")</x:f>
        <x:v>0.4515850437217175</x:v>
      </x:c>
      <x:c r="I74" s="8" t="n">
        <x:f>IF(ISNUMBER('Monthly data'!M74),LN(1+'Monthly data'!M74),"")</x:f>
        <x:v>0.6391132920674597</x:v>
      </x:c>
      <x:c r="J74" s="8" t="n">
        <x:f>IF(ISNUMBER('Monthly data'!N74),LN(1+'Monthly data'!N74),"")</x:f>
        <x:v>1.9394464471268205</x:v>
      </x:c>
      <x:c r="K74" s="8" t="n">
        <x:f>IF(COUNT('Monthly data'!F72:F74)=3,'Monthly data'!F74-2*'Monthly data'!F73+'Monthly data'!F72,"")</x:f>
        <x:v>-10.960000000000008</x:v>
      </x:c>
      <x:c r="L74" s="8" t="n">
        <x:f>IF(COUNT('Monthly data'!G72:G74)=3,'Monthly data'!G74-2*'Monthly data'!G73+'Monthly data'!G72,"")</x:f>
        <x:v>-22.0548</x:v>
      </x:c>
      <x:c r="M74" s="8" t="n">
        <x:f>IF(COUNT('Monthly data'!H72:H74)=3,'Monthly data'!H74-2*'Monthly data'!H73+'Monthly data'!H72,"")</x:f>
        <x:v>2.2418000000000013</x:v>
      </x:c>
      <x:c r="N74" s="8" t="n">
        <x:f>IF(COUNT('Monthly data'!I72:I74)=3,'Monthly data'!I74-2*'Monthly data'!I73+'Monthly data'!I72,"")</x:f>
        <x:v>10.2442</x:v>
      </x:c>
      <x:c r="O74" s="8" t="n">
        <x:f>IF(COUNT('Monthly data'!J72:J74)=3,'Monthly data'!J74-2*'Monthly data'!J73+'Monthly data'!J72,"")</x:f>
        <x:v>4.831899999999999</x:v>
      </x:c>
      <x:c r="P74" s="8" t="n">
        <x:f>IF(COUNT('Monthly data'!K72:K74)=3,'Monthly data'!K74-2*'Monthly data'!K73+'Monthly data'!K72,"")</x:f>
        <x:v>-2.8138000000000005</x:v>
      </x:c>
      <x:c r="Q74" s="8" t="n">
        <x:f>IF(COUNT('Monthly data'!L72:L74)=3,'Monthly data'!L74-2*'Monthly data'!L73+'Monthly data'!L72,"")</x:f>
        <x:v>0.5423</x:v>
      </x:c>
      <x:c r="R74" s="8" t="n">
        <x:f>IF(COUNT('Monthly data'!M72:M74)=3,'Monthly data'!M74-2*'Monthly data'!M73+'Monthly data'!M72,"")</x:f>
        <x:v>1.3553000000000002</x:v>
      </x:c>
      <x:c r="S74" s="8" t="n">
        <x:f>IF(COUNT('Monthly data'!N72:N74)=3,'Monthly data'!N74-2*'Monthly data'!N73+'Monthly data'!N72,"")</x:f>
        <x:v>-5.306599999999998</x:v>
      </x:c>
      <x:c r="T74" s="8" t="n">
        <x:f>IF(COUNT('Monthly data'!E73:E74)=2,'Monthly data'!E74-'Monthly data'!E73,"")</x:f>
        <x:v>0.002749865900000259</x:v>
      </x:c>
    </x:row>
    <x:row r="75" ht="19" customHeight="1">
      <x:c r="A75" s="7" t="n">
        <x:f>'Monthly data'!A75</x:f>
        <x:v>35096</x:v>
      </x:c>
      <x:c r="B75" s="8" t="n">
        <x:f>IF(ISNUMBER('Monthly data'!F75),LN(1+'Monthly data'!F75),"")</x:f>
        <x:v>4.401093697391107</x:v>
      </x:c>
      <x:c r="C75" s="8" t="n">
        <x:f>IF(ISNUMBER('Monthly data'!G75),LN(1+'Monthly data'!G75),"")</x:f>
        <x:v>2.7105071802553846</x:v>
      </x:c>
      <x:c r="D75" s="8" t="n">
        <x:f>IF(ISNUMBER('Monthly data'!H75),LN(1+'Monthly data'!H75),"")</x:f>
        <x:v>3.490651051602688</x:v>
      </x:c>
      <x:c r="E75" s="8" t="n">
        <x:f>IF(ISNUMBER('Monthly data'!I75),LN(1+'Monthly data'!I75),"")</x:f>
        <x:v>2.7727512090380864</x:v>
      </x:c>
      <x:c r="F75" s="8" t="n">
        <x:f>IF(ISNUMBER('Monthly data'!J75),LN(1+'Monthly data'!J75),"")</x:f>
        <x:v>2.2423360256482017</x:v>
      </x:c>
      <x:c r="G75" s="8" t="n">
        <x:f>IF(ISNUMBER('Monthly data'!K75),LN(1+'Monthly data'!K75),"")</x:f>
        <x:v>1.045633363877223</x:v>
      </x:c>
      <x:c r="H75" s="8" t="n">
        <x:f>IF(ISNUMBER('Monthly data'!L75),LN(1+'Monthly data'!L75),"")</x:f>
        <x:v>0.40553177255270756</x:v>
      </x:c>
      <x:c r="I75" s="8" t="n">
        <x:f>IF(ISNUMBER('Monthly data'!M75),LN(1+'Monthly data'!M75),"")</x:f>
        <x:v>1.440948252370938</x:v>
      </x:c>
      <x:c r="J75" s="8" t="n">
        <x:f>IF(ISNUMBER('Monthly data'!N75),LN(1+'Monthly data'!N75),"")</x:f>
        <x:v>1.9032859362767964</x:v>
      </x:c>
      <x:c r="K75" s="8" t="n">
        <x:f>IF(COUNT('Monthly data'!F73:F75)=3,'Monthly data'!F75-2*'Monthly data'!F74+'Monthly data'!F73,"")</x:f>
        <x:v>17.920000000000016</x:v>
      </x:c>
      <x:c r="L75" s="8" t="n">
        <x:f>IF(COUNT('Monthly data'!G73:G75)=3,'Monthly data'!G75-2*'Monthly data'!G74+'Monthly data'!G73,"")</x:f>
        <x:v>0.37829999999999586</x:v>
      </x:c>
      <x:c r="M75" s="8" t="n">
        <x:f>IF(COUNT('Monthly data'!H73:H75)=3,'Monthly data'!H75-2*'Monthly data'!H74+'Monthly data'!H73,"")</x:f>
        <x:v>9.7396</x:v>
      </x:c>
      <x:c r="N75" s="8" t="n">
        <x:f>IF(COUNT('Monthly data'!I73:I75)=3,'Monthly data'!I75-2*'Monthly data'!I74+'Monthly data'!I73,"")</x:f>
        <x:v>4.711100000000001</x:v>
      </x:c>
      <x:c r="O75" s="8" t="n">
        <x:f>IF(COUNT('Monthly data'!J73:J75)=3,'Monthly data'!J75-2*'Monthly data'!J74+'Monthly data'!J73,"")</x:f>
        <x:v>-0.8231000000000002</x:v>
      </x:c>
      <x:c r="P75" s="8" t="n">
        <x:f>IF(COUNT('Monthly data'!K73:K75)=3,'Monthly data'!K75-2*'Monthly data'!K74+'Monthly data'!K73,"")</x:f>
        <x:v>-0.46749999999999936</x:v>
      </x:c>
      <x:c r="Q75" s="8" t="n">
        <x:f>IF(COUNT('Monthly data'!L73:L75)=3,'Monthly data'!L75-2*'Monthly data'!L74+'Monthly data'!L73,"")</x:f>
        <x:v>-0.5144</x:v>
      </x:c>
      <x:c r="R75" s="8" t="n">
        <x:f>IF(COUNT('Monthly data'!M73:M75)=3,'Monthly data'!M75-2*'Monthly data'!M74+'Monthly data'!M73,"")</x:f>
        <x:v>2.6110999999999995</x:v>
      </x:c>
      <x:c r="S75" s="8" t="n">
        <x:f>IF(COUNT('Monthly data'!N73:N75)=3,'Monthly data'!N75-2*'Monthly data'!N74+'Monthly data'!N73,"")</x:f>
        <x:v>2.284699999999999</x:v>
      </x:c>
      <x:c r="T75" s="8" t="n">
        <x:f>IF(COUNT('Monthly data'!E74:E75)=2,'Monthly data'!E75-'Monthly data'!E74,"")</x:f>
        <x:v>0.009229614300000577</x:v>
      </x:c>
    </x:row>
    <x:row r="76" ht="19" customHeight="1">
      <x:c r="A76" s="7" t="n">
        <x:f>'Monthly data'!A76</x:f>
        <x:v>35125</x:v>
      </x:c>
      <x:c r="B76" s="8" t="n">
        <x:f>IF(ISNUMBER('Monthly data'!F76),LN(1+'Monthly data'!F76),"")</x:f>
        <x:v>4.425205848767815</x:v>
      </x:c>
      <x:c r="C76" s="8" t="n">
        <x:f>IF(ISNUMBER('Monthly data'!G76),LN(1+'Monthly data'!G76),"")</x:f>
        <x:v>2.937043277205311</x:v>
      </x:c>
      <x:c r="D76" s="8" t="n">
        <x:f>IF(ISNUMBER('Monthly data'!H76),LN(1+'Monthly data'!H76),"")</x:f>
        <x:v>3.383861309915249</x:v>
      </x:c>
      <x:c r="E76" s="8" t="n">
        <x:f>IF(ISNUMBER('Monthly data'!I76),LN(1+'Monthly data'!I76),"")</x:f>
        <x:v>2.848032409072194</x:v>
      </x:c>
      <x:c r="F76" s="8" t="n">
        <x:f>IF(ISNUMBER('Monthly data'!J76),LN(1+'Monthly data'!J76),"")</x:f>
        <x:v>2.1880829194189357</x:v>
      </x:c>
      <x:c r="G76" s="8" t="n">
        <x:f>IF(ISNUMBER('Monthly data'!K76),LN(1+'Monthly data'!K76),"")</x:f>
        <x:v>1.0000802576038381</x:v>
      </x:c>
      <x:c r="H76" s="8" t="n">
        <x:f>IF(ISNUMBER('Monthly data'!L76),LN(1+'Monthly data'!L76),"")</x:f>
        <x:v>0.16271391048774625</x:v>
      </x:c>
      <x:c r="I76" s="8" t="n">
        <x:f>IF(ISNUMBER('Monthly data'!M76),LN(1+'Monthly data'!M76),"")</x:f>
        <x:v>1.7187227179840807</x:v>
      </x:c>
      <x:c r="J76" s="8" t="n">
        <x:f>IF(ISNUMBER('Monthly data'!N76),LN(1+'Monthly data'!N76),"")</x:f>
        <x:v>1.8781053470444478</x:v>
      </x:c>
      <x:c r="K76" s="8" t="n">
        <x:f>IF(COUNT('Monthly data'!F74:F76)=3,'Monthly data'!F76-2*'Monthly data'!F75+'Monthly data'!F74,"")</x:f>
        <x:v>-6.420000000000016</x:v>
      </x:c>
      <x:c r="L76" s="8" t="n">
        <x:f>IF(COUNT('Monthly data'!G74:G76)=3,'Monthly data'!G76-2*'Monthly data'!G75+'Monthly data'!G74,"")</x:f>
        <x:v>11.538600000000002</x:v>
      </x:c>
      <x:c r="M76" s="8" t="n">
        <x:f>IF(COUNT('Monthly data'!H74:H76)=3,'Monthly data'!H76-2*'Monthly data'!H75+'Monthly data'!H74,"")</x:f>
        <x:v>-11.565100000000001</x:v>
      </x:c>
      <x:c r="N76" s="8" t="n">
        <x:f>IF(COUNT('Monthly data'!I74:I76)=3,'Monthly data'!I76-2*'Monthly data'!I75+'Monthly data'!I74,"")</x:f>
        <x:v>-4.680200000000001</x:v>
      </x:c>
      <x:c r="O76" s="8" t="n">
        <x:f>IF(COUNT('Monthly data'!J74:J76)=3,'Monthly data'!J76-2*'Monthly data'!J75+'Monthly data'!J74,"")</x:f>
        <x:v>-1.615400000000001</x:v>
      </x:c>
      <x:c r="P76" s="8" t="n">
        <x:f>IF(COUNT('Monthly data'!K74:K76)=3,'Monthly data'!K76-2*'Monthly data'!K75+'Monthly data'!K74,"")</x:f>
        <x:v>1.0517999999999998</x:v>
      </x:c>
      <x:c r="Q76" s="8" t="n">
        <x:f>IF(COUNT('Monthly data'!L74:L76)=3,'Monthly data'!L76-2*'Monthly data'!L75+'Monthly data'!L74,"")</x:f>
        <x:v>-0.25270000000000004</x:v>
      </x:c>
      <x:c r="R76" s="8" t="n">
        <x:f>IF(COUNT('Monthly data'!M74:M76)=3,'Monthly data'!M76-2*'Monthly data'!M75+'Monthly data'!M74,"")</x:f>
        <x:v>-0.9771999999999998</x:v>
      </x:c>
      <x:c r="S76" s="8" t="n">
        <x:f>IF(COUNT('Monthly data'!N74:N76)=3,'Monthly data'!N76-2*'Monthly data'!N75+'Monthly data'!N74,"")</x:f>
        <x:v>0.0801999999999996</x:v>
      </x:c>
      <x:c r="T76" s="8" t="n">
        <x:f>IF(COUNT('Monthly data'!E75:E76)=2,'Monthly data'!E76-'Monthly data'!E75,"")</x:f>
        <x:v>-0.004412936899999664</x:v>
      </x:c>
    </x:row>
    <x:row r="77" ht="19" customHeight="1">
      <x:c r="A77" s="7" t="n">
        <x:f>'Monthly data'!A77</x:f>
        <x:v>35156</x:v>
      </x:c>
      <x:c r="B77" s="8" t="n">
        <x:f>IF(ISNUMBER('Monthly data'!F77),LN(1+'Monthly data'!F77),"")</x:f>
        <x:v>4.553666343120976</x:v>
      </x:c>
      <x:c r="C77" s="8" t="n">
        <x:f>IF(ISNUMBER('Monthly data'!G77),LN(1+'Monthly data'!G77),"")</x:f>
        <x:v>3.3797149442746766</x:v>
      </x:c>
      <x:c r="D77" s="8" t="n">
        <x:f>IF(ISNUMBER('Monthly data'!H77),LN(1+'Monthly data'!H77),"")</x:f>
        <x:v>3.472239707138393</x:v>
      </x:c>
      <x:c r="E77" s="8" t="n">
        <x:f>IF(ISNUMBER('Monthly data'!I77),LN(1+'Monthly data'!I77),"")</x:f>
        <x:v>2.398286105504227</x:v>
      </x:c>
      <x:c r="F77" s="8" t="n">
        <x:f>IF(ISNUMBER('Monthly data'!J77),LN(1+'Monthly data'!J77),"")</x:f>
        <x:v>2.634396484733064</x:v>
      </x:c>
      <x:c r="G77" s="8" t="n">
        <x:f>IF(ISNUMBER('Monthly data'!K77),LN(1+'Monthly data'!K77),"")</x:f>
        <x:v>1.2977636487063258</x:v>
      </x:c>
      <x:c r="H77" s="8" t="n">
        <x:f>IF(ISNUMBER('Monthly data'!L77),LN(1+'Monthly data'!L77),"")</x:f>
        <x:v>0.7788660559624829</x:v>
      </x:c>
      <x:c r="I77" s="8" t="n">
        <x:f>IF(ISNUMBER('Monthly data'!M77),LN(1+'Monthly data'!M77),"")</x:f>
        <x:v>1.0182695359855711</x:v>
      </x:c>
      <x:c r="J77" s="8" t="n">
        <x:f>IF(ISNUMBER('Monthly data'!N77),LN(1+'Monthly data'!N77),"")</x:f>
        <x:v>1.9258677787373575</x:v>
      </x:c>
      <x:c r="K77" s="8" t="n">
        <x:f>IF(COUNT('Monthly data'!F75:F77)=3,'Monthly data'!F77-2*'Monthly data'!F76+'Monthly data'!F75,"")</x:f>
        <x:v>9.460000000000008</x:v>
      </x:c>
      <x:c r="L77" s="8" t="n">
        <x:f>IF(COUNT('Monthly data'!G75:G77)=3,'Monthly data'!G77-2*'Monthly data'!G76+'Monthly data'!G75,"")</x:f>
        <x:v>6.679300000000001</x:v>
      </x:c>
      <x:c r="M77" s="8" t="n">
        <x:f>IF(COUNT('Monthly data'!H75:H77)=3,'Monthly data'!H77-2*'Monthly data'!H76+'Monthly data'!H75,"")</x:f>
        <x:v>6.0473</x:v>
      </x:c>
      <x:c r="N77" s="8" t="n">
        <x:f>IF(COUNT('Monthly data'!I75:I77)=3,'Monthly data'!I77-2*'Monthly data'!I76+'Monthly data'!I75,"")</x:f>
        <x:v>-7.500699999999997</x:v>
      </x:c>
      <x:c r="O77" s="8" t="n">
        <x:f>IF(COUNT('Monthly data'!J75:J77)=3,'Monthly data'!J77-2*'Monthly data'!J76+'Monthly data'!J75,"")</x:f>
        <x:v>5.514000000000001</x:v>
      </x:c>
      <x:c r="P77" s="8" t="n">
        <x:f>IF(COUNT('Monthly data'!K75:K77)=3,'Monthly data'!K77-2*'Monthly data'!K76+'Monthly data'!K75,"")</x:f>
        <x:v>1.0693</x:v>
      </x:c>
      <x:c r="Q77" s="8" t="n">
        <x:f>IF(COUNT('Monthly data'!L75:L77)=3,'Monthly data'!L77-2*'Monthly data'!L76+'Monthly data'!L75,"")</x:f>
        <x:v>1.3257</x:v>
      </x:c>
      <x:c r="R77" s="8" t="n">
        <x:f>IF(COUNT('Monthly data'!M75:M77)=3,'Monthly data'!M77-2*'Monthly data'!M76+'Monthly data'!M75,"")</x:f>
        <x:v>-4.1617</x:v>
      </x:c>
      <x:c r="S77" s="8" t="n">
        <x:f>IF(COUNT('Monthly data'!N75:N77)=3,'Monthly data'!N77-2*'Monthly data'!N76+'Monthly data'!N75,"")</x:f>
        <x:v>0.48680000000000057</x:v>
      </x:c>
      <x:c r="T77" s="8" t="n">
        <x:f>IF(COUNT('Monthly data'!E76:E77)=2,'Monthly data'!E77-'Monthly data'!E76,"")</x:f>
        <x:v>-0.003541433100000546</x:v>
      </x:c>
    </x:row>
    <x:row r="78" ht="19" customHeight="1">
      <x:c r="A78" s="7" t="n">
        <x:f>'Monthly data'!A78</x:f>
        <x:v>35186</x:v>
      </x:c>
      <x:c r="B78" s="8" t="n">
        <x:f>IF(ISNUMBER('Monthly data'!F78),LN(1+'Monthly data'!F78),"")</x:f>
        <x:v>4.326249619204884</x:v>
      </x:c>
      <x:c r="C78" s="8" t="n">
        <x:f>IF(ISNUMBER('Monthly data'!G78),LN(1+'Monthly data'!G78),"")</x:f>
        <x:v>2.5449664062156634</x:v>
      </x:c>
      <x:c r="D78" s="8" t="n">
        <x:f>IF(ISNUMBER('Monthly data'!H78),LN(1+'Monthly data'!H78),"")</x:f>
        <x:v>3.3306318456148825</x:v>
      </x:c>
      <x:c r="E78" s="8" t="n">
        <x:f>IF(ISNUMBER('Monthly data'!I78),LN(1+'Monthly data'!I78),"")</x:f>
        <x:v>2.0218124288431993</x:v>
      </x:c>
      <x:c r="F78" s="8" t="n">
        <x:f>IF(ISNUMBER('Monthly data'!J78),LN(1+'Monthly data'!J78),"")</x:f>
        <x:v>2.6146694920048454</x:v>
      </x:c>
      <x:c r="G78" s="8" t="n">
        <x:f>IF(ISNUMBER('Monthly data'!K78),LN(1+'Monthly data'!K78),"")</x:f>
        <x:v>1.2436357273823118</x:v>
      </x:c>
      <x:c r="H78" s="8" t="n">
        <x:f>IF(ISNUMBER('Monthly data'!L78),LN(1+'Monthly data'!L78),"")</x:f>
        <x:v>0.7593561806702807</x:v>
      </x:c>
      <x:c r="I78" s="8" t="n">
        <x:f>IF(ISNUMBER('Monthly data'!M78),LN(1+'Monthly data'!M78),"")</x:f>
        <x:v>2.020818820971569</x:v>
      </x:c>
      <x:c r="J78" s="8" t="n">
        <x:f>IF(ISNUMBER('Monthly data'!N78),LN(1+'Monthly data'!N78),"")</x:f>
        <x:v>2.0277402693437567</x:v>
      </x:c>
      <x:c r="K78" s="8" t="n">
        <x:f>IF(COUNT('Monthly data'!F76:F78)=3,'Monthly data'!F78-2*'Monthly data'!F77+'Monthly data'!F76,"")</x:f>
        <x:v>-30.77000000000001</x:v>
      </x:c>
      <x:c r="L78" s="8" t="n">
        <x:f>IF(COUNT('Monthly data'!G76:G78)=3,'Monthly data'!G78-2*'Monthly data'!G77+'Monthly data'!G76,"")</x:f>
        <x:v>-27.122</x:v>
      </x:c>
      <x:c r="M78" s="8" t="n">
        <x:f>IF(COUNT('Monthly data'!H76:H78)=3,'Monthly data'!H78-2*'Monthly data'!H77+'Monthly data'!H76,"")</x:f>
        <x:v>-6.977200000000003</x:v>
      </x:c>
      <x:c r="N78" s="8" t="n">
        <x:f>IF(COUNT('Monthly data'!I76:I78)=3,'Monthly data'!I78-2*'Monthly data'!I77+'Monthly data'!I76,"")</x:f>
        <x:v>2.7971999999999966</x:v>
      </x:c>
      <x:c r="O78" s="8" t="n">
        <x:f>IF(COUNT('Monthly data'!J76:J78)=3,'Monthly data'!J78-2*'Monthly data'!J77+'Monthly data'!J76,"")</x:f>
        <x:v>-5.289000000000002</x:v>
      </x:c>
      <x:c r="P78" s="8" t="n">
        <x:f>IF(COUNT('Monthly data'!K76:K78)=3,'Monthly data'!K78-2*'Monthly data'!K77+'Monthly data'!K76,"")</x:f>
        <x:v>-1.1354999999999997</x:v>
      </x:c>
      <x:c r="Q78" s="8" t="n">
        <x:f>IF(COUNT('Monthly data'!L76:L78)=3,'Monthly data'!L78-2*'Monthly data'!L77+'Monthly data'!L76,"")</x:f>
        <x:v>-1.0444</x:v>
      </x:c>
      <x:c r="R78" s="8" t="n">
        <x:f>IF(COUNT('Monthly data'!M76:M78)=3,'Monthly data'!M78-2*'Monthly data'!M77+'Monthly data'!M76,"")</x:f>
        <x:v>7.585100000000001</x:v>
      </x:c>
      <x:c r="S78" s="8" t="n">
        <x:f>IF(COUNT('Monthly data'!N76:N78)=3,'Monthly data'!N78-2*'Monthly data'!N77+'Monthly data'!N76,"")</x:f>
        <x:v>0.41579999999999906</x:v>
      </x:c>
      <x:c r="T78" s="8" t="n">
        <x:f>IF(COUNT('Monthly data'!E77:E78)=2,'Monthly data'!E78-'Monthly data'!E77,"")</x:f>
        <x:v>-0.006209292499999464</x:v>
      </x:c>
    </x:row>
    <x:row r="79" ht="19" customHeight="1">
      <x:c r="A79" s="7" t="n">
        <x:f>'Monthly data'!A79</x:f>
        <x:v>35217</x:v>
      </x:c>
      <x:c r="B79" s="8" t="n">
        <x:f>IF(ISNUMBER('Monthly data'!F79),LN(1+'Monthly data'!F79),"")</x:f>
        <x:v>4.387262901469128</x:v>
      </x:c>
      <x:c r="C79" s="8" t="n">
        <x:f>IF(ISNUMBER('Monthly data'!G79),LN(1+'Monthly data'!G79),"")</x:f>
        <x:v>2.2301111696704385</x:v>
      </x:c>
      <x:c r="D79" s="8" t="n">
        <x:f>IF(ISNUMBER('Monthly data'!H79),LN(1+'Monthly data'!H79),"")</x:f>
        <x:v>3.612176579649925</x:v>
      </x:c>
      <x:c r="E79" s="8" t="n">
        <x:f>IF(ISNUMBER('Monthly data'!I79),LN(1+'Monthly data'!I79),"")</x:f>
        <x:v>2.7394390430095727</x:v>
      </x:c>
      <x:c r="F79" s="8" t="n">
        <x:f>IF(ISNUMBER('Monthly data'!J79),LN(1+'Monthly data'!J79),"")</x:f>
        <x:v>1.9335772678962182</x:v>
      </x:c>
      <x:c r="G79" s="8" t="n">
        <x:f>IF(ISNUMBER('Monthly data'!K79),LN(1+'Monthly data'!K79),"")</x:f>
        <x:v>0.8916291188032934</x:v>
      </x:c>
      <x:c r="H79" s="8" t="n">
        <x:f>IF(ISNUMBER('Monthly data'!L79),LN(1+'Monthly data'!L79),"")</x:f>
        <x:v>0.6110690695243384</x:v>
      </x:c>
      <x:c r="I79" s="8" t="n">
        <x:f>IF(ISNUMBER('Monthly data'!M79),LN(1+'Monthly data'!M79),"")</x:f>
        <x:v>1.9013311056573459</x:v>
      </x:c>
      <x:c r="J79" s="8" t="n">
        <x:f>IF(ISNUMBER('Monthly data'!N79),LN(1+'Monthly data'!N79),"")</x:f>
        <x:v>2.0417266941415906</x:v>
      </x:c>
      <x:c r="K79" s="8" t="n">
        <x:f>IF(COUNT('Monthly data'!F77:F79)=3,'Monthly data'!F79-2*'Monthly data'!F78+'Monthly data'!F77,"")</x:f>
        <x:v>24.080000000000013</x:v>
      </x:c>
      <x:c r="L79" s="8" t="n">
        <x:f>IF(COUNT('Monthly data'!G77:G79)=3,'Monthly data'!G79-2*'Monthly data'!G78+'Monthly data'!G77,"")</x:f>
        <x:v>13.1777</x:v>
      </x:c>
      <x:c r="M79" s="8" t="n">
        <x:f>IF(COUNT('Monthly data'!H77:H79)=3,'Monthly data'!H79-2*'Monthly data'!H78+'Monthly data'!H77,"")</x:f>
        <x:v>13.343399999999999</x:v>
      </x:c>
      <x:c r="N79" s="8" t="n">
        <x:f>IF(COUNT('Monthly data'!I77:I79)=3,'Monthly data'!I79-2*'Monthly data'!I78+'Monthly data'!I77,"")</x:f>
        <x:v>11.378600000000002</x:v>
      </x:c>
      <x:c r="O79" s="8" t="n">
        <x:f>IF(COUNT('Monthly data'!J77:J79)=3,'Monthly data'!J79-2*'Monthly data'!J78+'Monthly data'!J77,"")</x:f>
        <x:v>-6.476299999999997</x:v>
      </x:c>
      <x:c r="P79" s="8" t="n">
        <x:f>IF(COUNT('Monthly data'!K77:K79)=3,'Monthly data'!K79-2*'Monthly data'!K78+'Monthly data'!K77,"")</x:f>
        <x:v>-0.8362000000000003</x:v>
      </x:c>
      <x:c r="Q79" s="8" t="n">
        <x:f>IF(COUNT('Monthly data'!L77:L79)=3,'Monthly data'!L79-2*'Monthly data'!L78+'Monthly data'!L77,"")</x:f>
        <x:v>-0.25239999999999996</x:v>
      </x:c>
      <x:c r="R79" s="8" t="n">
        <x:f>IF(COUNT('Monthly data'!M77:M79)=3,'Monthly data'!M79-2*'Monthly data'!M78+'Monthly data'!M77,"")</x:f>
        <x:v>-5.625800000000001</x:v>
      </x:c>
      <x:c r="S79" s="8" t="n">
        <x:f>IF(COUNT('Monthly data'!N77:N79)=3,'Monthly data'!N79-2*'Monthly data'!N78+'Monthly data'!N77,"")</x:f>
        <x:v>-0.6287999999999991</x:v>
      </x:c>
      <x:c r="T79" s="8" t="n">
        <x:f>IF(COUNT('Monthly data'!E78:E79)=2,'Monthly data'!E79-'Monthly data'!E78,"")</x:f>
        <x:v>0.008683846799998562</x:v>
      </x:c>
    </x:row>
    <x:row r="80" ht="19" customHeight="1">
      <x:c r="A80" s="7" t="n">
        <x:f>'Monthly data'!A80</x:f>
        <x:v>35247</x:v>
      </x:c>
      <x:c r="B80" s="8" t="n">
        <x:f>IF(ISNUMBER('Monthly data'!F80),LN(1+'Monthly data'!F80),"")</x:f>
        <x:v>4.567260612914871</x:v>
      </x:c>
      <x:c r="C80" s="8" t="n">
        <x:f>IF(ISNUMBER('Monthly data'!G80),LN(1+'Monthly data'!G80),"")</x:f>
        <x:v>2.561528127106021</x:v>
      </x:c>
      <x:c r="D80" s="8" t="n">
        <x:f>IF(ISNUMBER('Monthly data'!H80),LN(1+'Monthly data'!H80),"")</x:f>
        <x:v>3.1925975557887867</x:v>
      </x:c>
      <x:c r="E80" s="8" t="n">
        <x:f>IF(ISNUMBER('Monthly data'!I80),LN(1+'Monthly data'!I80),"")</x:f>
        <x:v>3.5257544586423353</x:v>
      </x:c>
      <x:c r="F80" s="8" t="n">
        <x:f>IF(ISNUMBER('Monthly data'!J80),LN(1+'Monthly data'!J80),"")</x:f>
        <x:v>2.3838701056102285</x:v>
      </x:c>
      <x:c r="G80" s="8" t="n">
        <x:f>IF(ISNUMBER('Monthly data'!K80),LN(1+'Monthly data'!K80),"")</x:f>
        <x:v>0.8528822386811042</x:v>
      </x:c>
      <x:c r="H80" s="8" t="n">
        <x:f>IF(ISNUMBER('Monthly data'!L80),LN(1+'Monthly data'!L80),"")</x:f>
        <x:v>1.336683860566556</x:v>
      </x:c>
      <x:c r="I80" s="8" t="n">
        <x:f>IF(ISNUMBER('Monthly data'!M80),LN(1+'Monthly data'!M80),"")</x:f>
        <x:v>1.7938572673102011</x:v>
      </x:c>
      <x:c r="J80" s="8" t="n">
        <x:f>IF(ISNUMBER('Monthly data'!N80),LN(1+'Monthly data'!N80),"")</x:f>
        <x:v>2.1951335036759088</x:v>
      </x:c>
      <x:c r="K80" s="8" t="n">
        <x:f>IF(COUNT('Monthly data'!F78:F80)=3,'Monthly data'!F80-2*'Monthly data'!F79+'Monthly data'!F78,"")</x:f>
        <x:v>11.099999999999994</x:v>
      </x:c>
      <x:c r="L80" s="8" t="n">
        <x:f>IF(COUNT('Monthly data'!G78:G80)=3,'Monthly data'!G80-2*'Monthly data'!G79+'Monthly data'!G78,"")</x:f>
        <x:v>7.0966000000000005</x:v>
      </x:c>
      <x:c r="M80" s="8" t="n">
        <x:f>IF(COUNT('Monthly data'!H78:H80)=3,'Monthly data'!H80-2*'Monthly data'!H79+'Monthly data'!H78,"")</x:f>
        <x:v>-21.78559999999999</x:v>
      </x:c>
      <x:c r="N80" s="8" t="n">
        <x:f>IF(COUNT('Monthly data'!I78:I80)=3,'Monthly data'!I80-2*'Monthly data'!I79+'Monthly data'!I78,"")</x:f>
        <x:v>10.574799999999996</x:v>
      </x:c>
      <x:c r="O80" s="8" t="n">
        <x:f>IF(COUNT('Monthly data'!J78:J80)=3,'Monthly data'!J80-2*'Monthly data'!J79+'Monthly data'!J78,"")</x:f>
        <x:v>10.681099999999999</x:v>
      </x:c>
      <x:c r="P80" s="8" t="n">
        <x:f>IF(COUNT('Monthly data'!K78:K80)=3,'Monthly data'!K80-2*'Monthly data'!K79+'Monthly data'!K78,"")</x:f>
        <x:v>0.9363999999999999</x:v>
      </x:c>
      <x:c r="Q80" s="8" t="n">
        <x:f>IF(COUNT('Monthly data'!L78:L80)=3,'Monthly data'!L80-2*'Monthly data'!L79+'Monthly data'!L78,"")</x:f>
        <x:v>2.2584999999999997</x:v>
      </x:c>
      <x:c r="R80" s="8" t="n">
        <x:f>IF(COUNT('Monthly data'!M78:M80)=3,'Monthly data'!M80-2*'Monthly data'!M79+'Monthly data'!M78,"")</x:f>
        <x:v>0.16750000000000043</x:v>
      </x:c>
      <x:c r="S80" s="8" t="n">
        <x:f>IF(COUNT('Monthly data'!N78:N80)=3,'Monthly data'!N80-2*'Monthly data'!N79+'Monthly data'!N78,"")</x:f>
        <x:v>1.1703000000000001</x:v>
      </x:c>
      <x:c r="T80" s="8" t="n">
        <x:f>IF(COUNT('Monthly data'!E79:E80)=2,'Monthly data'!E80-'Monthly data'!E79,"")</x:f>
        <x:v>0.004269444900000252</x:v>
      </x:c>
    </x:row>
    <x:row r="81" ht="19" customHeight="1">
      <x:c r="A81" s="7" t="n">
        <x:f>'Monthly data'!A81</x:f>
        <x:v>35278</x:v>
      </x:c>
      <x:c r="B81" s="8" t="n">
        <x:f>IF(ISNUMBER('Monthly data'!F81),LN(1+'Monthly data'!F81),"")</x:f>
        <x:v>4.399498115585886</x:v>
      </x:c>
      <x:c r="C81" s="8" t="n">
        <x:f>IF(ISNUMBER('Monthly data'!G81),LN(1+'Monthly data'!G81),"")</x:f>
        <x:v>2.7902997027829346</x:v>
      </x:c>
      <x:c r="D81" s="8" t="n">
        <x:f>IF(ISNUMBER('Monthly data'!H81),LN(1+'Monthly data'!H81),"")</x:f>
        <x:v>3.1477879031524707</x:v>
      </x:c>
      <x:c r="E81" s="8" t="n">
        <x:f>IF(ISNUMBER('Monthly data'!I81),LN(1+'Monthly data'!I81),"")</x:f>
        <x:v>2.8199075664534217</x:v>
      </x:c>
      <x:c r="F81" s="8" t="n">
        <x:f>IF(ISNUMBER('Monthly data'!J81),LN(1+'Monthly data'!J81),"")</x:f>
        <x:v>2.6036225834929843</x:v>
      </x:c>
      <x:c r="G81" s="8" t="n">
        <x:f>IF(ISNUMBER('Monthly data'!K81),LN(1+'Monthly data'!K81),"")</x:f>
        <x:v>0.7693208747827878</x:v>
      </x:c>
      <x:c r="H81" s="8" t="n">
        <x:f>IF(ISNUMBER('Monthly data'!L81),LN(1+'Monthly data'!L81),"")</x:f>
        <x:v>0.6658787534057516</x:v>
      </x:c>
      <x:c r="I81" s="8" t="n">
        <x:f>IF(ISNUMBER('Monthly data'!M81),LN(1+'Monthly data'!M81),"")</x:f>
        <x:v>1.8814478154915857</x:v>
      </x:c>
      <x:c r="J81" s="8" t="n">
        <x:f>IF(ISNUMBER('Monthly data'!N81),LN(1+'Monthly data'!N81),"")</x:f>
        <x:v>2.0648861236706373</x:v>
      </x:c>
      <x:c r="K81" s="8" t="n">
        <x:f>IF(COUNT('Monthly data'!F79:F81)=3,'Monthly data'!F81-2*'Monthly data'!F80+'Monthly data'!F79,"")</x:f>
        <x:v>-30.730000000000004</x:v>
      </x:c>
      <x:c r="L81" s="8" t="n">
        <x:f>IF(COUNT('Monthly data'!G79:G81)=3,'Monthly data'!G81-2*'Monthly data'!G80+'Monthly data'!G79,"")</x:f>
        <x:v>-0.3244000000000007</x:v>
      </x:c>
      <x:c r="M81" s="8" t="n">
        <x:f>IF(COUNT('Monthly data'!H79:H81)=3,'Monthly data'!H81-2*'Monthly data'!H80+'Monthly data'!H79,"")</x:f>
        <x:v>11.627899999999997</x:v>
      </x:c>
      <x:c r="N81" s="8" t="n">
        <x:f>IF(COUNT('Monthly data'!I79:I81)=3,'Monthly data'!I81-2*'Monthly data'!I80+'Monthly data'!I79,"")</x:f>
        <x:v>-35.70519999999999</x:v>
      </x:c>
      <x:c r="O81" s="8" t="n">
        <x:f>IF(COUNT('Monthly data'!J79:J81)=3,'Monthly data'!J81-2*'Monthly data'!J80+'Monthly data'!J79,"")</x:f>
        <x:v>-1.266799999999999</x:v>
      </x:c>
      <x:c r="P81" s="8" t="n">
        <x:f>IF(COUNT('Monthly data'!K79:K81)=3,'Monthly data'!K81-2*'Monthly data'!K80+'Monthly data'!K79,"")</x:f>
        <x:v>-0.09539999999999993</x:v>
      </x:c>
      <x:c r="Q81" s="8" t="n">
        <x:f>IF(COUNT('Monthly data'!L79:L81)=3,'Monthly data'!L81-2*'Monthly data'!L80+'Monthly data'!L79,"")</x:f>
        <x:v>-3.8242</x:v>
      </x:c>
      <x:c r="R81" s="8" t="n">
        <x:f>IF(COUNT('Monthly data'!M79:M81)=3,'Monthly data'!M81-2*'Monthly data'!M80+'Monthly data'!M79,"")</x:f>
        <x:v>1.2325999999999997</x:v>
      </x:c>
      <x:c r="S81" s="8" t="n">
        <x:f>IF(COUNT('Monthly data'!N79:N81)=3,'Monthly data'!N81-2*'Monthly data'!N80+'Monthly data'!N79,"")</x:f>
        <x:v>-2.3740999999999994</x:v>
      </x:c>
      <x:c r="T81" s="8" t="n">
        <x:f>IF(COUNT('Monthly data'!E80:E81)=2,'Monthly data'!E81-'Monthly data'!E80,"")</x:f>
        <x:v>-0.00203337459999986</x:v>
      </x:c>
    </x:row>
    <x:row r="82" ht="19" customHeight="1">
      <x:c r="A82" s="7" t="n">
        <x:f>'Monthly data'!A82</x:f>
        <x:v>35309</x:v>
      </x:c>
      <x:c r="B82" s="8" t="n">
        <x:f>IF(ISNUMBER('Monthly data'!F82),LN(1+'Monthly data'!F82),"")</x:f>
        <x:v>4.529584199031496</x:v>
      </x:c>
      <x:c r="C82" s="8" t="n">
        <x:f>IF(ISNUMBER('Monthly data'!G82),LN(1+'Monthly data'!G82),"")</x:f>
        <x:v>3.600477110178166</x:v>
      </x:c>
      <x:c r="D82" s="8" t="n">
        <x:f>IF(ISNUMBER('Monthly data'!H82),LN(1+'Monthly data'!H82),"")</x:f>
        <x:v>3.2685227647576145</x:v>
      </x:c>
      <x:c r="E82" s="8" t="n">
        <x:f>IF(ISNUMBER('Monthly data'!I82),LN(1+'Monthly data'!I82),"")</x:f>
        <x:v>2.2849912245929977</x:v>
      </x:c>
      <x:c r="F82" s="8" t="n">
        <x:f>IF(ISNUMBER('Monthly data'!J82),LN(1+'Monthly data'!J82),"")</x:f>
        <x:v>2.5832652088624317</x:v>
      </x:c>
      <x:c r="G82" s="8" t="n">
        <x:f>IF(ISNUMBER('Monthly data'!K82),LN(1+'Monthly data'!K82),"")</x:f>
        <x:v>0.8900288886852297</x:v>
      </x:c>
      <x:c r="H82" s="8" t="n">
        <x:f>IF(ISNUMBER('Monthly data'!L82),LN(1+'Monthly data'!L82),"")</x:f>
        <x:v>0.6370000199369442</x:v>
      </x:c>
      <x:c r="I82" s="8" t="n">
        <x:f>IF(ISNUMBER('Monthly data'!M82),LN(1+'Monthly data'!M82),"")</x:f>
        <x:v>0.704482690223691</x:v>
      </x:c>
      <x:c r="J82" s="8" t="n">
        <x:f>IF(ISNUMBER('Monthly data'!N82),LN(1+'Monthly data'!N82),"")</x:f>
        <x:v>2.003788145203643</x:v>
      </x:c>
      <x:c r="K82" s="8" t="n">
        <x:f>IF(COUNT('Monthly data'!F80:F82)=3,'Monthly data'!F82-2*'Monthly data'!F81+'Monthly data'!F80,"")</x:f>
        <x:v>26.180000000000007</x:v>
      </x:c>
      <x:c r="L82" s="8" t="n">
        <x:f>IF(COUNT('Monthly data'!G80:G82)=3,'Monthly data'!G82-2*'Monthly data'!G81+'Monthly data'!G80,"")</x:f>
        <x:v>16.999499999999998</x:v>
      </x:c>
      <x:c r="M82" s="8" t="n">
        <x:f>IF(COUNT('Monthly data'!H80:H82)=3,'Monthly data'!H82-2*'Monthly data'!H81+'Monthly data'!H80,"")</x:f>
        <x:v>4.0550999999999995</x:v>
      </x:c>
      <x:c r="N82" s="8" t="n">
        <x:f>IF(COUNT('Monthly data'!I80:I82)=3,'Monthly data'!I82-2*'Monthly data'!I81+'Monthly data'!I80,"")</x:f>
        <x:v>10.254399999999997</x:v>
      </x:c>
      <x:c r="O82" s="8" t="n">
        <x:f>IF(COUNT('Monthly data'!J80:J82)=3,'Monthly data'!J82-2*'Monthly data'!J81+'Monthly data'!J80,"")</x:f>
        <x:v>-2.938100000000002</x:v>
      </x:c>
      <x:c r="P82" s="8" t="n">
        <x:f>IF(COUNT('Monthly data'!K80:K82)=3,'Monthly data'!K82-2*'Monthly data'!K81+'Monthly data'!K80,"")</x:f>
        <x:v>0.46499999999999986</x:v>
      </x:c>
      <x:c r="Q82" s="8" t="n">
        <x:f>IF(COUNT('Monthly data'!L80:L82)=3,'Monthly data'!L82-2*'Monthly data'!L81+'Monthly data'!L80,"")</x:f>
        <x:v>1.8048</x:v>
      </x:c>
      <x:c r="R82" s="8" t="n">
        <x:f>IF(COUNT('Monthly data'!M80:M82)=3,'Monthly data'!M82-2*'Monthly data'!M81+'Monthly data'!M80,"")</x:f>
        <x:v>-5.090599999999999</x:v>
      </x:c>
      <x:c r="S82" s="8" t="n">
        <x:f>IF(COUNT('Monthly data'!N80:N82)=3,'Monthly data'!N82-2*'Monthly data'!N81+'Monthly data'!N80,"")</x:f>
        <x:v>0.6294999999999993</x:v>
      </x:c>
      <x:c r="T82" s="8" t="n">
        <x:f>IF(COUNT('Monthly data'!E81:E82)=2,'Monthly data'!E82-'Monthly data'!E81,"")</x:f>
        <x:v>0.003913119999999992</x:v>
      </x:c>
    </x:row>
    <x:row r="83" ht="19" customHeight="1">
      <x:c r="A83" s="7" t="n">
        <x:f>'Monthly data'!A83</x:f>
        <x:v>35339</x:v>
      </x:c>
      <x:c r="B83" s="8" t="n">
        <x:f>IF(ISNUMBER('Monthly data'!F83),LN(1+'Monthly data'!F83),"")</x:f>
        <x:v>4.234975691961846</x:v>
      </x:c>
      <x:c r="C83" s="8" t="n">
        <x:f>IF(ISNUMBER('Monthly data'!G83),LN(1+'Monthly data'!G83),"")</x:f>
        <x:v>2.7769915157045726</x:v>
      </x:c>
      <x:c r="D83" s="8" t="n">
        <x:f>IF(ISNUMBER('Monthly data'!H83),LN(1+'Monthly data'!H83),"")</x:f>
        <x:v>3.404143038950725</x:v>
      </x:c>
      <x:c r="E83" s="8" t="n">
        <x:f>IF(ISNUMBER('Monthly data'!I83),LN(1+'Monthly data'!I83),"")</x:f>
        <x:v>1.9103717905616293</x:v>
      </x:c>
      <x:c r="F83" s="8" t="n">
        <x:f>IF(ISNUMBER('Monthly data'!J83),LN(1+'Monthly data'!J83),"")</x:f>
        <x:v>2.2854694525133246</x:v>
      </x:c>
      <x:c r="G83" s="8" t="n">
        <x:f>IF(ISNUMBER('Monthly data'!K83),LN(1+'Monthly data'!K83),"")</x:f>
        <x:v>0.5015628564868055</x:v>
      </x:c>
      <x:c r="H83" s="8" t="n">
        <x:f>IF(ISNUMBER('Monthly data'!L83),LN(1+'Monthly data'!L83),"")</x:f>
        <x:v>0.7079865307565851</x:v>
      </x:c>
      <x:c r="I83" s="8" t="n">
        <x:f>IF(ISNUMBER('Monthly data'!M83),LN(1+'Monthly data'!M83),"")</x:f>
        <x:v>0.9221137451769437</x:v>
      </x:c>
      <x:c r="J83" s="8" t="n">
        <x:f>IF(ISNUMBER('Monthly data'!N83),LN(1+'Monthly data'!N83),"")</x:f>
        <x:v>1.962781312939781</x:v>
      </x:c>
      <x:c r="K83" s="8" t="n">
        <x:f>IF(COUNT('Monthly data'!F81:F83)=3,'Monthly data'!F83-2*'Monthly data'!F82+'Monthly data'!F81,"")</x:f>
        <x:v>-34.97</x:v>
      </x:c>
      <x:c r="L83" s="8" t="n">
        <x:f>IF(COUNT('Monthly data'!G81:G83)=3,'Monthly data'!G83-2*'Monthly data'!G82+'Monthly data'!G81,"")</x:f>
        <x:v>-40.8749</x:v>
      </x:c>
      <x:c r="M83" s="8" t="n">
        <x:f>IF(COUNT('Monthly data'!H81:H83)=3,'Monthly data'!H83-2*'Monthly data'!H82+'Monthly data'!H81,"")</x:f>
        <x:v>0.8279999999999994</x:v>
      </x:c>
      <x:c r="N83" s="8" t="n">
        <x:f>IF(COUNT('Monthly data'!I81:I83)=3,'Monthly data'!I83-2*'Monthly data'!I82+'Monthly data'!I81,"")</x:f>
        <x:v>3.8797000000000015</x:v>
      </x:c>
      <x:c r="O83" s="8" t="n">
        <x:f>IF(COUNT('Monthly data'!J81:J83)=3,'Monthly data'!J83-2*'Monthly data'!J82+'Monthly data'!J81,"")</x:f>
        <x:v>-3.137699999999999</x:v>
      </x:c>
      <x:c r="P83" s="8" t="n">
        <x:f>IF(COUNT('Monthly data'!K81:K83)=3,'Monthly data'!K83-2*'Monthly data'!K82+'Monthly data'!K81,"")</x:f>
        <x:v>-1.0608</x:v>
      </x:c>
      <x:c r="Q83" s="8" t="n">
        <x:f>IF(COUNT('Monthly data'!L81:L83)=3,'Monthly data'!L83-2*'Monthly data'!L82+'Monthly data'!L81,"")</x:f>
        <x:v>0.1945</x:v>
      </x:c>
      <x:c r="R83" s="8" t="n">
        <x:f>IF(COUNT('Monthly data'!M81:M83)=3,'Monthly data'!M83-2*'Monthly data'!M82+'Monthly data'!M81,"")</x:f>
        <x:v>5.032</x:v>
      </x:c>
      <x:c r="S83" s="8" t="n">
        <x:f>IF(COUNT('Monthly data'!N81:N83)=3,'Monthly data'!N83-2*'Monthly data'!N82+'Monthly data'!N81,"")</x:f>
        <x:v>0.16930000000000156</x:v>
      </x:c>
      <x:c r="T83" s="8" t="n">
        <x:f>IF(COUNT('Monthly data'!E82:E83)=2,'Monthly data'!E83-'Monthly data'!E82,"")</x:f>
        <x:v>0.003319955000000263</x:v>
      </x:c>
    </x:row>
    <x:row r="84" ht="19" customHeight="1">
      <x:c r="A84" s="7" t="n">
        <x:f>'Monthly data'!A84</x:f>
        <x:v>35370</x:v>
      </x:c>
      <x:c r="B84" s="8" t="n">
        <x:f>IF(ISNUMBER('Monthly data'!F84),LN(1+'Monthly data'!F84),"")</x:f>
        <x:v>4.347305781945493</x:v>
      </x:c>
      <x:c r="C84" s="8" t="n">
        <x:f>IF(ISNUMBER('Monthly data'!G84),LN(1+'Monthly data'!G84),"")</x:f>
        <x:v>2.990418178730222</x:v>
      </x:c>
      <x:c r="D84" s="8" t="n">
        <x:f>IF(ISNUMBER('Monthly data'!H84),LN(1+'Monthly data'!H84),"")</x:f>
        <x:v>3.3168841795045703</x:v>
      </x:c>
      <x:c r="E84" s="8" t="n">
        <x:f>IF(ISNUMBER('Monthly data'!I84),LN(1+'Monthly data'!I84),"")</x:f>
        <x:v>2.0087508010570665</x:v>
      </x:c>
      <x:c r="F84" s="8" t="n">
        <x:f>IF(ISNUMBER('Monthly data'!J84),LN(1+'Monthly data'!J84),"")</x:f>
        <x:v>2.2850115793768815</x:v>
      </x:c>
      <x:c r="G84" s="8" t="n">
        <x:f>IF(ISNUMBER('Monthly data'!K84),LN(1+'Monthly data'!K84),"")</x:f>
        <x:v>0.8566681078901823</x:v>
      </x:c>
      <x:c r="H84" s="8" t="n">
        <x:f>IF(ISNUMBER('Monthly data'!L84),LN(1+'Monthly data'!L84),"")</x:f>
        <x:v>0.8566681078901823</x:v>
      </x:c>
      <x:c r="I84" s="8" t="n">
        <x:f>IF(ISNUMBER('Monthly data'!M84),LN(1+'Monthly data'!M84),"")</x:f>
        <x:v>0.8702886773123577</x:v>
      </x:c>
      <x:c r="J84" s="8" t="n">
        <x:f>IF(ISNUMBER('Monthly data'!N84),LN(1+'Monthly data'!N84),"")</x:f>
        <x:v>2.5195978895779305</x:v>
      </x:c>
      <x:c r="K84" s="8" t="n">
        <x:f>IF(COUNT('Monthly data'!F82:F84)=3,'Monthly data'!F84-2*'Monthly data'!F83+'Monthly data'!F82,"")</x:f>
        <x:v>31.86999999999999</x:v>
      </x:c>
      <x:c r="L84" s="8" t="n">
        <x:f>IF(COUNT('Monthly data'!G82:G84)=3,'Monthly data'!G84-2*'Monthly data'!G83+'Monthly data'!G82,"")</x:f>
        <x:v>24.368499999999994</x:v>
      </x:c>
      <x:c r="M84" s="8" t="n">
        <x:f>IF(COUNT('Monthly data'!H82:H84)=3,'Monthly data'!H84-2*'Monthly data'!H83+'Monthly data'!H82,"")</x:f>
        <x:v>-6.330199999999998</x:v>
      </x:c>
      <x:c r="N84" s="8" t="n">
        <x:f>IF(COUNT('Monthly data'!I82:I84)=3,'Monthly data'!I84-2*'Monthly data'!I83+'Monthly data'!I82,"")</x:f>
        <x:v>3.768399999999999</x:v>
      </x:c>
      <x:c r="O84" s="8" t="n">
        <x:f>IF(COUNT('Monthly data'!J82:J84)=3,'Monthly data'!J84-2*'Monthly data'!J83+'Monthly data'!J82,"")</x:f>
        <x:v>3.4055</x:v>
      </x:c>
      <x:c r="P84" s="8" t="n">
        <x:f>IF(COUNT('Monthly data'!K82:K84)=3,'Monthly data'!K84-2*'Monthly data'!K83+'Monthly data'!K82,"")</x:f>
        <x:v>1.4879</x:v>
      </x:c>
      <x:c r="Q84" s="8" t="n">
        <x:f>IF(COUNT('Monthly data'!L82:L84)=3,'Monthly data'!L84-2*'Monthly data'!L83+'Monthly data'!L82,"")</x:f>
        <x:v>0.1862999999999999</x:v>
      </x:c>
      <x:c r="R84" s="8" t="n">
        <x:f>IF(COUNT('Monthly data'!M82:M84)=3,'Monthly data'!M84-2*'Monthly data'!M83+'Monthly data'!M82,"")</x:f>
        <x:v>-0.6188</x:v>
      </x:c>
      <x:c r="S84" s="8" t="n">
        <x:f>IF(COUNT('Monthly data'!N82:N84)=3,'Monthly data'!N84-2*'Monthly data'!N83+'Monthly data'!N82,"")</x:f>
        <x:v>5.602499999999999</x:v>
      </x:c>
      <x:c r="T84" s="8" t="n">
        <x:f>IF(COUNT('Monthly data'!E83:E84)=2,'Monthly data'!E84-'Monthly data'!E83,"")</x:f>
        <x:v>0.0087831046999991</x:v>
      </x:c>
    </x:row>
    <x:row r="85" ht="19" customHeight="1">
      <x:c r="A85" s="7" t="n">
        <x:f>'Monthly data'!A85</x:f>
        <x:v>35400</x:v>
      </x:c>
      <x:c r="B85" s="8" t="n">
        <x:f>IF(ISNUMBER('Monthly data'!F85),LN(1+'Monthly data'!F85),"")</x:f>
        <x:v>4.4744918623459755</x:v>
      </x:c>
      <x:c r="C85" s="8" t="n">
        <x:f>IF(ISNUMBER('Monthly data'!G85),LN(1+'Monthly data'!G85),"")</x:f>
        <x:v>2.4158512763478424</x:v>
      </x:c>
      <x:c r="D85" s="8" t="n">
        <x:f>IF(ISNUMBER('Monthly data'!H85),LN(1+'Monthly data'!H85),"")</x:f>
        <x:v>3.546670520295726</x:v>
      </x:c>
      <x:c r="E85" s="8" t="n">
        <x:f>IF(ISNUMBER('Monthly data'!I85),LN(1+'Monthly data'!I85),"")</x:f>
        <x:v>2.836032894796316</x:v>
      </x:c>
      <x:c r="F85" s="8" t="n">
        <x:f>IF(ISNUMBER('Monthly data'!J85),LN(1+'Monthly data'!J85),"")</x:f>
        <x:v>2.7064689515858795</x:v>
      </x:c>
      <x:c r="G85" s="8" t="n">
        <x:f>IF(ISNUMBER('Monthly data'!K85),LN(1+'Monthly data'!K85),"")</x:f>
        <x:v>1.2578926463153663</x:v>
      </x:c>
      <x:c r="H85" s="8" t="n">
        <x:f>IF(ISNUMBER('Monthly data'!L85),LN(1+'Monthly data'!L85),"")</x:f>
        <x:v>0.17496120238766222</x:v>
      </x:c>
      <x:c r="I85" s="8" t="n">
        <x:f>IF(ISNUMBER('Monthly data'!M85),LN(1+'Monthly data'!M85),"")</x:f>
        <x:v>0.9281797762665686</x:v>
      </x:c>
      <x:c r="J85" s="8" t="n">
        <x:f>IF(ISNUMBER('Monthly data'!N85),LN(1+'Monthly data'!N85),"")</x:f>
        <x:v>2.2606896058200094</x:v>
      </x:c>
      <x:c r="K85" s="8" t="n">
        <x:f>IF(COUNT('Monthly data'!F83:F85)=3,'Monthly data'!F85-2*'Monthly data'!F84+'Monthly data'!F83,"")</x:f>
        <x:v>2.2700000000000102</x:v>
      </x:c>
      <x:c r="L85" s="8" t="n">
        <x:f>IF(COUNT('Monthly data'!G83:G85)=3,'Monthly data'!G85-2*'Monthly data'!G84+'Monthly data'!G83,"")</x:f>
        <x:v>-12.518099999999995</x:v>
      </x:c>
      <x:c r="M85" s="8" t="n">
        <x:f>IF(COUNT('Monthly data'!H83:H85)=3,'Monthly data'!H85-2*'Monthly data'!H84+'Monthly data'!H83,"")</x:f>
        <x:v>9.6375</x:v>
      </x:c>
      <x:c r="N85" s="8" t="n">
        <x:f>IF(COUNT('Monthly data'!I83:I85)=3,'Monthly data'!I85-2*'Monthly data'!I84+'Monthly data'!I83,"")</x:f>
        <x:v>8.895599999999998</x:v>
      </x:c>
      <x:c r="O85" s="8" t="n">
        <x:f>IF(COUNT('Monthly data'!J83:J85)=3,'Monthly data'!J85-2*'Monthly data'!J84+'Monthly data'!J83,"")</x:f>
        <x:v>5.155000000000001</x:v>
      </x:c>
      <x:c r="P85" s="8" t="n">
        <x:f>IF(COUNT('Monthly data'!K83:K85)=3,'Monthly data'!K85-2*'Monthly data'!K84+'Monthly data'!K83,"")</x:f>
        <x:v>0.4586999999999999</x:v>
      </x:c>
      <x:c r="Q85" s="8" t="n">
        <x:f>IF(COUNT('Monthly data'!L83:L85)=3,'Monthly data'!L85-2*'Monthly data'!L84+'Monthly data'!L83,"")</x:f>
        <x:v>-1.4895</x:v>
      </x:c>
      <x:c r="R85" s="8" t="n">
        <x:f>IF(COUNT('Monthly data'!M83:M85)=3,'Monthly data'!M85-2*'Monthly data'!M84+'Monthly data'!M83,"")</x:f>
        <x:v>0.2693000000000001</x:v>
      </x:c>
      <x:c r="S85" s="8" t="n">
        <x:f>IF(COUNT('Monthly data'!N83:N85)=3,'Monthly data'!N85-2*'Monthly data'!N84+'Monthly data'!N83,"")</x:f>
        <x:v>-8.1384</x:v>
      </x:c>
      <x:c r="T85" s="8" t="n">
        <x:f>IF(COUNT('Monthly data'!E84:E85)=2,'Monthly data'!E85-'Monthly data'!E84,"")</x:f>
        <x:v>0.008664213100001206</x:v>
      </x:c>
    </x:row>
    <x:row r="86" ht="19" customHeight="1">
      <x:c r="A86" s="7" t="n">
        <x:f>'Monthly data'!A86</x:f>
        <x:v>35431</x:v>
      </x:c>
      <x:c r="B86" s="8" t="n">
        <x:f>IF(ISNUMBER('Monthly data'!F86),LN(1+'Monthly data'!F86),"")</x:f>
        <x:v>4.362206507224575</x:v>
      </x:c>
      <x:c r="C86" s="8" t="n">
        <x:f>IF(ISNUMBER('Monthly data'!G86),LN(1+'Monthly data'!G86),"")</x:f>
        <x:v>1.9831508813615497</x:v>
      </x:c>
      <x:c r="D86" s="8" t="n">
        <x:f>IF(ISNUMBER('Monthly data'!H86),LN(1+'Monthly data'!H86),"")</x:f>
        <x:v>3.5410926484825485</x:v>
      </x:c>
      <x:c r="E86" s="8" t="n">
        <x:f>IF(ISNUMBER('Monthly data'!I86),LN(1+'Monthly data'!I86),"")</x:f>
        <x:v>3.0150691061101327</x:v>
      </x:c>
      <x:c r="F86" s="8" t="n">
        <x:f>IF(ISNUMBER('Monthly data'!J86),LN(1+'Monthly data'!J86),"")</x:f>
        <x:v>2.296245037247847</x:v>
      </x:c>
      <x:c r="G86" s="8" t="n">
        <x:f>IF(ISNUMBER('Monthly data'!K86),LN(1+'Monthly data'!K86),"")</x:f>
        <x:v>1.0576861220554639</x:v>
      </x:c>
      <x:c r="H86" s="8" t="n">
        <x:f>IF(ISNUMBER('Monthly data'!L86),LN(1+'Monthly data'!L86),"")</x:f>
        <x:v>0.2598996914393293</x:v>
      </x:c>
      <x:c r="I86" s="8" t="n">
        <x:f>IF(ISNUMBER('Monthly data'!M86),LN(1+'Monthly data'!M86),"")</x:f>
        <x:v>0.636788446890561</x:v>
      </x:c>
      <x:c r="J86" s="8" t="n">
        <x:f>IF(ISNUMBER('Monthly data'!N86),LN(1+'Monthly data'!N86),"")</x:f>
        <x:v>1.9831508813615497</x:v>
      </x:c>
      <x:c r="K86" s="8" t="n">
        <x:f>IF(COUNT('Monthly data'!F84:F86)=3,'Monthly data'!F86-2*'Monthly data'!F85+'Monthly data'!F84,"")</x:f>
        <x:v>-19.799999999999997</x:v>
      </x:c>
      <x:c r="L86" s="8" t="n">
        <x:f>IF(COUNT('Monthly data'!G84:G86)=3,'Monthly data'!G86-2*'Monthly data'!G85+'Monthly data'!G84,"")</x:f>
        <x:v>4.760999999999999</x:v>
      </x:c>
      <x:c r="M86" s="8" t="n">
        <x:f>IF(COUNT('Monthly data'!H84:H86)=3,'Monthly data'!H86-2*'Monthly data'!H85+'Monthly data'!H84,"")</x:f>
        <x:v>-7.316299999999998</x:v>
      </x:c>
      <x:c r="N86" s="8" t="n">
        <x:f>IF(COUNT('Monthly data'!I84:I86)=3,'Monthly data'!I86-2*'Monthly data'!I85+'Monthly data'!I84,"")</x:f>
        <x:v>-6.251499999999997</x:v>
      </x:c>
      <x:c r="O86" s="8" t="n">
        <x:f>IF(COUNT('Monthly data'!J84:J86)=3,'Monthly data'!J86-2*'Monthly data'!J85+'Monthly data'!J84,"")</x:f>
        <x:v>-10.19</x:v>
      </x:c>
      <x:c r="P86" s="8" t="n">
        <x:f>IF(COUNT('Monthly data'!K84:K86)=3,'Monthly data'!K86-2*'Monthly data'!K85+'Monthly data'!K84,"")</x:f>
        <x:v>-1.801</x:v>
      </x:c>
      <x:c r="Q86" s="8" t="n">
        <x:f>IF(COUNT('Monthly data'!L84:L86)=3,'Monthly data'!L86-2*'Monthly data'!L85+'Monthly data'!L84,"")</x:f>
        <x:v>1.2696999999999998</x:v>
      </x:c>
      <x:c r="R86" s="8" t="n">
        <x:f>IF(COUNT('Monthly data'!M84:M86)=3,'Monthly data'!M86-2*'Monthly data'!M85+'Monthly data'!M84,"")</x:f>
        <x:v>-0.7818</x:v>
      </x:c>
      <x:c r="S86" s="8" t="n">
        <x:f>IF(COUNT('Monthly data'!N84:N86)=3,'Monthly data'!N86-2*'Monthly data'!N85+'Monthly data'!N84,"")</x:f>
        <x:v>0.5097999999999985</x:v>
      </x:c>
      <x:c r="T86" s="8" t="n">
        <x:f>IF(COUNT('Monthly data'!E85:E86)=2,'Monthly data'!E86-'Monthly data'!E85,"")</x:f>
        <x:v>0.00277971569999913</x:v>
      </x:c>
    </x:row>
    <x:row r="87" ht="19" customHeight="1">
      <x:c r="A87" s="7" t="n">
        <x:f>'Monthly data'!A87</x:f>
        <x:v>35462</x:v>
      </x:c>
      <x:c r="B87" s="8" t="n">
        <x:f>IF(ISNUMBER('Monthly data'!F87),LN(1+'Monthly data'!F87),"")</x:f>
        <x:v>4.334017415487521</x:v>
      </x:c>
      <x:c r="C87" s="8" t="n">
        <x:f>IF(ISNUMBER('Monthly data'!G87),LN(1+'Monthly data'!G87),"")</x:f>
        <x:v>2.1402779057831727</x:v>
      </x:c>
      <x:c r="D87" s="8" t="n">
        <x:f>IF(ISNUMBER('Monthly data'!H87),LN(1+'Monthly data'!H87),"")</x:f>
        <x:v>3.524243579586008</x:v>
      </x:c>
      <x:c r="E87" s="8" t="n">
        <x:f>IF(ISNUMBER('Monthly data'!I87),LN(1+'Monthly data'!I87),"")</x:f>
        <x:v>2.603726185129983</x:v>
      </x:c>
      <x:c r="F87" s="8" t="n">
        <x:f>IF(ISNUMBER('Monthly data'!J87),LN(1+'Monthly data'!J87),"")</x:f>
        <x:v>2.4614247623074355</x:v>
      </x:c>
      <x:c r="G87" s="8" t="n">
        <x:f>IF(ISNUMBER('Monthly data'!K87),LN(1+'Monthly data'!K87),"")</x:f>
        <x:v>0.5673004706939697</x:v>
      </x:c>
      <x:c r="H87" s="8" t="n">
        <x:f>IF(ISNUMBER('Monthly data'!L87),LN(1+'Monthly data'!L87),"")</x:f>
        <x:v>1.128559365036062</x:v>
      </x:c>
      <x:c r="I87" s="8" t="n">
        <x:f>IF(ISNUMBER('Monthly data'!M87),LN(1+'Monthly data'!M87),"")</x:f>
        <x:v>1.0504019563636868</x:v>
      </x:c>
      <x:c r="J87" s="8" t="n">
        <x:f>IF(ISNUMBER('Monthly data'!N87),LN(1+'Monthly data'!N87),"")</x:f>
        <x:v>2.0631978239455706</x:v>
      </x:c>
      <x:c r="K87" s="8" t="n">
        <x:f>IF(COUNT('Monthly data'!F85:F87)=3,'Monthly data'!F87-2*'Monthly data'!F86+'Monthly data'!F85,"")</x:f>
        <x:v>7.139999999999986</x:v>
      </x:c>
      <x:c r="L87" s="8" t="n">
        <x:f>IF(COUNT('Monthly data'!G85:G87)=3,'Monthly data'!G87-2*'Monthly data'!G86+'Monthly data'!G85,"")</x:f>
        <x:v>5.169899999999999</x:v>
      </x:c>
      <x:c r="M87" s="8" t="n">
        <x:f>IF(COUNT('Monthly data'!H85:H87)=3,'Monthly data'!H87-2*'Monthly data'!H86+'Monthly data'!H85,"")</x:f>
        <x:v>-0.38350000000000506</x:v>
      </x:c>
      <x:c r="N87" s="8" t="n">
        <x:f>IF(COUNT('Monthly data'!I85:I87)=3,'Monthly data'!I87-2*'Monthly data'!I86+'Monthly data'!I85,"")</x:f>
        <x:v>-10.219000000000001</x:v>
      </x:c>
      <x:c r="O87" s="8" t="n">
        <x:f>IF(COUNT('Monthly data'!J85:J87)=3,'Monthly data'!J87-2*'Monthly data'!J86+'Monthly data'!J85,"")</x:f>
        <x:v>6.824200000000001</x:v>
      </x:c>
      <x:c r="P87" s="8" t="n">
        <x:f>IF(COUNT('Monthly data'!K85:K87)=3,'Monthly data'!K87-2*'Monthly data'!K86+'Monthly data'!K85,"")</x:f>
        <x:v>-0.4779</x:v>
      </x:c>
      <x:c r="Q87" s="8" t="n">
        <x:f>IF(COUNT('Monthly data'!L85:L87)=3,'Monthly data'!L87-2*'Monthly data'!L86+'Monthly data'!L85,"")</x:f>
        <x:v>1.6888000000000003</x:v>
      </x:c>
      <x:c r="R87" s="8" t="n">
        <x:f>IF(COUNT('Monthly data'!M85:M87)=3,'Monthly data'!M87-2*'Monthly data'!M86+'Monthly data'!M85,"")</x:f>
        <x:v>1.6079</x:v>
      </x:c>
      <x:c r="S87" s="8" t="n">
        <x:f>IF(COUNT('Monthly data'!N85:N87)=3,'Monthly data'!N87-2*'Monthly data'!N86+'Monthly data'!N85,"")</x:f>
        <x:v>2.9296000000000006</x:v>
      </x:c>
      <x:c r="T87" s="8" t="n">
        <x:f>IF(COUNT('Monthly data'!E86:E87)=2,'Monthly data'!E87-'Monthly data'!E86,"")</x:f>
        <x:v>0.004185037900001021</x:v>
      </x:c>
    </x:row>
    <x:row r="88" ht="19" customHeight="1">
      <x:c r="A88" s="7" t="n">
        <x:f>'Monthly data'!A88</x:f>
        <x:v>35490</x:v>
      </x:c>
      <x:c r="B88" s="8" t="n">
        <x:f>IF(ISNUMBER('Monthly data'!F88),LN(1+'Monthly data'!F88),"")</x:f>
        <x:v>4.519830138821076</x:v>
      </x:c>
      <x:c r="C88" s="8" t="n">
        <x:f>IF(ISNUMBER('Monthly data'!G88),LN(1+'Monthly data'!G88),"")</x:f>
        <x:v>2.068784961491307</x:v>
      </x:c>
      <x:c r="D88" s="8" t="n">
        <x:f>IF(ISNUMBER('Monthly data'!H88),LN(1+'Monthly data'!H88),"")</x:f>
        <x:v>3.7173308472878377</x:v>
      </x:c>
      <x:c r="E88" s="8" t="n">
        <x:f>IF(ISNUMBER('Monthly data'!I88),LN(1+'Monthly data'!I88),"")</x:f>
        <x:v>2.5942019141589876</x:v>
      </x:c>
      <x:c r="F88" s="8" t="n">
        <x:f>IF(ISNUMBER('Monthly data'!J88),LN(1+'Monthly data'!J88),"")</x:f>
        <x:v>3.0249560682304564</x:v>
      </x:c>
      <x:c r="G88" s="8" t="n">
        <x:f>IF(ISNUMBER('Monthly data'!K88),LN(1+'Monthly data'!K88),"")</x:f>
        <x:v>0.49798351575269284</x:v>
      </x:c>
      <x:c r="H88" s="8" t="n">
        <x:f>IF(ISNUMBER('Monthly data'!L88),LN(1+'Monthly data'!L88),"")</x:f>
        <x:v>0.9308640237236154</x:v>
      </x:c>
      <x:c r="I88" s="8" t="n">
        <x:f>IF(ISNUMBER('Monthly data'!M88),LN(1+'Monthly data'!M88),"")</x:f>
        <x:v>0.9429326628205762</x:v>
      </x:c>
      <x:c r="J88" s="8" t="n">
        <x:f>IF(ISNUMBER('Monthly data'!N88),LN(1+'Monthly data'!N88),"")</x:f>
        <x:v>2.199632786382799</x:v>
      </x:c>
      <x:c r="K88" s="8" t="n">
        <x:f>IF(COUNT('Monthly data'!F86:F88)=3,'Monthly data'!F88-2*'Monthly data'!F87+'Monthly data'!F86,"")</x:f>
        <x:v>17.75</x:v>
      </x:c>
      <x:c r="L88" s="8" t="n">
        <x:f>IF(COUNT('Monthly data'!G86:G88)=3,'Monthly data'!G88-2*'Monthly data'!G87+'Monthly data'!G86,"")</x:f>
        <x:v>-1.8228</x:v>
      </x:c>
      <x:c r="M88" s="8" t="n">
        <x:f>IF(COUNT('Monthly data'!H86:H88)=3,'Monthly data'!H88-2*'Monthly data'!H87+'Monthly data'!H86,"")</x:f>
        <x:v>7.802800000000005</x:v>
      </x:c>
      <x:c r="N88" s="8" t="n">
        <x:f>IF(COUNT('Monthly data'!I86:I88)=3,'Monthly data'!I88-2*'Monthly data'!I87+'Monthly data'!I86,"")</x:f>
        <x:v>6.7484</x:v>
      </x:c>
      <x:c r="O88" s="8" t="n">
        <x:f>IF(COUNT('Monthly data'!J86:J88)=3,'Monthly data'!J88-2*'Monthly data'!J87+'Monthly data'!J86,"")</x:f>
        <x:v>7.086899999999998</x:v>
      </x:c>
      <x:c r="P88" s="8" t="n">
        <x:f>IF(COUNT('Monthly data'!K86:K88)=3,'Monthly data'!K88-2*'Monthly data'!K87+'Monthly data'!K86,"")</x:f>
        <x:v>0.9981</x:v>
      </x:c>
      <x:c r="Q88" s="8" t="n">
        <x:f>IF(COUNT('Monthly data'!L86:L88)=3,'Monthly data'!L88-2*'Monthly data'!L87+'Monthly data'!L86,"")</x:f>
        <x:v>-2.3489000000000004</x:v>
      </x:c>
      <x:c r="R88" s="8" t="n">
        <x:f>IF(COUNT('Monthly data'!M86:M88)=3,'Monthly data'!M88-2*'Monthly data'!M87+'Monthly data'!M86,"")</x:f>
        <x:v>-1.2597</x:v>
      </x:c>
      <x:c r="S88" s="8" t="n">
        <x:f>IF(COUNT('Monthly data'!N86:N88)=3,'Monthly data'!N88-2*'Monthly data'!N87+'Monthly data'!N86,"")</x:f>
        <x:v>0.5450999999999988</x:v>
      </x:c>
      <x:c r="T88" s="8" t="n">
        <x:f>IF(COUNT('Monthly data'!E87:E88)=2,'Monthly data'!E88-'Monthly data'!E87,"")</x:f>
        <x:v>-0.006263569699999749</x:v>
      </x:c>
    </x:row>
    <x:row r="89" ht="19" customHeight="1">
      <x:c r="A89" s="7" t="n">
        <x:f>'Monthly data'!A89</x:f>
        <x:v>35521</x:v>
      </x:c>
      <x:c r="B89" s="8" t="n">
        <x:f>IF(ISNUMBER('Monthly data'!F89),LN(1+'Monthly data'!F89),"")</x:f>
        <x:v>4.431768726568696</x:v>
      </x:c>
      <x:c r="C89" s="8" t="n">
        <x:f>IF(ISNUMBER('Monthly data'!G89),LN(1+'Monthly data'!G89),"")</x:f>
        <x:v>2.4145020680211178</x:v>
      </x:c>
      <x:c r="D89" s="8" t="n">
        <x:f>IF(ISNUMBER('Monthly data'!H89),LN(1+'Monthly data'!H89),"")</x:f>
        <x:v>3.5632963896719088</x:v>
      </x:c>
      <x:c r="E89" s="8" t="n">
        <x:f>IF(ISNUMBER('Monthly data'!I89),LN(1+'Monthly data'!I89),"")</x:f>
        <x:v>2.632967394977854</x:v>
      </x:c>
      <x:c r="F89" s="8" t="n">
        <x:f>IF(ISNUMBER('Monthly data'!J89),LN(1+'Monthly data'!J89),"")</x:f>
        <x:v>2.827479288678907</x:v>
      </x:c>
      <x:c r="G89" s="8" t="n">
        <x:f>IF(ISNUMBER('Monthly data'!K89),LN(1+'Monthly data'!K89),"")</x:f>
        <x:v>0.9202827531436925</x:v>
      </x:c>
      <x:c r="H89" s="8" t="n">
        <x:f>IF(ISNUMBER('Monthly data'!L89),LN(1+'Monthly data'!L89),"")</x:f>
        <x:v>0.34896530086867944</x:v>
      </x:c>
      <x:c r="I89" s="8" t="n">
        <x:f>IF(ISNUMBER('Monthly data'!M89),LN(1+'Monthly data'!M89),"")</x:f>
        <x:v>1.0850879118482224</x:v>
      </x:c>
      <x:c r="J89" s="8" t="n">
        <x:f>IF(ISNUMBER('Monthly data'!N89),LN(1+'Monthly data'!N89),"")</x:f>
        <x:v>1.9331577532251347</x:v>
      </x:c>
      <x:c r="K89" s="8" t="n">
        <x:f>IF(COUNT('Monthly data'!F87:F89)=3,'Monthly data'!F89-2*'Monthly data'!F88+'Monthly data'!F87,"")</x:f>
        <x:v>-23.309999999999988</x:v>
      </x:c>
      <x:c r="L89" s="8" t="n">
        <x:f>IF(COUNT('Monthly data'!G87:G89)=3,'Monthly data'!G89-2*'Monthly data'!G88+'Monthly data'!G87,"")</x:f>
        <x:v>3.8556000000000017</x:v>
      </x:c>
      <x:c r="M89" s="8" t="n">
        <x:f>IF(COUNT('Monthly data'!H87:H89)=3,'Monthly data'!H89-2*'Monthly data'!H88+'Monthly data'!H87,"")</x:f>
        <x:v>-13.101400000000005</x:v>
      </x:c>
      <x:c r="N89" s="8" t="n">
        <x:f>IF(COUNT('Monthly data'!I87:I89)=3,'Monthly data'!I89-2*'Monthly data'!I88+'Monthly data'!I87,"")</x:f>
        <x:v>0.6571999999999996</x:v>
      </x:c>
      <x:c r="O89" s="8" t="n">
        <x:f>IF(COUNT('Monthly data'!J87:J89)=3,'Monthly data'!J89-2*'Monthly data'!J88+'Monthly data'!J87,"")</x:f>
        <x:v>-12.5619</x:v>
      </x:c>
      <x:c r="P89" s="8" t="n">
        <x:f>IF(COUNT('Monthly data'!K87:K89)=3,'Monthly data'!K89-2*'Monthly data'!K88+'Monthly data'!K87,"")</x:f>
        <x:v>0.9827</x:v>
      </x:c>
      <x:c r="Q89" s="8" t="n">
        <x:f>IF(COUNT('Monthly data'!L87:L89)=3,'Monthly data'!L89-2*'Monthly data'!L88+'Monthly data'!L87,"")</x:f>
        <x:v>-0.5645999999999995</x:v>
      </x:c>
      <x:c r="R89" s="8" t="n">
        <x:f>IF(COUNT('Monthly data'!M87:M89)=3,'Monthly data'!M89-2*'Monthly data'!M88+'Monthly data'!M87,"")</x:f>
        <x:v>0.6835000000000002</x:v>
      </x:c>
      <x:c r="S89" s="8" t="n">
        <x:f>IF(COUNT('Monthly data'!N87:N89)=3,'Monthly data'!N89-2*'Monthly data'!N88+'Monthly data'!N87,"")</x:f>
        <x:v>-3.2609999999999975</x:v>
      </x:c>
      <x:c r="T89" s="8" t="n">
        <x:f>IF(COUNT('Monthly data'!E88:E89)=2,'Monthly data'!E89-'Monthly data'!E88,"")</x:f>
        <x:v>0.0132090440999999</x:v>
      </x:c>
    </x:row>
    <x:row r="90" ht="19" customHeight="1">
      <x:c r="A90" s="7" t="n">
        <x:f>'Monthly data'!A90</x:f>
        <x:v>35551</x:v>
      </x:c>
      <x:c r="B90" s="8" t="n">
        <x:f>IF(ISNUMBER('Monthly data'!F90),LN(1+'Monthly data'!F90),"")</x:f>
        <x:v>4.350664958230868</x:v>
      </x:c>
      <x:c r="C90" s="8" t="n">
        <x:f>IF(ISNUMBER('Monthly data'!G90),LN(1+'Monthly data'!G90),"")</x:f>
        <x:v>2.128838664469755</x:v>
      </x:c>
      <x:c r="D90" s="8" t="n">
        <x:f>IF(ISNUMBER('Monthly data'!H90),LN(1+'Monthly data'!H90),"")</x:f>
        <x:v>3.5178271599802677</x:v>
      </x:c>
      <x:c r="E90" s="8" t="n">
        <x:f>IF(ISNUMBER('Monthly data'!I90),LN(1+'Monthly data'!I90),"")</x:f>
        <x:v>1.9008530084749886</x:v>
      </x:c>
      <x:c r="F90" s="8" t="n">
        <x:f>IF(ISNUMBER('Monthly data'!J90),LN(1+'Monthly data'!J90),"")</x:f>
        <x:v>2.7008443008518808</x:v>
      </x:c>
      <x:c r="G90" s="8" t="n">
        <x:f>IF(ISNUMBER('Monthly data'!K90),LN(1+'Monthly data'!K90),"")</x:f>
        <x:v>0.9037322026267594</x:v>
      </x:c>
      <x:c r="H90" s="8" t="n">
        <x:f>IF(ISNUMBER('Monthly data'!L90),LN(1+'Monthly data'!L90),"")</x:f>
        <x:v>1.9411847160479818</x:v>
      </x:c>
      <x:c r="I90" s="8" t="n">
        <x:f>IF(ISNUMBER('Monthly data'!M90),LN(1+'Monthly data'!M90),"")</x:f>
        <x:v>1.125189303518562</x:v>
      </x:c>
      <x:c r="J90" s="8" t="n">
        <x:f>IF(ISNUMBER('Monthly data'!N90),LN(1+'Monthly data'!N90),"")</x:f>
        <x:v>2.117856641952647</x:v>
      </x:c>
      <x:c r="K90" s="8" t="n">
        <x:f>IF(COUNT('Monthly data'!F88:F90)=3,'Monthly data'!F90-2*'Monthly data'!F89+'Monthly data'!F88,"")</x:f>
        <x:v>1.1899999999999977</x:v>
      </x:c>
      <x:c r="L90" s="8" t="n">
        <x:f>IF(COUNT('Monthly data'!G88:G90)=3,'Monthly data'!G90-2*'Monthly data'!G89+'Monthly data'!G88,"")</x:f>
        <x:v>-6.048100000000001</x:v>
      </x:c>
      <x:c r="M90" s="8" t="n">
        <x:f>IF(COUNT('Monthly data'!H88:H90)=3,'Monthly data'!H90-2*'Monthly data'!H89+'Monthly data'!H88,"")</x:f>
        <x:v>4.306900000000006</x:v>
      </x:c>
      <x:c r="N90" s="8" t="n">
        <x:f>IF(COUNT('Monthly data'!I88:I90)=3,'Monthly data'!I90-2*'Monthly data'!I89+'Monthly data'!I88,"")</x:f>
        <x:v>-7.752499999999998</x:v>
      </x:c>
      <x:c r="O90" s="8" t="n">
        <x:f>IF(COUNT('Monthly data'!J88:J90)=3,'Monthly data'!J90-2*'Monthly data'!J89+'Monthly data'!J88,"")</x:f>
        <x:v>1.6798000000000002</x:v>
      </x:c>
      <x:c r="P90" s="8" t="n">
        <x:f>IF(COUNT('Monthly data'!K88:K90)=3,'Monthly data'!K90-2*'Monthly data'!K89+'Monthly data'!K88,"")</x:f>
        <x:v>-0.9057999999999999</x:v>
      </x:c>
      <x:c r="Q90" s="8" t="n">
        <x:f>IF(COUNT('Monthly data'!L88:L90)=3,'Monthly data'!L90-2*'Monthly data'!L89+'Monthly data'!L88,"")</x:f>
        <x:v>6.668499999999999</x:v>
      </x:c>
      <x:c r="R90" s="8" t="n">
        <x:f>IF(COUNT('Monthly data'!M88:M90)=3,'Monthly data'!M90-2*'Monthly data'!M89+'Monthly data'!M88,"")</x:f>
        <x:v>-0.2711000000000001</x:v>
      </x:c>
      <x:c r="S90" s="8" t="n">
        <x:f>IF(COUNT('Monthly data'!N88:N90)=3,'Monthly data'!N90-2*'Monthly data'!N89+'Monthly data'!N88,"")</x:f>
        <x:v>3.5123999999999995</x:v>
      </x:c>
      <x:c r="T90" s="8" t="n">
        <x:f>IF(COUNT('Monthly data'!E89:E90)=2,'Monthly data'!E90-'Monthly data'!E89,"")</x:f>
        <x:v>-0.010393732800000777</x:v>
      </x:c>
    </x:row>
    <x:row r="91" ht="19" customHeight="1">
      <x:c r="A91" s="7" t="n">
        <x:f>'Monthly data'!A91</x:f>
        <x:v>35582</x:v>
      </x:c>
      <x:c r="B91" s="8" t="n">
        <x:f>IF(ISNUMBER('Monthly data'!F91),LN(1+'Monthly data'!F91),"")</x:f>
        <x:v>4.2487809155265195</x:v>
      </x:c>
      <x:c r="C91" s="8" t="n">
        <x:f>IF(ISNUMBER('Monthly data'!G91),LN(1+'Monthly data'!G91),"")</x:f>
        <x:v>2.2166240732769396</x:v>
      </x:c>
      <x:c r="D91" s="8" t="n">
        <x:f>IF(ISNUMBER('Monthly data'!H91),LN(1+'Monthly data'!H91),"")</x:f>
        <x:v>3.384691912760269</x:v>
      </x:c>
      <x:c r="E91" s="8" t="n">
        <x:f>IF(ISNUMBER('Monthly data'!I91),LN(1+'Monthly data'!I91),"")</x:f>
        <x:v>2.219974925547909</x:v>
      </x:c>
      <x:c r="F91" s="8" t="n">
        <x:f>IF(ISNUMBER('Monthly data'!J91),LN(1+'Monthly data'!J91),"")</x:f>
        <x:v>2.4861392231905457</x:v>
      </x:c>
      <x:c r="G91" s="8" t="n">
        <x:f>IF(ISNUMBER('Monthly data'!K91),LN(1+'Monthly data'!K91),"")</x:f>
        <x:v>0.8961288400502025</x:v>
      </x:c>
      <x:c r="H91" s="8" t="n">
        <x:f>IF(ISNUMBER('Monthly data'!L91),LN(1+'Monthly data'!L91),"")</x:f>
        <x:v>1.6713793139742836</x:v>
      </x:c>
      <x:c r="I91" s="8" t="n">
        <x:f>IF(ISNUMBER('Monthly data'!M91),LN(1+'Monthly data'!M91),"")</x:f>
        <x:v>0.7615532132240057</x:v>
      </x:c>
      <x:c r="J91" s="8" t="n">
        <x:f>IF(ISNUMBER('Monthly data'!N91),LN(1+'Monthly data'!N91),"")</x:f>
        <x:v>1.9743032235565312</x:v>
      </x:c>
      <x:c r="K91" s="8" t="n">
        <x:f>IF(COUNT('Monthly data'!F89:F91)=3,'Monthly data'!F91-2*'Monthly data'!F90+'Monthly data'!F89,"")</x:f>
        <x:v>-0.960000000000008</x:v>
      </x:c>
      <x:c r="L91" s="8" t="n">
        <x:f>IF(COUNT('Monthly data'!G89:G91)=3,'Monthly data'!G91-2*'Monthly data'!G90+'Monthly data'!G89,"")</x:f>
        <x:v>3.5503</x:v>
      </x:c>
      <x:c r="M91" s="8" t="n">
        <x:f>IF(COUNT('Monthly data'!H89:H91)=3,'Monthly data'!H91-2*'Monthly data'!H90+'Monthly data'!H89,"")</x:f>
        <x:v>-2.6340000000000074</x:v>
      </x:c>
      <x:c r="N91" s="8" t="n">
        <x:f>IF(COUNT('Monthly data'!I89:I91)=3,'Monthly data'!I91-2*'Monthly data'!I90+'Monthly data'!I89,"")</x:f>
        <x:v>9.7389</x:v>
      </x:c>
      <x:c r="O91" s="8" t="n">
        <x:f>IF(COUNT('Monthly data'!J89:J91)=3,'Monthly data'!J91-2*'Monthly data'!J90+'Monthly data'!J89,"")</x:f>
        <x:v>-0.8670000000000044</x:v>
      </x:c>
      <x:c r="P91" s="8" t="n">
        <x:f>IF(COUNT('Monthly data'!K89:K91)=3,'Monthly data'!K91-2*'Monthly data'!K90+'Monthly data'!K89,"")</x:f>
        <x:v>0.022499999999999742</x:v>
      </x:c>
      <x:c r="Q91" s="8" t="n">
        <x:f>IF(COUNT('Monthly data'!L89:L91)=3,'Monthly data'!L91-2*'Monthly data'!L90+'Monthly data'!L89,"")</x:f>
        <x:v>-7.196899999999999</x:v>
      </x:c>
      <x:c r="R91" s="8" t="n">
        <x:f>IF(COUNT('Monthly data'!M89:M91)=3,'Monthly data'!M91-2*'Monthly data'!M90+'Monthly data'!M89,"")</x:f>
        <x:v>-1.0603</x:v>
      </x:c>
      <x:c r="S91" s="8" t="n">
        <x:f>IF(COUNT('Monthly data'!N89:N91)=3,'Monthly data'!N91-2*'Monthly data'!N90+'Monthly data'!N89,"")</x:f>
        <x:v>-2.513700000000001</x:v>
      </x:c>
      <x:c r="T91" s="8" t="n">
        <x:f>IF(COUNT('Monthly data'!E90:E91)=2,'Monthly data'!E91-'Monthly data'!E90,"")</x:f>
        <x:v>-0.0137060249999994</x:v>
      </x:c>
    </x:row>
    <x:row r="92" ht="19" customHeight="1">
      <x:c r="A92" s="7" t="n">
        <x:f>'Monthly data'!A92</x:f>
        <x:v>35612</x:v>
      </x:c>
      <x:c r="B92" s="8" t="n">
        <x:f>IF(ISNUMBER('Monthly data'!F92),LN(1+'Monthly data'!F92),"")</x:f>
        <x:v>4.3225419878389895</x:v>
      </x:c>
      <x:c r="C92" s="8" t="n">
        <x:f>IF(ISNUMBER('Monthly data'!G92),LN(1+'Monthly data'!G92),"")</x:f>
        <x:v>2.4107845749707337</x:v>
      </x:c>
      <x:c r="D92" s="8" t="n">
        <x:f>IF(ISNUMBER('Monthly data'!H92),LN(1+'Monthly data'!H92),"")</x:f>
        <x:v>3.361735572780968</x:v>
      </x:c>
      <x:c r="E92" s="8" t="n">
        <x:f>IF(ISNUMBER('Monthly data'!I92),LN(1+'Monthly data'!I92),"")</x:f>
        <x:v>2.307194453550945</x:v>
      </x:c>
      <x:c r="F92" s="8" t="n">
        <x:f>IF(ISNUMBER('Monthly data'!J92),LN(1+'Monthly data'!J92),"")</x:f>
        <x:v>2.3970221644774803</x:v>
      </x:c>
      <x:c r="G92" s="8" t="n">
        <x:f>IF(ISNUMBER('Monthly data'!K92),LN(1+'Monthly data'!K92),"")</x:f>
        <x:v>1.1120877520695331</x:v>
      </x:c>
      <x:c r="H92" s="8" t="n">
        <x:f>IF(ISNUMBER('Monthly data'!L92),LN(1+'Monthly data'!L92),"")</x:f>
        <x:v>2.1950221537810193</x:v>
      </x:c>
      <x:c r="I92" s="8" t="n">
        <x:f>IF(ISNUMBER('Monthly data'!M92),LN(1+'Monthly data'!M92),"")</x:f>
        <x:v>0.7689037929591916</x:v>
      </x:c>
      <x:c r="J92" s="8" t="n">
        <x:f>IF(ISNUMBER('Monthly data'!N92),LN(1+'Monthly data'!N92),"")</x:f>
        <x:v>1.9717310447554681</x:v>
      </x:c>
      <x:c r="K92" s="8" t="n">
        <x:f>IF(COUNT('Monthly data'!F90:F92)=3,'Monthly data'!F92-2*'Monthly data'!F91+'Monthly data'!F90,"")</x:f>
        <x:v>12.870000000000005</x:v>
      </x:c>
      <x:c r="L92" s="8" t="n">
        <x:f>IF(COUNT('Monthly data'!G90:G92)=3,'Monthly data'!G92-2*'Monthly data'!G91+'Monthly data'!G90,"")</x:f>
        <x:v>1.1952000000000007</x:v>
      </x:c>
      <x:c r="M92" s="8" t="n">
        <x:f>IF(COUNT('Monthly data'!H90:H92)=3,'Monthly data'!H92-2*'Monthly data'!H91+'Monthly data'!H90,"")</x:f>
        <x:v>3.5325000000000024</x:v>
      </x:c>
      <x:c r="N92" s="8" t="n">
        <x:f>IF(COUNT('Monthly data'!I90:I92)=3,'Monthly data'!I92-2*'Monthly data'!I91+'Monthly data'!I90,"")</x:f>
        <x:v>-1.6764000000000001</x:v>
      </x:c>
      <x:c r="O92" s="8" t="n">
        <x:f>IF(COUNT('Monthly data'!J90:J92)=3,'Monthly data'!J92-2*'Monthly data'!J91+'Monthly data'!J90,"")</x:f>
        <x:v>1.8531000000000013</x:v>
      </x:c>
      <x:c r="P92" s="8" t="n">
        <x:f>IF(COUNT('Monthly data'!K90:K92)=3,'Monthly data'!K92-2*'Monthly data'!K91+'Monthly data'!K90,"")</x:f>
        <x:v>0.6093000000000004</x:v>
      </x:c>
      <x:c r="Q92" s="8" t="n">
        <x:f>IF(COUNT('Monthly data'!L90:L92)=3,'Monthly data'!L92-2*'Monthly data'!L91+'Monthly data'!L90,"")</x:f>
        <x:v>5.3082</x:v>
      </x:c>
      <x:c r="R92" s="8" t="n">
        <x:f>IF(COUNT('Monthly data'!M90:M92)=3,'Monthly data'!M92-2*'Monthly data'!M91+'Monthly data'!M90,"")</x:f>
        <x:v>0.9550000000000001</x:v>
      </x:c>
      <x:c r="S92" s="8" t="n">
        <x:f>IF(COUNT('Monthly data'!N90:N92)=3,'Monthly data'!N92-2*'Monthly data'!N91+'Monthly data'!N90,"")</x:f>
        <x:v>1.0931999999999995</x:v>
      </x:c>
      <x:c r="T92" s="8" t="n">
        <x:f>IF(COUNT('Monthly data'!E91:E92)=2,'Monthly data'!E92-'Monthly data'!E91,"")</x:f>
        <x:v>0.012504952999998764</x:v>
      </x:c>
    </x:row>
    <x:row r="93" ht="19" customHeight="1">
      <x:c r="A93" s="7" t="n">
        <x:f>'Monthly data'!A93</x:f>
        <x:v>35643</x:v>
      </x:c>
      <x:c r="B93" s="8" t="n">
        <x:f>IF(ISNUMBER('Monthly data'!F93),LN(1+'Monthly data'!F93),"")</x:f>
        <x:v>4.283034685466931</x:v>
      </x:c>
      <x:c r="C93" s="8" t="n">
        <x:f>IF(ISNUMBER('Monthly data'!G93),LN(1+'Monthly data'!G93),"")</x:f>
        <x:v>2.292211472566485</x:v>
      </x:c>
      <x:c r="D93" s="8" t="n">
        <x:f>IF(ISNUMBER('Monthly data'!H93),LN(1+'Monthly data'!H93),"")</x:f>
        <x:v>3.3345624423525972</x:v>
      </x:c>
      <x:c r="E93" s="8" t="n">
        <x:f>IF(ISNUMBER('Monthly data'!I93),LN(1+'Monthly data'!I93),"")</x:f>
        <x:v>2.57129839039821</x:v>
      </x:c>
      <x:c r="F93" s="8" t="n">
        <x:f>IF(ISNUMBER('Monthly data'!J93),LN(1+'Monthly data'!J93),"")</x:f>
        <x:v>2.3821907821119592</x:v>
      </x:c>
      <x:c r="G93" s="8" t="n">
        <x:f>IF(ISNUMBER('Monthly data'!K93),LN(1+'Monthly data'!K93),"")</x:f>
        <x:v>0.9053511118357697</x:v>
      </x:c>
      <x:c r="H93" s="8" t="n">
        <x:f>IF(ISNUMBER('Monthly data'!L93),LN(1+'Monthly data'!L93),"")</x:f>
        <x:v>1.2933563654606215</x:v>
      </x:c>
      <x:c r="I93" s="8" t="n">
        <x:f>IF(ISNUMBER('Monthly data'!M93),LN(1+'Monthly data'!M93),"")</x:f>
        <x:v>1.2426260488070144</x:v>
      </x:c>
      <x:c r="J93" s="8" t="n">
        <x:f>IF(ISNUMBER('Monthly data'!N93),LN(1+'Monthly data'!N93),"")</x:f>
        <x:v>2.0798414617011627</x:v>
      </x:c>
      <x:c r="K93" s="8" t="n">
        <x:f>IF(COUNT('Monthly data'!F91:F93)=3,'Monthly data'!F93-2*'Monthly data'!F92+'Monthly data'!F91,"")</x:f>
        <x:v>-8.280000000000001</x:v>
      </x:c>
      <x:c r="L93" s="8" t="n">
        <x:f>IF(COUNT('Monthly data'!G91:G93)=3,'Monthly data'!G93-2*'Monthly data'!G92+'Monthly data'!G91,"")</x:f>
        <x:v>-3.212299999999999</x:v>
      </x:c>
      <x:c r="M93" s="8" t="n">
        <x:f>IF(COUNT('Monthly data'!H91:H93)=3,'Monthly data'!H93-2*'Monthly data'!H92+'Monthly data'!H91,"")</x:f>
        <x:v>-0.10340000000000416</x:v>
      </x:c>
      <x:c r="N93" s="8" t="n">
        <x:f>IF(COUNT('Monthly data'!I91:I93)=3,'Monthly data'!I93-2*'Monthly data'!I92+'Monthly data'!I91,"")</x:f>
        <x:v>2.1975</x:v>
      </x:c>
      <x:c r="O93" s="8" t="n">
        <x:f>IF(COUNT('Monthly data'!J91:J93)=3,'Monthly data'!J93-2*'Monthly data'!J92+'Monthly data'!J91,"")</x:f>
        <x:v>0.8626000000000005</x:v>
      </x:c>
      <x:c r="P93" s="8" t="n">
        <x:f>IF(COUNT('Monthly data'!K91:K93)=3,'Monthly data'!K93-2*'Monthly data'!K92+'Monthly data'!K91,"")</x:f>
        <x:v>-1.1585</x:v>
      </x:c>
      <x:c r="Q93" s="8" t="n">
        <x:f>IF(COUNT('Monthly data'!L91:L93)=3,'Monthly data'!L93-2*'Monthly data'!L92+'Monthly data'!L91,"")</x:f>
        <x:v>-8.9959</x:v>
      </x:c>
      <x:c r="R93" s="8" t="n">
        <x:f>IF(COUNT('Monthly data'!M91:M93)=3,'Monthly data'!M93-2*'Monthly data'!M92+'Monthly data'!M91,"")</x:f>
        <x:v>1.2915</x:v>
      </x:c>
      <x:c r="S93" s="8" t="n">
        <x:f>IF(COUNT('Monthly data'!N91:N93)=3,'Monthly data'!N93-2*'Monthly data'!N92+'Monthly data'!N91,"")</x:f>
        <x:v>0.8386000000000005</x:v>
      </x:c>
      <x:c r="T93" s="8" t="n">
        <x:f>IF(COUNT('Monthly data'!E92:E93)=2,'Monthly data'!E93-'Monthly data'!E92,"")</x:f>
        <x:v>0.01203407350000063</x:v>
      </x:c>
    </x:row>
    <x:row r="94" ht="19" customHeight="1">
      <x:c r="A94" s="7" t="n">
        <x:f>'Monthly data'!A94</x:f>
        <x:v>35674</x:v>
      </x:c>
      <x:c r="B94" s="8" t="n">
        <x:f>IF(ISNUMBER('Monthly data'!F94),LN(1+'Monthly data'!F94),"")</x:f>
        <x:v>4.11561669749764</x:v>
      </x:c>
      <x:c r="C94" s="8" t="n">
        <x:f>IF(ISNUMBER('Monthly data'!G94),LN(1+'Monthly data'!G94),"")</x:f>
        <x:v>2.1314052362989258</x:v>
      </x:c>
      <x:c r="D94" s="8" t="n">
        <x:f>IF(ISNUMBER('Monthly data'!H94),LN(1+'Monthly data'!H94),"")</x:f>
        <x:v>3.3779492253423453</x:v>
      </x:c>
      <x:c r="E94" s="8" t="n">
        <x:f>IF(ISNUMBER('Monthly data'!I94),LN(1+'Monthly data'!I94),"")</x:f>
        <x:v>2.2997310240111393</x:v>
      </x:c>
      <x:c r="F94" s="8" t="n">
        <x:f>IF(ISNUMBER('Monthly data'!J94),LN(1+'Monthly data'!J94),"")</x:f>
        <x:v>1.86657314469556</x:v>
      </x:c>
      <x:c r="G94" s="8" t="n">
        <x:f>IF(ISNUMBER('Monthly data'!K94),LN(1+'Monthly data'!K94),"")</x:f>
        <x:v>0.9103933766080712</x:v>
      </x:c>
      <x:c r="H94" s="8" t="n">
        <x:f>IF(ISNUMBER('Monthly data'!L94),LN(1+'Monthly data'!L94),"")</x:f>
        <x:v>0.5554356346844596</x:v>
      </x:c>
      <x:c r="I94" s="8" t="n">
        <x:f>IF(ISNUMBER('Monthly data'!M94),LN(1+'Monthly data'!M94),"")</x:f>
        <x:v>0.9513875689115845</x:v>
      </x:c>
      <x:c r="J94" s="8" t="n">
        <x:f>IF(ISNUMBER('Monthly data'!N94),LN(1+'Monthly data'!N94),"")</x:f>
        <x:v>1.9875729328703087</x:v>
      </x:c>
      <x:c r="K94" s="8" t="n">
        <x:f>IF(COUNT('Monthly data'!F92:F94)=3,'Monthly data'!F94-2*'Monthly data'!F93+'Monthly data'!F92,"")</x:f>
        <x:v>-8.25</x:v>
      </x:c>
      <x:c r="L94" s="8" t="n">
        <x:f>IF(COUNT('Monthly data'!G92:G94)=3,'Monthly data'!G94-2*'Monthly data'!G93+'Monthly data'!G92,"")</x:f>
        <x:v>-0.2242000000000015</x:v>
      </x:c>
      <x:c r="M94" s="8" t="n">
        <x:f>IF(COUNT('Monthly data'!H92:H94)=3,'Monthly data'!H94-2*'Monthly data'!H93+'Monthly data'!H92,"")</x:f>
        <x:v>2.017600000000005</x:v>
      </x:c>
      <x:c r="N94" s="8" t="n">
        <x:f>IF(COUNT('Monthly data'!I92:I94)=3,'Monthly data'!I94-2*'Monthly data'!I93+'Monthly data'!I92,"")</x:f>
        <x:v>-6.1479</x:v>
      </x:c>
      <x:c r="O94" s="8" t="n">
        <x:f>IF(COUNT('Monthly data'!J92:J94)=3,'Monthly data'!J94-2*'Monthly data'!J93+'Monthly data'!J92,"")</x:f>
        <x:v>-4.200699999999999</x:v>
      </x:c>
      <x:c r="P94" s="8" t="n">
        <x:f>IF(COUNT('Monthly data'!K92:K94)=3,'Monthly data'!K94-2*'Monthly data'!K93+'Monthly data'!K92,"")</x:f>
        <x:v>0.5804</x:v>
      </x:c>
      <x:c r="Q94" s="8" t="n">
        <x:f>IF(COUNT('Monthly data'!L92:L94)=3,'Monthly data'!L94-2*'Monthly data'!L93+'Monthly data'!L92,"")</x:f>
        <x:v>3.4329</x:v>
      </x:c>
      <x:c r="R94" s="8" t="n">
        <x:f>IF(COUNT('Monthly data'!M92:M94)=3,'Monthly data'!M94-2*'Monthly data'!M93+'Monthly data'!M92,"")</x:f>
        <x:v>-2.1827000000000005</x:v>
      </x:c>
      <x:c r="S94" s="8" t="n">
        <x:f>IF(COUNT('Monthly data'!N92:N94)=3,'Monthly data'!N94-2*'Monthly data'!N93+'Monthly data'!N92,"")</x:f>
        <x:v>-1.5255</x:v>
      </x:c>
      <x:c r="T94" s="8" t="n">
        <x:f>IF(COUNT('Monthly data'!E93:E94)=2,'Monthly data'!E94-'Monthly data'!E93,"")</x:f>
        <x:v>0.0033009438999993534</x:v>
      </x:c>
    </x:row>
    <x:row r="95" ht="19" customHeight="1">
      <x:c r="A95" s="7" t="n">
        <x:f>'Monthly data'!A95</x:f>
        <x:v>35704</x:v>
      </x:c>
      <x:c r="B95" s="8" t="n">
        <x:f>IF(ISNUMBER('Monthly data'!F95),LN(1+'Monthly data'!F95),"")</x:f>
        <x:v>4.139636551413807</x:v>
      </x:c>
      <x:c r="C95" s="8" t="n">
        <x:f>IF(ISNUMBER('Monthly data'!G95),LN(1+'Monthly data'!G95),"")</x:f>
        <x:v>2.0236777431470196</x:v>
      </x:c>
      <x:c r="D95" s="8" t="n">
        <x:f>IF(ISNUMBER('Monthly data'!H95),LN(1+'Monthly data'!H95),"")</x:f>
        <x:v>3.382500342977593</x:v>
      </x:c>
      <x:c r="E95" s="8" t="n">
        <x:f>IF(ISNUMBER('Monthly data'!I95),LN(1+'Monthly data'!I95),"")</x:f>
        <x:v>1.9879154432003434</x:v>
      </x:c>
      <x:c r="F95" s="8" t="n">
        <x:f>IF(ISNUMBER('Monthly data'!J95),LN(1+'Monthly data'!J95),"")</x:f>
        <x:v>1.9806013888452436</x:v>
      </x:c>
      <x:c r="G95" s="8" t="n">
        <x:f>IF(ISNUMBER('Monthly data'!K95),LN(1+'Monthly data'!K95),"")</x:f>
        <x:v>1.0035320824178398</x:v>
      </x:c>
      <x:c r="H95" s="8" t="n">
        <x:f>IF(ISNUMBER('Monthly data'!L95),LN(1+'Monthly data'!L95),"")</x:f>
        <x:v>0.9010146443216386</x:v>
      </x:c>
      <x:c r="I95" s="8" t="n">
        <x:f>IF(ISNUMBER('Monthly data'!M95),LN(1+'Monthly data'!M95),"")</x:f>
        <x:v>1.6015871758893867</x:v>
      </x:c>
      <x:c r="J95" s="8" t="n">
        <x:f>IF(ISNUMBER('Monthly data'!N95),LN(1+'Monthly data'!N95),"")</x:f>
        <x:v>2.0883021701120326</x:v>
      </x:c>
      <x:c r="K95" s="8" t="n">
        <x:f>IF(COUNT('Monthly data'!F93:F95)=3,'Monthly data'!F95-2*'Monthly data'!F94+'Monthly data'!F93,"")</x:f>
        <x:v>12.659999999999997</x:v>
      </x:c>
      <x:c r="L95" s="8" t="n">
        <x:f>IF(COUNT('Monthly data'!G93:G95)=3,'Monthly data'!G95-2*'Monthly data'!G94+'Monthly data'!G93,"")</x:f>
        <x:v>0.6094999999999988</x:v>
      </x:c>
      <x:c r="M95" s="8" t="n">
        <x:f>IF(COUNT('Monthly data'!H93:H95)=3,'Monthly data'!H95-2*'Monthly data'!H94+'Monthly data'!H93,"")</x:f>
        <x:v>-1.1108000000000047</x:v>
      </x:c>
      <x:c r="N95" s="8" t="n">
        <x:f>IF(COUNT('Monthly data'!I93:I95)=3,'Monthly data'!I95-2*'Monthly data'!I94+'Monthly data'!I93,"")</x:f>
        <x:v>0.44009999999999927</x:v>
      </x:c>
      <x:c r="O95" s="8" t="n">
        <x:f>IF(COUNT('Monthly data'!J93:J95)=3,'Monthly data'!J95-2*'Monthly data'!J94+'Monthly data'!J93,"")</x:f>
        <x:v>5.1434999999999995</x:v>
      </x:c>
      <x:c r="P95" s="8" t="n">
        <x:f>IF(COUNT('Monthly data'!K93:K95)=3,'Monthly data'!K95-2*'Monthly data'!K94+'Monthly data'!K93,"")</x:f>
        <x:v>0.23009999999999997</x:v>
      </x:c>
      <x:c r="Q95" s="8" t="n">
        <x:f>IF(COUNT('Monthly data'!L93:L95)=3,'Monthly data'!L95-2*'Monthly data'!L94+'Monthly data'!L93,"")</x:f>
        <x:v>2.6216999999999997</x:v>
      </x:c>
      <x:c r="R95" s="8" t="n">
        <x:f>IF(COUNT('Monthly data'!M93:M95)=3,'Monthly data'!M95-2*'Monthly data'!M94+'Monthly data'!M93,"")</x:f>
        <x:v>3.2470000000000003</x:v>
      </x:c>
      <x:c r="S95" s="8" t="n">
        <x:f>IF(COUNT('Monthly data'!N93:N95)=3,'Monthly data'!N95-2*'Monthly data'!N94+'Monthly data'!N93,"")</x:f>
        <x:v>1.4788000000000006</x:v>
      </x:c>
      <x:c r="T95" s="8" t="n">
        <x:f>IF(COUNT('Monthly data'!E94:E95)=2,'Monthly data'!E95-'Monthly data'!E94,"")</x:f>
        <x:v>0.016082791400000573</x:v>
      </x:c>
    </x:row>
    <x:row r="96" ht="19" customHeight="1">
      <x:c r="A96" s="7" t="n">
        <x:f>'Monthly data'!A96</x:f>
        <x:v>35735</x:v>
      </x:c>
      <x:c r="B96" s="8" t="n">
        <x:f>IF(ISNUMBER('Monthly data'!F96),LN(1+'Monthly data'!F96),"")</x:f>
        <x:v>4.2961963780686885</x:v>
      </x:c>
      <x:c r="C96" s="8" t="n">
        <x:f>IF(ISNUMBER('Monthly data'!G96),LN(1+'Monthly data'!G96),"")</x:f>
        <x:v>1.9643813581946845</x:v>
      </x:c>
      <x:c r="D96" s="8" t="n">
        <x:f>IF(ISNUMBER('Monthly data'!H96),LN(1+'Monthly data'!H96),"")</x:f>
        <x:v>3.597142383146392</x:v>
      </x:c>
      <x:c r="E96" s="8" t="n">
        <x:f>IF(ISNUMBER('Monthly data'!I96),LN(1+'Monthly data'!I96),"")</x:f>
        <x:v>2.533863466736753</x:v>
      </x:c>
      <x:c r="F96" s="8" t="n">
        <x:f>IF(ISNUMBER('Monthly data'!J96),LN(1+'Monthly data'!J96),"")</x:f>
        <x:v>1.3063849778915888</x:v>
      </x:c>
      <x:c r="G96" s="8" t="n">
        <x:f>IF(ISNUMBER('Monthly data'!K96),LN(1+'Monthly data'!K96),"")</x:f>
        <x:v>1.0106914072956394</x:v>
      </x:c>
      <x:c r="H96" s="8" t="n">
        <x:f>IF(ISNUMBER('Monthly data'!L96),LN(1+'Monthly data'!L96),"")</x:f>
        <x:v>0.7500944610016954</x:v>
      </x:c>
      <x:c r="I96" s="8" t="n">
        <x:f>IF(ISNUMBER('Monthly data'!M96),LN(1+'Monthly data'!M96),"")</x:f>
        <x:v>1.5218954853714286</x:v>
      </x:c>
      <x:c r="J96" s="8" t="n">
        <x:f>IF(ISNUMBER('Monthly data'!N96),LN(1+'Monthly data'!N96),"")</x:f>
        <x:v>2.402900905507138</x:v>
      </x:c>
      <x:c r="K96" s="8" t="n">
        <x:f>IF(COUNT('Monthly data'!F94:F96)=3,'Monthly data'!F96-2*'Monthly data'!F95+'Monthly data'!F94,"")</x:f>
        <x:v>9.149999999999999</x:v>
      </x:c>
      <x:c r="L96" s="8" t="n">
        <x:f>IF(COUNT('Monthly data'!G94:G96)=3,'Monthly data'!G96-2*'Monthly data'!G95+'Monthly data'!G94,"")</x:f>
        <x:v>0.4250000000000007</x:v>
      </x:c>
      <x:c r="M96" s="8" t="n">
        <x:f>IF(COUNT('Monthly data'!H94:H96)=3,'Monthly data'!H96-2*'Monthly data'!H95+'Monthly data'!H94,"")</x:f>
        <x:v>6.915800000000004</x:v>
      </x:c>
      <x:c r="N96" s="8" t="n">
        <x:f>IF(COUNT('Monthly data'!I94:I96)=3,'Monthly data'!I96-2*'Monthly data'!I95+'Monthly data'!I94,"")</x:f>
        <x:v>7.973000000000001</x:v>
      </x:c>
      <x:c r="O96" s="8" t="n">
        <x:f>IF(COUNT('Monthly data'!J94:J96)=3,'Monthly data'!J96-2*'Monthly data'!J95+'Monthly data'!J94,"")</x:f>
        <x:v>-4.335299999999999</x:v>
      </x:c>
      <x:c r="P96" s="8" t="n">
        <x:f>IF(COUNT('Monthly data'!K94:K96)=3,'Monthly data'!K96-2*'Monthly data'!K95+'Monthly data'!K94,"")</x:f>
        <x:v>-0.22299999999999986</x:v>
      </x:c>
      <x:c r="Q96" s="8" t="n">
        <x:f>IF(COUNT('Monthly data'!L94:L96)=3,'Monthly data'!L96-2*'Monthly data'!L95+'Monthly data'!L94,"")</x:f>
        <x:v>-1.0642999999999998</x:v>
      </x:c>
      <x:c r="R96" s="8" t="n">
        <x:f>IF(COUNT('Monthly data'!M94:M96)=3,'Monthly data'!M96-2*'Monthly data'!M95+'Monthly data'!M94,"")</x:f>
        <x:v>-2.7516</x:v>
      </x:c>
      <x:c r="S96" s="8" t="n">
        <x:f>IF(COUNT('Monthly data'!N94:N96)=3,'Monthly data'!N96-2*'Monthly data'!N95+'Monthly data'!N94,"")</x:f>
        <x:v>2.2105999999999986</x:v>
      </x:c>
      <x:c r="T96" s="8" t="n">
        <x:f>IF(COUNT('Monthly data'!E95:E96)=2,'Monthly data'!E96-'Monthly data'!E95,"")</x:f>
        <x:v>-0.005273398299999954</x:v>
      </x:c>
    </x:row>
    <x:row r="97" ht="19" customHeight="1">
      <x:c r="A97" s="7" t="n">
        <x:f>'Monthly data'!A97</x:f>
        <x:v>35765</x:v>
      </x:c>
      <x:c r="B97" s="8" t="n">
        <x:f>IF(ISNUMBER('Monthly data'!F97),LN(1+'Monthly data'!F97),"")</x:f>
        <x:v>4.267316996289947</x:v>
      </x:c>
      <x:c r="C97" s="8" t="n">
        <x:f>IF(ISNUMBER('Monthly data'!G97),LN(1+'Monthly data'!G97),"")</x:f>
        <x:v>2.081227446002943</x:v>
      </x:c>
      <x:c r="D97" s="8" t="n">
        <x:f>IF(ISNUMBER('Monthly data'!H97),LN(1+'Monthly data'!H97),"")</x:f>
        <x:v>3.4792411697495216</x:v>
      </x:c>
      <x:c r="E97" s="8" t="n">
        <x:f>IF(ISNUMBER('Monthly data'!I97),LN(1+'Monthly data'!I97),"")</x:f>
        <x:v>2.0954748189918186</x:v>
      </x:c>
      <x:c r="F97" s="8" t="n">
        <x:f>IF(ISNUMBER('Monthly data'!J97),LN(1+'Monthly data'!J97),"")</x:f>
        <x:v>1.909453612044698</x:v>
      </x:c>
      <x:c r="G97" s="8" t="n">
        <x:f>IF(ISNUMBER('Monthly data'!K97),LN(1+'Monthly data'!K97),"")</x:f>
        <x:v>0.9702484734675393</x:v>
      </x:c>
      <x:c r="H97" s="8" t="n">
        <x:f>IF(ISNUMBER('Monthly data'!L97),LN(1+'Monthly data'!L97),"")</x:f>
        <x:v>0.830122635587023</x:v>
      </x:c>
      <x:c r="I97" s="8" t="n">
        <x:f>IF(ISNUMBER('Monthly data'!M97),LN(1+'Monthly data'!M97),"")</x:f>
        <x:v>0.9256864535145174</x:v>
      </x:c>
      <x:c r="J97" s="8" t="n">
        <x:f>IF(ISNUMBER('Monthly data'!N97),LN(1+'Monthly data'!N97),"")</x:f>
        <x:v>2.7438098033101745</x:v>
      </x:c>
      <x:c r="K97" s="8" t="n">
        <x:f>IF(COUNT('Monthly data'!F95:F97)=3,'Monthly data'!F97-2*'Monthly data'!F96+'Monthly data'!F95,"")</x:f>
        <x:v>-12.730000000000004</x:v>
      </x:c>
      <x:c r="L97" s="8" t="n">
        <x:f>IF(COUNT('Monthly data'!G95:G97)=3,'Monthly data'!G97-2*'Monthly data'!G96+'Monthly data'!G95,"")</x:f>
        <x:v>1.3194000000000008</x:v>
      </x:c>
      <x:c r="M97" s="8" t="n">
        <x:f>IF(COUNT('Monthly data'!H95:H97)=3,'Monthly data'!H97-2*'Monthly data'!H96+'Monthly data'!H95,"")</x:f>
        <x:v>-11.108200000000004</x:v>
      </x:c>
      <x:c r="N97" s="8" t="n">
        <x:f>IF(COUNT('Monthly data'!I95:I97)=3,'Monthly data'!I97-2*'Monthly data'!I96+'Monthly data'!I95,"")</x:f>
        <x:v>-9.7746</x:v>
      </x:c>
      <x:c r="O97" s="8" t="n">
        <x:f>IF(COUNT('Monthly data'!J95:J97)=3,'Monthly data'!J97-2*'Monthly data'!J96+'Monthly data'!J95,"")</x:f>
        <x:v>6.610899999999999</x:v>
      </x:c>
      <x:c r="P97" s="8" t="n">
        <x:f>IF(COUNT('Monthly data'!K95:K97)=3,'Monthly data'!K97-2*'Monthly data'!K96+'Monthly data'!K95,"")</x:f>
        <x:v>-0.12850000000000006</x:v>
      </x:c>
      <x:c r="Q97" s="8" t="n">
        <x:f>IF(COUNT('Monthly data'!L95:L97)=3,'Monthly data'!L97-2*'Monthly data'!L96+'Monthly data'!L95,"")</x:f>
        <x:v>0.5213000000000001</x:v>
      </x:c>
      <x:c r="R97" s="8" t="n">
        <x:f>IF(COUNT('Monthly data'!M95:M97)=3,'Monthly data'!M97-2*'Monthly data'!M96+'Monthly data'!M95,"")</x:f>
        <x:v>-1.6773000000000002</x:v>
      </x:c>
      <x:c r="S97" s="8" t="n">
        <x:f>IF(COUNT('Monthly data'!N95:N97)=3,'Monthly data'!N97-2*'Monthly data'!N96+'Monthly data'!N95,"")</x:f>
        <x:v>1.5069000000000008</x:v>
      </x:c>
      <x:c r="T97" s="8" t="n">
        <x:f>IF(COUNT('Monthly data'!E96:E97)=2,'Monthly data'!E97-'Monthly data'!E96,"")</x:f>
        <x:v>-0.0021072300000000155</x:v>
      </x:c>
    </x:row>
    <x:row r="98" ht="19" customHeight="1">
      <x:c r="A98" s="7" t="n">
        <x:f>'Monthly data'!A98</x:f>
        <x:v>35796</x:v>
      </x:c>
      <x:c r="B98" s="8" t="n">
        <x:f>IF(ISNUMBER('Monthly data'!F98),LN(1+'Monthly data'!F98),"")</x:f>
        <x:v>4.337552144572052</x:v>
      </x:c>
      <x:c r="C98" s="8" t="n">
        <x:f>IF(ISNUMBER('Monthly data'!G98),LN(1+'Monthly data'!G98),"")</x:f>
        <x:v>2.2602098094113643</x:v>
      </x:c>
      <x:c r="D98" s="8" t="n">
        <x:f>IF(ISNUMBER('Monthly data'!H98),LN(1+'Monthly data'!H98),"")</x:f>
        <x:v>3.5625563052798537</x:v>
      </x:c>
      <x:c r="E98" s="8" t="n">
        <x:f>IF(ISNUMBER('Monthly data'!I98),LN(1+'Monthly data'!I98),"")</x:f>
        <x:v>2.3694022660313627</x:v>
      </x:c>
      <x:c r="F98" s="8" t="n">
        <x:f>IF(ISNUMBER('Monthly data'!J98),LN(1+'Monthly data'!J98),"")</x:f>
        <x:v>2.113299342398458</x:v>
      </x:c>
      <x:c r="G98" s="8" t="n">
        <x:f>IF(ISNUMBER('Monthly data'!K98),LN(1+'Monthly data'!K98),"")</x:f>
        <x:v>0.6731485340532554</x:v>
      </x:c>
      <x:c r="H98" s="8" t="n">
        <x:f>IF(ISNUMBER('Monthly data'!L98),LN(1+'Monthly data'!L98),"")</x:f>
        <x:v>0.7024042018226222</x:v>
      </x:c>
      <x:c r="I98" s="8" t="n">
        <x:f>IF(ISNUMBER('Monthly data'!M98),LN(1+'Monthly data'!M98),"")</x:f>
        <x:v>0.9778748931852899</x:v>
      </x:c>
      <x:c r="J98" s="8" t="n">
        <x:f>IF(ISNUMBER('Monthly data'!N98),LN(1+'Monthly data'!N98),"")</x:f>
        <x:v>2.5708855495119245</x:v>
      </x:c>
      <x:c r="K98" s="8" t="n">
        <x:f>IF(COUNT('Monthly data'!F96:F98)=3,'Monthly data'!F98-2*'Monthly data'!F97+'Monthly data'!F96,"")</x:f>
        <x:v>7.280000000000001</x:v>
      </x:c>
      <x:c r="L98" s="8" t="n">
        <x:f>IF(COUNT('Monthly data'!G96:G98)=3,'Monthly data'!G98-2*'Monthly data'!G97+'Monthly data'!G96,"")</x:f>
        <x:v>0.6869999999999994</x:v>
      </x:c>
      <x:c r="M98" s="8" t="n">
        <x:f>IF(COUNT('Monthly data'!H96:H98)=3,'Monthly data'!H98-2*'Monthly data'!H97+'Monthly data'!H96,"")</x:f>
        <x:v>6.876800000000003</x:v>
      </x:c>
      <x:c r="N98" s="8" t="n">
        <x:f>IF(COUNT('Monthly data'!I96:I98)=3,'Monthly data'!I98-2*'Monthly data'!I97+'Monthly data'!I96,"")</x:f>
        <x:v>7.034500000000001</x:v>
      </x:c>
      <x:c r="O98" s="8" t="n">
        <x:f>IF(COUNT('Monthly data'!J96:J98)=3,'Monthly data'!J98-2*'Monthly data'!J97+'Monthly data'!J96,"")</x:f>
        <x:v>-1.530499999999999</x:v>
      </x:c>
      <x:c r="P98" s="8" t="n">
        <x:f>IF(COUNT('Monthly data'!K96:K98)=3,'Monthly data'!K98-2*'Monthly data'!K97+'Monthly data'!K96,"")</x:f>
        <x:v>-0.5693000000000001</x:v>
      </x:c>
      <x:c r="Q98" s="8" t="n">
        <x:f>IF(COUNT('Monthly data'!L96:L98)=3,'Monthly data'!L98-2*'Monthly data'!L97+'Monthly data'!L96,"")</x:f>
        <x:v>-0.45140000000000025</x:v>
      </x:c>
      <x:c r="R98" s="8" t="n">
        <x:f>IF(COUNT('Monthly data'!M96:M98)=3,'Monthly data'!M98-2*'Monthly data'!M97+'Monthly data'!M96,"")</x:f>
        <x:v>2.1925</x:v>
      </x:c>
      <x:c r="S98" s="8" t="n">
        <x:f>IF(COUNT('Monthly data'!N96:N98)=3,'Monthly data'!N98-2*'Monthly data'!N97+'Monthly data'!N96,"")</x:f>
        <x:v>-6.959599999999998</x:v>
      </x:c>
      <x:c r="T98" s="8" t="n">
        <x:f>IF(COUNT('Monthly data'!E97:E98)=2,'Monthly data'!E98-'Monthly data'!E97,"")</x:f>
        <x:v>0.011571649000000406</x:v>
      </x:c>
    </x:row>
    <x:row r="99" ht="19" customHeight="1">
      <x:c r="A99" s="7" t="n">
        <x:f>'Monthly data'!A99</x:f>
        <x:v>35827</x:v>
      </x:c>
      <x:c r="B99" s="8" t="n">
        <x:f>IF(ISNUMBER('Monthly data'!F99),LN(1+'Monthly data'!F99),"")</x:f>
        <x:v>4.565701442077724</x:v>
      </x:c>
      <x:c r="C99" s="8" t="n">
        <x:f>IF(ISNUMBER('Monthly data'!G99),LN(1+'Monthly data'!G99),"")</x:f>
        <x:v>3.5151300512006216</x:v>
      </x:c>
      <x:c r="D99" s="8" t="n">
        <x:f>IF(ISNUMBER('Monthly data'!H99),LN(1+'Monthly data'!H99),"")</x:f>
        <x:v>3.5797841951988576</x:v>
      </x:c>
      <x:c r="E99" s="8" t="n">
        <x:f>IF(ISNUMBER('Monthly data'!I99),LN(1+'Monthly data'!I99),"")</x:f>
        <x:v>2.303814337163763</x:v>
      </x:c>
      <x:c r="F99" s="8" t="n">
        <x:f>IF(ISNUMBER('Monthly data'!J99),LN(1+'Monthly data'!J99),"")</x:f>
        <x:v>1.7724916988703985</x:v>
      </x:c>
      <x:c r="G99" s="8" t="n">
        <x:f>IF(ISNUMBER('Monthly data'!K99),LN(1+'Monthly data'!K99),"")</x:f>
        <x:v>0.7383117325143189</x:v>
      </x:c>
      <x:c r="H99" s="8" t="n">
        <x:f>IF(ISNUMBER('Monthly data'!L99),LN(1+'Monthly data'!L99),"")</x:f>
        <x:v>0.5816568045265822</x:v>
      </x:c>
      <x:c r="I99" s="8" t="n">
        <x:f>IF(ISNUMBER('Monthly data'!M99),LN(1+'Monthly data'!M99),"")</x:f>
        <x:v>1.1195254102483165</x:v>
      </x:c>
      <x:c r="J99" s="8" t="n">
        <x:f>IF(ISNUMBER('Monthly data'!N99),LN(1+'Monthly data'!N99),"")</x:f>
        <x:v>2.3796664972566126</x:v>
      </x:c>
      <x:c r="K99" s="8" t="n">
        <x:f>IF(COUNT('Monthly data'!F97:F99)=3,'Monthly data'!F99-2*'Monthly data'!F98+'Monthly data'!F97,"")</x:f>
        <x:v>14.420000000000002</x:v>
      </x:c>
      <x:c r="L99" s="8" t="n">
        <x:f>IF(COUNT('Monthly data'!G97:G99)=3,'Monthly data'!G99-2*'Monthly data'!G98+'Monthly data'!G97,"")</x:f>
        <x:v>22.464399999999998</x:v>
      </x:c>
      <x:c r="M99" s="8" t="n">
        <x:f>IF(COUNT('Monthly data'!H97:H99)=3,'Monthly data'!H99-2*'Monthly data'!H98+'Monthly data'!H97,"")</x:f>
        <x:v>-2.2055000000000007</x:v>
      </x:c>
      <x:c r="N99" s="8" t="n">
        <x:f>IF(COUNT('Monthly data'!I97:I99)=3,'Monthly data'!I99-2*'Monthly data'!I98+'Monthly data'!I97,"")</x:f>
        <x:v>-3.240400000000002</x:v>
      </x:c>
      <x:c r="O99" s="8" t="n">
        <x:f>IF(COUNT('Monthly data'!J97:J99)=3,'Monthly data'!J99-2*'Monthly data'!J98+'Monthly data'!J97,"")</x:f>
        <x:v>-3.9161</x:v>
      </x:c>
      <x:c r="P99" s="8" t="n">
        <x:f>IF(COUNT('Monthly data'!K97:K99)=3,'Monthly data'!K99-2*'Monthly data'!K98+'Monthly data'!K97,"")</x:f>
        <x:v>0.8102</x:v>
      </x:c>
      <x:c r="Q99" s="8" t="n">
        <x:f>IF(COUNT('Monthly data'!L97:L99)=3,'Monthly data'!L99-2*'Monthly data'!L98+'Monthly data'!L97,"")</x:f>
        <x:v>0.04540000000000033</x:v>
      </x:c>
      <x:c r="R99" s="8" t="n">
        <x:f>IF(COUNT('Monthly data'!M97:M99)=3,'Monthly data'!M99-2*'Monthly data'!M98+'Monthly data'!M97,"")</x:f>
        <x:v>0.2694000000000001</x:v>
      </x:c>
      <x:c r="S99" s="8" t="n">
        <x:f>IF(COUNT('Monthly data'!N97:N99)=3,'Monthly data'!N99-2*'Monthly data'!N98+'Monthly data'!N97,"")</x:f>
        <x:v>0.192599999999997</x:v>
      </x:c>
      <x:c r="T99" s="8" t="n">
        <x:f>IF(COUNT('Monthly data'!E98:E99)=2,'Monthly data'!E99-'Monthly data'!E98,"")</x:f>
        <x:v>0.008224591599999442</x:v>
      </x:c>
    </x:row>
    <x:row r="100" ht="19" customHeight="1">
      <x:c r="A100" s="7" t="n">
        <x:f>'Monthly data'!A100</x:f>
        <x:v>35855</x:v>
      </x:c>
      <x:c r="B100" s="8" t="n">
        <x:f>IF(ISNUMBER('Monthly data'!F100),LN(1+'Monthly data'!F100),"")</x:f>
        <x:v>4.2287297569205435</x:v>
      </x:c>
      <x:c r="C100" s="8" t="n">
        <x:f>IF(ISNUMBER('Monthly data'!G100),LN(1+'Monthly data'!G100),"")</x:f>
        <x:v>2.537253971826522</x:v>
      </x:c>
      <x:c r="D100" s="8" t="n">
        <x:f>IF(ISNUMBER('Monthly data'!H100),LN(1+'Monthly data'!H100),"")</x:f>
        <x:v>3.5186040502050253</x:v>
      </x:c>
      <x:c r="E100" s="8" t="n">
        <x:f>IF(ISNUMBER('Monthly data'!I100),LN(1+'Monthly data'!I100),"")</x:f>
        <x:v>1.899492169030937</x:v>
      </x:c>
      <x:c r="F100" s="8" t="n">
        <x:f>IF(ISNUMBER('Monthly data'!J100),LN(1+'Monthly data'!J100),"")</x:f>
        <x:v>1.6564932393098157</x:v>
      </x:c>
      <x:c r="G100" s="8" t="n">
        <x:f>IF(ISNUMBER('Monthly data'!K100),LN(1+'Monthly data'!K100),"")</x:f>
        <x:v>1.0659169058299676</x:v>
      </x:c>
      <x:c r="H100" s="8" t="n">
        <x:f>IF(ISNUMBER('Monthly data'!L100),LN(1+'Monthly data'!L100),"")</x:f>
        <x:v>0.8152320611101828</x:v>
      </x:c>
      <x:c r="I100" s="8" t="n">
        <x:f>IF(ISNUMBER('Monthly data'!M100),LN(1+'Monthly data'!M100),"")</x:f>
        <x:v>1.392077605875618</x:v>
      </x:c>
      <x:c r="J100" s="8" t="n">
        <x:f>IF(ISNUMBER('Monthly data'!N100),LN(1+'Monthly data'!N100),"")</x:f>
        <x:v>2.096556737535458</x:v>
      </x:c>
      <x:c r="K100" s="8" t="n">
        <x:f>IF(COUNT('Monthly data'!F98:F100)=3,'Monthly data'!F100-2*'Monthly data'!F99+'Monthly data'!F98,"")</x:f>
        <x:v>-47.11</x:v>
      </x:c>
      <x:c r="L100" s="8" t="n">
        <x:f>IF(COUNT('Monthly data'!G98:G100)=3,'Monthly data'!G100-2*'Monthly data'!G99+'Monthly data'!G98,"")</x:f>
        <x:v>-45.0106</x:v>
      </x:c>
      <x:c r="M100" s="8" t="n">
        <x:f>IF(COUNT('Monthly data'!H98:H100)=3,'Monthly data'!H100-2*'Monthly data'!H99+'Monthly data'!H98,"")</x:f>
        <x:v>-2.741100000000003</x:v>
      </x:c>
      <x:c r="N100" s="8" t="n">
        <x:f>IF(COUNT('Monthly data'!I98:I100)=3,'Monthly data'!I100-2*'Monthly data'!I99+'Monthly data'!I98,"")</x:f>
        <x:v>-2.651099999999998</x:v>
      </x:c>
      <x:c r="O100" s="8" t="n">
        <x:f>IF(COUNT('Monthly data'!J98:J100)=3,'Monthly data'!J100-2*'Monthly data'!J99+'Monthly data'!J98,"")</x:f>
        <x:v>1.7453999999999992</x:v>
      </x:c>
      <x:c r="P100" s="8" t="n">
        <x:f>IF(COUNT('Monthly data'!K98:K100)=3,'Monthly data'!K100-2*'Monthly data'!K99+'Monthly data'!K98,"")</x:f>
        <x:v>0.6790999999999999</x:v>
      </x:c>
      <x:c r="Q100" s="8" t="n">
        <x:f>IF(COUNT('Monthly data'!L98:L100)=3,'Monthly data'!L100-2*'Monthly data'!L99+'Monthly data'!L98,"")</x:f>
        <x:v>0.7002999999999999</x:v>
      </x:c>
      <x:c r="R100" s="8" t="n">
        <x:f>IF(COUNT('Monthly data'!M98:M100)=3,'Monthly data'!M100-2*'Monthly data'!M99+'Monthly data'!M98,"")</x:f>
        <x:v>0.5551999999999999</x:v>
      </x:c>
      <x:c r="S100" s="8" t="n">
        <x:f>IF(COUNT('Monthly data'!N98:N100)=3,'Monthly data'!N100-2*'Monthly data'!N99+'Monthly data'!N98,"")</x:f>
        <x:v>-0.38709999999999845</x:v>
      </x:c>
      <x:c r="T100" s="8" t="n">
        <x:f>IF(COUNT('Monthly data'!E99:E100)=2,'Monthly data'!E100-'Monthly data'!E99,"")</x:f>
        <x:v>-0.0021873786000004003</x:v>
      </x:c>
    </x:row>
    <x:row r="101" ht="19" customHeight="1">
      <x:c r="A101" s="7" t="n">
        <x:f>'Monthly data'!A101</x:f>
        <x:v>35886</x:v>
      </x:c>
      <x:c r="B101" s="8" t="n">
        <x:f>IF(ISNUMBER('Monthly data'!F101),LN(1+'Monthly data'!F101),"")</x:f>
        <x:v>4.188290175064629</x:v>
      </x:c>
      <x:c r="C101" s="8" t="n">
        <x:f>IF(ISNUMBER('Monthly data'!G101),LN(1+'Monthly data'!G101),"")</x:f>
        <x:v>1.994972385053386</x:v>
      </x:c>
      <x:c r="D101" s="8" t="n">
        <x:f>IF(ISNUMBER('Monthly data'!H101),LN(1+'Monthly data'!H101),"")</x:f>
        <x:v>3.528194136639337</x:v>
      </x:c>
      <x:c r="E101" s="8" t="n">
        <x:f>IF(ISNUMBER('Monthly data'!I101),LN(1+'Monthly data'!I101),"")</x:f>
        <x:v>1.9119839665344232</x:v>
      </x:c>
      <x:c r="F101" s="8" t="n">
        <x:f>IF(ISNUMBER('Monthly data'!J101),LN(1+'Monthly data'!J101),"")</x:f>
        <x:v>1.7167485254155403</x:v>
      </x:c>
      <x:c r="G101" s="8" t="n">
        <x:f>IF(ISNUMBER('Monthly data'!K101),LN(1+'Monthly data'!K101),"")</x:f>
        <x:v>1.3753345208835486</x:v>
      </x:c>
      <x:c r="H101" s="8" t="n">
        <x:f>IF(ISNUMBER('Monthly data'!L101),LN(1+'Monthly data'!L101),"")</x:f>
        <x:v>0.7196917357820575</x:v>
      </x:c>
      <x:c r="I101" s="8" t="n">
        <x:f>IF(ISNUMBER('Monthly data'!M101),LN(1+'Monthly data'!M101),"")</x:f>
        <x:v>1.3604379465746632</x:v>
      </x:c>
      <x:c r="J101" s="8" t="n">
        <x:f>IF(ISNUMBER('Monthly data'!N101),LN(1+'Monthly data'!N101),"")</x:f>
        <x:v>2.2251207252103096</x:v>
      </x:c>
      <x:c r="K101" s="8" t="n">
        <x:f>IF(COUNT('Monthly data'!F99:F101)=3,'Monthly data'!F101-2*'Monthly data'!F100+'Monthly data'!F99,"")</x:f>
        <x:v>24.78</x:v>
      </x:c>
      <x:c r="L101" s="8" t="n">
        <x:f>IF(COUNT('Monthly data'!G99:G101)=3,'Monthly data'!G101-2*'Monthly data'!G100+'Monthly data'!G99,"")</x:f>
        <x:v>15.682500000000001</x:v>
      </x:c>
      <x:c r="M101" s="8" t="n">
        <x:f>IF(COUNT('Monthly data'!H99:H101)=3,'Monthly data'!H101-2*'Monthly data'!H100+'Monthly data'!H99,"")</x:f>
        <x:v>2.4536000000000016</x:v>
      </x:c>
      <x:c r="N101" s="8" t="n">
        <x:f>IF(COUNT('Monthly data'!I99:I101)=3,'Monthly data'!I101-2*'Monthly data'!I100+'Monthly data'!I99,"")</x:f>
        <x:v>3.4137999999999993</x:v>
      </x:c>
      <x:c r="O101" s="8" t="n">
        <x:f>IF(COUNT('Monthly data'!J99:J101)=3,'Monthly data'!J101-2*'Monthly data'!J100+'Monthly data'!J99,"")</x:f>
        <x:v>0.9701000000000004</x:v>
      </x:c>
      <x:c r="P101" s="8" t="n">
        <x:f>IF(COUNT('Monthly data'!K99:K101)=3,'Monthly data'!K101-2*'Monthly data'!K100+'Monthly data'!K99,"")</x:f>
        <x:v>0.24180000000000001</x:v>
      </x:c>
      <x:c r="Q101" s="8" t="n">
        <x:f>IF(COUNT('Monthly data'!L99:L101)=3,'Monthly data'!L101-2*'Monthly data'!L100+'Monthly data'!L99,"")</x:f>
        <x:v>-0.6766</x:v>
      </x:c>
      <x:c r="R101" s="8" t="n">
        <x:f>IF(COUNT('Monthly data'!M99:M101)=3,'Monthly data'!M101-2*'Monthly data'!M100+'Monthly data'!M99,"")</x:f>
        <x:v>-1.0851000000000002</x:v>
      </x:c>
      <x:c r="S101" s="8" t="n">
        <x:f>IF(COUNT('Monthly data'!N99:N101)=3,'Monthly data'!N101-2*'Monthly data'!N100+'Monthly data'!N99,"")</x:f>
        <x:v>3.7797</x:v>
      </x:c>
      <x:c r="T101" s="8" t="n">
        <x:f>IF(COUNT('Monthly data'!E100:E101)=2,'Monthly data'!E101-'Monthly data'!E100,"")</x:f>
        <x:v>-0.0063379463999986285</x:v>
      </x:c>
    </x:row>
    <x:row r="102" ht="19" customHeight="1">
      <x:c r="A102" s="7" t="n">
        <x:f>'Monthly data'!A102</x:f>
        <x:v>35916</x:v>
      </x:c>
      <x:c r="B102" s="8" t="n">
        <x:f>IF(ISNUMBER('Monthly data'!F102),LN(1+'Monthly data'!F102),"")</x:f>
        <x:v>4.516776035225496</x:v>
      </x:c>
      <x:c r="C102" s="8" t="n">
        <x:f>IF(ISNUMBER('Monthly data'!G102),LN(1+'Monthly data'!G102),"")</x:f>
        <x:v>2.290897053198855</x:v>
      </x:c>
      <x:c r="D102" s="8" t="n">
        <x:f>IF(ISNUMBER('Monthly data'!H102),LN(1+'Monthly data'!H102),"")</x:f>
        <x:v>3.385051061919451</x:v>
      </x:c>
      <x:c r="E102" s="8" t="n">
        <x:f>IF(ISNUMBER('Monthly data'!I102),LN(1+'Monthly data'!I102),"")</x:f>
        <x:v>1.9930254420229474</x:v>
      </x:c>
      <x:c r="F102" s="8" t="n">
        <x:f>IF(ISNUMBER('Monthly data'!J102),LN(1+'Monthly data'!J102),"")</x:f>
        <x:v>2.4268272237111677</x:v>
      </x:c>
      <x:c r="G102" s="8" t="n">
        <x:f>IF(ISNUMBER('Monthly data'!K102),LN(1+'Monthly data'!K102),"")</x:f>
        <x:v>3.0449651968339975</x:v>
      </x:c>
      <x:c r="H102" s="8" t="n">
        <x:f>IF(ISNUMBER('Monthly data'!L102),LN(1+'Monthly data'!L102),"")</x:f>
        <x:v>1.0390745759519133</x:v>
      </x:c>
      <x:c r="I102" s="8" t="n">
        <x:f>IF(ISNUMBER('Monthly data'!M102),LN(1+'Monthly data'!M102),"")</x:f>
        <x:v>1.5840380498013686</x:v>
      </x:c>
      <x:c r="J102" s="8" t="n">
        <x:f>IF(ISNUMBER('Monthly data'!N102),LN(1+'Monthly data'!N102),"")</x:f>
        <x:v>2.465188518921897</x:v>
      </x:c>
      <x:c r="K102" s="8" t="n">
        <x:f>IF(COUNT('Monthly data'!F100:F102)=3,'Monthly data'!F102-2*'Monthly data'!F101+'Monthly data'!F100,"")</x:f>
        <x:v>28.35000000000001</x:v>
      </x:c>
      <x:c r="L102" s="8" t="n">
        <x:f>IF(COUNT('Monthly data'!G100:G102)=3,'Monthly data'!G102-2*'Monthly data'!G101+'Monthly data'!G100,"")</x:f>
        <x:v>7.8247</x:v>
      </x:c>
      <x:c r="M102" s="8" t="n">
        <x:f>IF(COUNT('Monthly data'!H100:H102)=3,'Monthly data'!H102-2*'Monthly data'!H101+'Monthly data'!H100,"")</x:f>
        <x:v>-4.867999999999995</x:v>
      </x:c>
      <x:c r="N102" s="8" t="n">
        <x:f>IF(COUNT('Monthly data'!I100:I102)=3,'Monthly data'!I102-2*'Monthly data'!I101+'Monthly data'!I100,"")</x:f>
        <x:v>0.4872000000000005</x:v>
      </x:c>
      <x:c r="O102" s="8" t="n">
        <x:f>IF(COUNT('Monthly data'!J100:J102)=3,'Monthly data'!J102-2*'Monthly data'!J101+'Monthly data'!J100,"")</x:f>
        <x:v>5.431000000000001</x:v>
      </x:c>
      <x:c r="P102" s="8" t="n">
        <x:f>IF(COUNT('Monthly data'!K100:K102)=3,'Monthly data'!K102-2*'Monthly data'!K101+'Monthly data'!K100,"")</x:f>
        <x:v>15.999999999999998</x:v>
      </x:c>
      <x:c r="Q102" s="8" t="n">
        <x:f>IF(COUNT('Monthly data'!L100:L102)=3,'Monthly data'!L102-2*'Monthly data'!L101+'Monthly data'!L100,"")</x:f>
        <x:v>0.9786999999999999</x:v>
      </x:c>
      <x:c r="R102" s="8" t="n">
        <x:f>IF(COUNT('Monthly data'!M100:M102)=3,'Monthly data'!M102-2*'Monthly data'!M101+'Monthly data'!M100,"")</x:f>
        <x:v>1.1020000000000003</x:v>
      </x:c>
      <x:c r="S102" s="8" t="n">
        <x:f>IF(COUNT('Monthly data'!N100:N102)=3,'Monthly data'!N102-2*'Monthly data'!N101+'Monthly data'!N100,"")</x:f>
        <x:v>1.3946000000000005</x:v>
      </x:c>
      <x:c r="T102" s="8" t="n">
        <x:f>IF(COUNT('Monthly data'!E101:E102)=2,'Monthly data'!E102-'Monthly data'!E101,"")</x:f>
        <x:v>-0.009182417299999912</x:v>
      </x:c>
    </x:row>
    <x:row r="103" ht="19" customHeight="1">
      <x:c r="A103" s="7" t="n">
        <x:f>'Monthly data'!A103</x:f>
        <x:v>35947</x:v>
      </x:c>
      <x:c r="B103" s="8" t="n">
        <x:f>IF(ISNUMBER('Monthly data'!F103),LN(1+'Monthly data'!F103),"")</x:f>
        <x:v>4.522983515000144</x:v>
      </x:c>
      <x:c r="C103" s="8" t="n">
        <x:f>IF(ISNUMBER('Monthly data'!G103),LN(1+'Monthly data'!G103),"")</x:f>
        <x:v>3.109890971448082</x:v>
      </x:c>
      <x:c r="D103" s="8" t="n">
        <x:f>IF(ISNUMBER('Monthly data'!H103),LN(1+'Monthly data'!H103),"")</x:f>
        <x:v>3.4471008436305293</x:v>
      </x:c>
      <x:c r="E103" s="8" t="n">
        <x:f>IF(ISNUMBER('Monthly data'!I103),LN(1+'Monthly data'!I103),"")</x:f>
        <x:v>1.8246138060990023</x:v>
      </x:c>
      <x:c r="F103" s="8" t="n">
        <x:f>IF(ISNUMBER('Monthly data'!J103),LN(1+'Monthly data'!J103),"")</x:f>
        <x:v>2.0562240905036515</x:v>
      </x:c>
      <x:c r="G103" s="8" t="n">
        <x:f>IF(ISNUMBER('Monthly data'!K103),LN(1+'Monthly data'!K103),"")</x:f>
        <x:v>2.378045008003907</x:v>
      </x:c>
      <x:c r="H103" s="8" t="n">
        <x:f>IF(ISNUMBER('Monthly data'!L103),LN(1+'Monthly data'!L103),"")</x:f>
        <x:v>1.0373040999397052</x:v>
      </x:c>
      <x:c r="I103" s="8" t="n">
        <x:f>IF(ISNUMBER('Monthly data'!M103),LN(1+'Monthly data'!M103),"")</x:f>
        <x:v>1.5665512880316284</x:v>
      </x:c>
      <x:c r="J103" s="8" t="n">
        <x:f>IF(ISNUMBER('Monthly data'!N103),LN(1+'Monthly data'!N103),"")</x:f>
        <x:v>2.5548912515700786</x:v>
      </x:c>
      <x:c r="K103" s="8" t="n">
        <x:f>IF(COUNT('Monthly data'!F101:F103)=3,'Monthly data'!F103-2*'Monthly data'!F102+'Monthly data'!F101,"")</x:f>
        <x:v>-25.060000000000016</x:v>
      </x:c>
      <x:c r="L103" s="8" t="n">
        <x:f>IF(COUNT('Monthly data'!G101:G103)=3,'Monthly data'!G103-2*'Monthly data'!G102+'Monthly data'!G101,"")</x:f>
        <x:v>10.003</x:v>
      </x:c>
      <x:c r="M103" s="8" t="n">
        <x:f>IF(COUNT('Monthly data'!H101:H103)=3,'Monthly data'!H103-2*'Monthly data'!H102+'Monthly data'!H101,"")</x:f>
        <x:v>6.432599999999994</x:v>
      </x:c>
      <x:c r="N103" s="8" t="n">
        <x:f>IF(COUNT('Monthly data'!I101:I103)=3,'Monthly data'!I103-2*'Monthly data'!I102+'Monthly data'!I101,"")</x:f>
        <x:v>-1.7085</x:v>
      </x:c>
      <x:c r="O103" s="8" t="n">
        <x:f>IF(COUNT('Monthly data'!J101:J103)=3,'Monthly data'!J103-2*'Monthly data'!J102+'Monthly data'!J101,"")</x:f>
        <x:v>-9.263000000000002</x:v>
      </x:c>
      <x:c r="P103" s="8" t="n">
        <x:f>IF(COUNT('Monthly data'!K101:K103)=3,'Monthly data'!K103-2*'Monthly data'!K102+'Monthly data'!K101,"")</x:f>
        <x:v>-27.2784</x:v>
      </x:c>
      <x:c r="Q103" s="8" t="n">
        <x:f>IF(COUNT('Monthly data'!L101:L103)=3,'Monthly data'!L103-2*'Monthly data'!L102+'Monthly data'!L101,"")</x:f>
        <x:v>-0.7777999999999998</x:v>
      </x:c>
      <x:c r="R103" s="8" t="n">
        <x:f>IF(COUNT('Monthly data'!M101:M103)=3,'Monthly data'!M103-2*'Monthly data'!M102+'Monthly data'!M101,"")</x:f>
        <x:v>-1.0612000000000004</x:v>
      </x:c>
      <x:c r="S103" s="8" t="n">
        <x:f>IF(COUNT('Monthly data'!N101:N103)=3,'Monthly data'!N103-2*'Monthly data'!N102+'Monthly data'!N101,"")</x:f>
        <x:v>-1.406900000000002</x:v>
      </x:c>
      <x:c r="T103" s="8" t="n">
        <x:f>IF(COUNT('Monthly data'!E102:E103)=2,'Monthly data'!E103-'Monthly data'!E102,"")</x:f>
        <x:v>-0.0007039336000005392</x:v>
      </x:c>
    </x:row>
    <x:row r="104" ht="19" customHeight="1">
      <x:c r="A104" s="7" t="n">
        <x:f>'Monthly data'!A104</x:f>
        <x:v>35977</x:v>
      </x:c>
      <x:c r="B104" s="8" t="n">
        <x:f>IF(ISNUMBER('Monthly data'!F104),LN(1+'Monthly data'!F104),"")</x:f>
        <x:v>4.307303088477945</x:v>
      </x:c>
      <x:c r="C104" s="8" t="n">
        <x:f>IF(ISNUMBER('Monthly data'!G104),LN(1+'Monthly data'!G104),"")</x:f>
        <x:v>2.553670606187003</x:v>
      </x:c>
      <x:c r="D104" s="8" t="n">
        <x:f>IF(ISNUMBER('Monthly data'!H104),LN(1+'Monthly data'!H104),"")</x:f>
        <x:v>3.2747229348805194</x:v>
      </x:c>
      <x:c r="E104" s="8" t="n">
        <x:f>IF(ISNUMBER('Monthly data'!I104),LN(1+'Monthly data'!I104),"")</x:f>
        <x:v>2.313920602657791</x:v>
      </x:c>
      <x:c r="F104" s="8" t="n">
        <x:f>IF(ISNUMBER('Monthly data'!J104),LN(1+'Monthly data'!J104),"")</x:f>
        <x:v>2.2469455251233668</x:v>
      </x:c>
      <x:c r="G104" s="8" t="n">
        <x:f>IF(ISNUMBER('Monthly data'!K104),LN(1+'Monthly data'!K104),"")</x:f>
        <x:v>1.8548907506681447</x:v>
      </x:c>
      <x:c r="H104" s="8" t="n">
        <x:f>IF(ISNUMBER('Monthly data'!L104),LN(1+'Monthly data'!L104),"")</x:f>
        <x:v>0.6225637591044824</x:v>
      </x:c>
      <x:c r="I104" s="8" t="n">
        <x:f>IF(ISNUMBER('Monthly data'!M104),LN(1+'Monthly data'!M104),"")</x:f>
        <x:v>1.2617793414219576</x:v>
      </x:c>
      <x:c r="J104" s="8" t="n">
        <x:f>IF(ISNUMBER('Monthly data'!N104),LN(1+'Monthly data'!N104),"")</x:f>
        <x:v>2.359966815232151</x:v>
      </x:c>
      <x:c r="K104" s="8" t="n">
        <x:f>IF(COUNT('Monthly data'!F102:F104)=3,'Monthly data'!F104-2*'Monthly data'!F103+'Monthly data'!F102,"")</x:f>
        <x:v>-18.439999999999998</x:v>
      </x:c>
      <x:c r="L104" s="8" t="n">
        <x:f>IF(COUNT('Monthly data'!G102:G104)=3,'Monthly data'!G104-2*'Monthly data'!G103+'Monthly data'!G102,"")</x:f>
        <x:v>-22.099200000000003</x:v>
      </x:c>
      <x:c r="M104" s="8" t="n">
        <x:f>IF(COUNT('Monthly data'!H102:H104)=3,'Monthly data'!H104-2*'Monthly data'!H103+'Monthly data'!H102,"")</x:f>
        <x:v>-6.862999999999992</x:v>
      </x:c>
      <x:c r="N104" s="8" t="n">
        <x:f>IF(COUNT('Monthly data'!I102:I104)=3,'Monthly data'!I104-2*'Monthly data'!I103+'Monthly data'!I102,"")</x:f>
        <x:v>5.0509</x:v>
      </x:c>
      <x:c r="O104" s="8" t="n">
        <x:f>IF(COUNT('Monthly data'!J102:J104)=3,'Monthly data'!J104-2*'Monthly data'!J103+'Monthly data'!J102,"")</x:f>
        <x:v>5.148900000000001</x:v>
      </x:c>
      <x:c r="P104" s="8" t="n">
        <x:f>IF(COUNT('Monthly data'!K102:K104)=3,'Monthly data'!K104-2*'Monthly data'!K103+'Monthly data'!K102,"")</x:f>
        <x:v>5.832700000000001</x:v>
      </x:c>
      <x:c r="Q104" s="8" t="n">
        <x:f>IF(COUNT('Monthly data'!L102:L104)=3,'Monthly data'!L104-2*'Monthly data'!L103+'Monthly data'!L102,"")</x:f>
        <x:v>-0.9529000000000001</x:v>
      </x:c>
      <x:c r="R104" s="8" t="n">
        <x:f>IF(COUNT('Monthly data'!M102:M104)=3,'Monthly data'!M104-2*'Monthly data'!M103+'Monthly data'!M102,"")</x:f>
        <x:v>-1.1738999999999997</x:v>
      </x:c>
      <x:c r="S104" s="8" t="n">
        <x:f>IF(COUNT('Monthly data'!N102:N104)=3,'Monthly data'!N104-2*'Monthly data'!N103+'Monthly data'!N102,"")</x:f>
        <x:v>-3.383499999999998</x:v>
      </x:c>
      <x:c r="T104" s="8" t="n">
        <x:f>IF(COUNT('Monthly data'!E103:E104)=2,'Monthly data'!E104-'Monthly data'!E103,"")</x:f>
        <x:v>-0.005004061100001067</x:v>
      </x:c>
    </x:row>
    <x:row r="105" ht="19" customHeight="1">
      <x:c r="A105" s="7" t="n">
        <x:f>'Monthly data'!A105</x:f>
        <x:v>36008</x:v>
      </x:c>
      <x:c r="B105" s="8" t="n">
        <x:f>IF(ISNUMBER('Monthly data'!F105),LN(1+'Monthly data'!F105),"")</x:f>
        <x:v>4.797277043516843</x:v>
      </x:c>
      <x:c r="C105" s="8" t="n">
        <x:f>IF(ISNUMBER('Monthly data'!G105),LN(1+'Monthly data'!G105),"")</x:f>
        <x:v>3.534115669709805</x:v>
      </x:c>
      <x:c r="D105" s="8" t="n">
        <x:f>IF(ISNUMBER('Monthly data'!H105),LN(1+'Monthly data'!H105),"")</x:f>
        <x:v>3.3003968239457557</x:v>
      </x:c>
      <x:c r="E105" s="8" t="n">
        <x:f>IF(ISNUMBER('Monthly data'!I105),LN(1+'Monthly data'!I105),"")</x:f>
        <x:v>3.514326642323481</x:v>
      </x:c>
      <x:c r="F105" s="8" t="n">
        <x:f>IF(ISNUMBER('Monthly data'!J105),LN(1+'Monthly data'!J105),"")</x:f>
        <x:v>2.4015612720766484</x:v>
      </x:c>
      <x:c r="G105" s="8" t="n">
        <x:f>IF(ISNUMBER('Monthly data'!K105),LN(1+'Monthly data'!K105),"")</x:f>
        <x:v>1.2707432079597882</x:v>
      </x:c>
      <x:c r="H105" s="8" t="n">
        <x:f>IF(ISNUMBER('Monthly data'!L105),LN(1+'Monthly data'!L105),"")</x:f>
        <x:v>0.5136615985851988</x:v>
      </x:c>
      <x:c r="I105" s="8" t="n">
        <x:f>IF(ISNUMBER('Monthly data'!M105),LN(1+'Monthly data'!M105),"")</x:f>
        <x:v>0.8513467952334901</x:v>
      </x:c>
      <x:c r="J105" s="8" t="n">
        <x:f>IF(ISNUMBER('Monthly data'!N105),LN(1+'Monthly data'!N105),"")</x:f>
        <x:v>2.679685019545314</x:v>
      </x:c>
      <x:c r="K105" s="8" t="n">
        <x:f>IF(COUNT('Monthly data'!F103:F105)=3,'Monthly data'!F105-2*'Monthly data'!F104+'Monthly data'!F103,"")</x:f>
        <x:v>64.81000000000002</x:v>
      </x:c>
      <x:c r="L105" s="8" t="n">
        <x:f>IF(COUNT('Monthly data'!G103:G105)=3,'Monthly data'!G105-2*'Monthly data'!G104+'Monthly data'!G103,"")</x:f>
        <x:v>30.974899999999998</x:v>
      </x:c>
      <x:c r="M105" s="8" t="n">
        <x:f>IF(COUNT('Monthly data'!H103:H105)=3,'Monthly data'!H105-2*'Monthly data'!H104+'Monthly data'!H103,"")</x:f>
        <x:v>5.660799999999998</x:v>
      </x:c>
      <x:c r="N105" s="8" t="n">
        <x:f>IF(COUNT('Monthly data'!I103:I105)=3,'Monthly data'!I105-2*'Monthly data'!I104+'Monthly data'!I103,"")</x:f>
        <x:v>19.5657</x:v>
      </x:c>
      <x:c r="O105" s="8" t="n">
        <x:f>IF(COUNT('Monthly data'!J103:J105)=3,'Monthly data'!J105-2*'Monthly data'!J104+'Monthly data'!J103,"")</x:f>
        <x:v>-0.06080000000000041</x:v>
      </x:c>
      <x:c r="P105" s="8" t="n">
        <x:f>IF(COUNT('Monthly data'!K103:K105)=3,'Monthly data'!K105-2*'Monthly data'!K104+'Monthly data'!K103,"")</x:f>
        <x:v>1.5652999999999988</x:v>
      </x:c>
      <x:c r="Q105" s="8" t="n">
        <x:f>IF(COUNT('Monthly data'!L103:L105)=3,'Monthly data'!L105-2*'Monthly data'!L104+'Monthly data'!L103,"")</x:f>
        <x:v>0.7656000000000001</x:v>
      </x:c>
      <x:c r="R105" s="8" t="n">
        <x:f>IF(COUNT('Monthly data'!M103:M105)=3,'Monthly data'!M105-2*'Monthly data'!M104+'Monthly data'!M103,"")</x:f>
        <x:v>0.06950000000000012</x:v>
      </x:c>
      <x:c r="S105" s="8" t="n">
        <x:f>IF(COUNT('Monthly data'!N103:N105)=3,'Monthly data'!N105-2*'Monthly data'!N104+'Monthly data'!N103,"")</x:f>
        <x:v>6.2692</x:v>
      </x:c>
      <x:c r="T105" s="8" t="n">
        <x:f>IF(COUNT('Monthly data'!E104:E105)=2,'Monthly data'!E105-'Monthly data'!E104,"")</x:f>
        <x:v>-0.01829684219999983</x:v>
      </x:c>
    </x:row>
    <x:row r="106" ht="19" customHeight="1">
      <x:c r="A106" s="7" t="n">
        <x:f>'Monthly data'!A106</x:f>
        <x:v>36039</x:v>
      </x:c>
      <x:c r="B106" s="8" t="n">
        <x:f>IF(ISNUMBER('Monthly data'!F106),LN(1+'Monthly data'!F106),"")</x:f>
        <x:v>4.343155860284888</x:v>
      </x:c>
      <x:c r="C106" s="8" t="n">
        <x:f>IF(ISNUMBER('Monthly data'!G106),LN(1+'Monthly data'!G106),"")</x:f>
        <x:v>2.8354109275997033</x:v>
      </x:c>
      <x:c r="D106" s="8" t="n">
        <x:f>IF(ISNUMBER('Monthly data'!H106),LN(1+'Monthly data'!H106),"")</x:f>
        <x:v>3.2501961814575613</x:v>
      </x:c>
      <x:c r="E106" s="8" t="n">
        <x:f>IF(ISNUMBER('Monthly data'!I106),LN(1+'Monthly data'!I106),"")</x:f>
        <x:v>2.43175197498348</x:v>
      </x:c>
      <x:c r="F106" s="8" t="n">
        <x:f>IF(ISNUMBER('Monthly data'!J106),LN(1+'Monthly data'!J106),"")</x:f>
        <x:v>2.176976517516368</x:v>
      </x:c>
      <x:c r="G106" s="8" t="n">
        <x:f>IF(ISNUMBER('Monthly data'!K106),LN(1+'Monthly data'!K106),"")</x:f>
        <x:v>1.666517434273268</x:v>
      </x:c>
      <x:c r="H106" s="8" t="n">
        <x:f>IF(ISNUMBER('Monthly data'!L106),LN(1+'Monthly data'!L106),"")</x:f>
        <x:v>0.5534827334319705</x:v>
      </x:c>
      <x:c r="I106" s="8" t="n">
        <x:f>IF(ISNUMBER('Monthly data'!M106),LN(1+'Monthly data'!M106),"")</x:f>
        <x:v>0.6470508846669718</x:v>
      </x:c>
      <x:c r="J106" s="8" t="n">
        <x:f>IF(ISNUMBER('Monthly data'!N106),LN(1+'Monthly data'!N106),"")</x:f>
        <x:v>2.4828962970490656</x:v>
      </x:c>
      <x:c r="K106" s="8" t="n">
        <x:f>IF(COUNT('Monthly data'!F104:F106)=3,'Monthly data'!F106-2*'Monthly data'!F105+'Monthly data'!F104,"")</x:f>
        <x:v>-91.17000000000003</x:v>
      </x:c>
      <x:c r="L106" s="8" t="n">
        <x:f>IF(COUNT('Monthly data'!G104:G106)=3,'Monthly data'!G106-2*'Monthly data'!G105+'Monthly data'!G104,"")</x:f>
        <x:v>-38.63779999999999</x:v>
      </x:c>
      <x:c r="M106" s="8" t="n">
        <x:f>IF(COUNT('Monthly data'!H104:H106)=3,'Monthly data'!H106-2*'Monthly data'!H105+'Monthly data'!H104,"")</x:f>
        <x:v>-2.0154999999999994</x:v>
      </x:c>
      <x:c r="N106" s="8" t="n">
        <x:f>IF(COUNT('Monthly data'!I104:I106)=3,'Monthly data'!I106-2*'Monthly data'!I105+'Monthly data'!I104,"")</x:f>
        <x:v>-45.693799999999996</x:v>
      </x:c>
      <x:c r="O106" s="8" t="n">
        <x:f>IF(COUNT('Monthly data'!J104:J106)=3,'Monthly data'!J106-2*'Monthly data'!J105+'Monthly data'!J104,"")</x:f>
        <x:v>-3.8023999999999987</x:v>
      </x:c>
      <x:c r="P106" s="8" t="n">
        <x:f>IF(COUNT('Monthly data'!K104:K106)=3,'Monthly data'!K106-2*'Monthly data'!K105+'Monthly data'!K104,"")</x:f>
        <x:v>4.5577000000000005</x:v>
      </x:c>
      <x:c r="Q106" s="8" t="n">
        <x:f>IF(COUNT('Monthly data'!L104:L106)=3,'Monthly data'!L106-2*'Monthly data'!L105+'Monthly data'!L104,"")</x:f>
        <x:v>0.2602</x:v>
      </x:c>
      <x:c r="R106" s="8" t="n">
        <x:f>IF(COUNT('Monthly data'!M104:M106)=3,'Monthly data'!M106-2*'Monthly data'!M105+'Monthly data'!M104,"")</x:f>
        <x:v>0.7559999999999998</x:v>
      </x:c>
      <x:c r="S106" s="8" t="n">
        <x:f>IF(COUNT('Monthly data'!N104:N106)=3,'Monthly data'!N106-2*'Monthly data'!N105+'Monthly data'!N104,"")</x:f>
        <x:v>-6.594500000000002</x:v>
      </x:c>
      <x:c r="T106" s="8" t="n">
        <x:f>IF(COUNT('Monthly data'!E105:E106)=2,'Monthly data'!E106-'Monthly data'!E105,"")</x:f>
        <x:v>-0.002501476799999125</x:v>
      </x:c>
    </x:row>
    <x:row r="107" ht="19" customHeight="1">
      <x:c r="A107" s="7" t="n">
        <x:f>'Monthly data'!A107</x:f>
        <x:v>36069</x:v>
      </x:c>
      <x:c r="B107" s="8" t="n">
        <x:f>IF(ISNUMBER('Monthly data'!F107),LN(1+'Monthly data'!F107),"")</x:f>
        <x:v>4.375002019736917</x:v>
      </x:c>
      <x:c r="C107" s="8" t="n">
        <x:f>IF(ISNUMBER('Monthly data'!G107),LN(1+'Monthly data'!G107),"")</x:f>
        <x:v>3.0709464193862432</x:v>
      </x:c>
      <x:c r="D107" s="8" t="n">
        <x:f>IF(ISNUMBER('Monthly data'!H107),LN(1+'Monthly data'!H107),"")</x:f>
        <x:v>3.5036396433559376</x:v>
      </x:c>
      <x:c r="E107" s="8" t="n">
        <x:f>IF(ISNUMBER('Monthly data'!I107),LN(1+'Monthly data'!I107),"")</x:f>
        <x:v>2.3332888705690515</x:v>
      </x:c>
      <x:c r="F107" s="8" t="n">
        <x:f>IF(ISNUMBER('Monthly data'!J107),LN(1+'Monthly data'!J107),"")</x:f>
        <x:v>1.4007888072703432</x:v>
      </x:c>
      <x:c r="G107" s="8" t="n">
        <x:f>IF(ISNUMBER('Monthly data'!K107),LN(1+'Monthly data'!K107),"")</x:f>
        <x:v>1.0401353589091338</x:v>
      </x:c>
      <x:c r="H107" s="8" t="n">
        <x:f>IF(ISNUMBER('Monthly data'!L107),LN(1+'Monthly data'!L107),"")</x:f>
        <x:v>0.4179205493755103</x:v>
      </x:c>
      <x:c r="I107" s="8" t="n">
        <x:f>IF(ISNUMBER('Monthly data'!M107),LN(1+'Monthly data'!M107),"")</x:f>
        <x:v>0.5040426714691584</x:v>
      </x:c>
      <x:c r="J107" s="8" t="n">
        <x:f>IF(ISNUMBER('Monthly data'!N107),LN(1+'Monthly data'!N107),"")</x:f>
        <x:v>2.421922475582666</x:v>
      </x:c>
      <x:c r="K107" s="8" t="n">
        <x:f>IF(COUNT('Monthly data'!F105:F107)=3,'Monthly data'!F107-2*'Monthly data'!F106+'Monthly data'!F105,"")</x:f>
        <x:v>46.72</x:v>
      </x:c>
      <x:c r="L107" s="8" t="n">
        <x:f>IF(COUNT('Monthly data'!G105:G107)=3,'Monthly data'!G107-2*'Monthly data'!G106+'Monthly data'!G105,"")</x:f>
        <x:v>21.752199999999995</x:v>
      </x:c>
      <x:c r="M107" s="8" t="n">
        <x:f>IF(COUNT('Monthly data'!H105:H107)=3,'Monthly data'!H107-2*'Monthly data'!H106+'Monthly data'!H105,"")</x:f>
        <x:v>8.768799999999995</x:v>
      </x:c>
      <x:c r="N107" s="8" t="n">
        <x:f>IF(COUNT('Monthly data'!I105:I107)=3,'Monthly data'!I107-2*'Monthly data'!I106+'Monthly data'!I105,"")</x:f>
        <x:v>21.1475</x:v>
      </x:c>
      <x:c r="O107" s="8" t="n">
        <x:f>IF(COUNT('Monthly data'!J105:J107)=3,'Monthly data'!J107-2*'Monthly data'!J106+'Monthly data'!J105,"")</x:f>
        <x:v>-2.5404</x:v>
      </x:c>
      <x:c r="P107" s="8" t="n">
        <x:f>IF(COUNT('Monthly data'!K105:K107)=3,'Monthly data'!K107-2*'Monthly data'!K106+'Monthly data'!K105,"")</x:f>
        <x:v>-4.1943</x:v>
      </x:c>
      <x:c r="Q107" s="8" t="n">
        <x:f>IF(COUNT('Monthly data'!L105:L107)=3,'Monthly data'!L107-2*'Monthly data'!L106+'Monthly data'!L105,"")</x:f>
        <x:v>-0.2883999999999999</x:v>
      </x:c>
      <x:c r="R107" s="8" t="n">
        <x:f>IF(COUNT('Monthly data'!M105:M107)=3,'Monthly data'!M107-2*'Monthly data'!M106+'Monthly data'!M105,"")</x:f>
        <x:v>0.1783999999999999</x:v>
      </x:c>
      <x:c r="S107" s="8" t="n">
        <x:f>IF(COUNT('Monthly data'!N105:N107)=3,'Monthly data'!N107-2*'Monthly data'!N106+'Monthly data'!N105,"")</x:f>
        <x:v>1.896200000000002</x:v>
      </x:c>
      <x:c r="T107" s="8" t="n">
        <x:f>IF(COUNT('Monthly data'!E106:E107)=2,'Monthly data'!E107-'Monthly data'!E106,"")</x:f>
        <x:v>0.008086539400000703</x:v>
      </x:c>
    </x:row>
    <x:row r="108" ht="19" customHeight="1">
      <x:c r="A108" s="7" t="n">
        <x:f>'Monthly data'!A108</x:f>
        <x:v>36100</x:v>
      </x:c>
      <x:c r="B108" s="8" t="n">
        <x:f>IF(ISNUMBER('Monthly data'!F108),LN(1+'Monthly data'!F108),"")</x:f>
        <x:v>4.410978456623649</x:v>
      </x:c>
      <x:c r="C108" s="8" t="n">
        <x:f>IF(ISNUMBER('Monthly data'!G108),LN(1+'Monthly data'!G108),"")</x:f>
        <x:v>2.901624870124072</x:v>
      </x:c>
      <x:c r="D108" s="8" t="n">
        <x:f>IF(ISNUMBER('Monthly data'!H108),LN(1+'Monthly data'!H108),"")</x:f>
        <x:v>3.604780196422261</x:v>
      </x:c>
      <x:c r="E108" s="8" t="n">
        <x:f>IF(ISNUMBER('Monthly data'!I108),LN(1+'Monthly data'!I108),"")</x:f>
        <x:v>2.269741602064281</x:v>
      </x:c>
      <x:c r="F108" s="8" t="n">
        <x:f>IF(ISNUMBER('Monthly data'!J108),LN(1+'Monthly data'!J108),"")</x:f>
        <x:v>1.804033830103443</x:v>
      </x:c>
      <x:c r="G108" s="8" t="n">
        <x:f>IF(ISNUMBER('Monthly data'!K108),LN(1+'Monthly data'!K108),"")</x:f>
        <x:v>1.4380800342691211</x:v>
      </x:c>
      <x:c r="H108" s="8" t="n">
        <x:f>IF(ISNUMBER('Monthly data'!L108),LN(1+'Monthly data'!L108),"")</x:f>
        <x:v>0.6422222393746548</x:v>
      </x:c>
      <x:c r="I108" s="8" t="n">
        <x:f>IF(ISNUMBER('Monthly data'!M108),LN(1+'Monthly data'!M108),"")</x:f>
        <x:v>1.0924600691829118</x:v>
      </x:c>
      <x:c r="J108" s="8" t="n">
        <x:f>IF(ISNUMBER('Monthly data'!N108),LN(1+'Monthly data'!N108),"")</x:f>
        <x:v>2.254108879536931</x:v>
      </x:c>
      <x:c r="K108" s="8" t="n">
        <x:f>IF(COUNT('Monthly data'!F106:F108)=3,'Monthly data'!F108-2*'Monthly data'!F107+'Monthly data'!F106,"")</x:f>
        <x:v>0.4200000000000017</x:v>
      </x:c>
      <x:c r="L108" s="8" t="n">
        <x:f>IF(COUNT('Monthly data'!G106:G108)=3,'Monthly data'!G108-2*'Monthly data'!G107+'Monthly data'!G106,"")</x:f>
        <x:v>-7.883499999999998</x:v>
      </x:c>
      <x:c r="M108" s="8" t="n">
        <x:f>IF(COUNT('Monthly data'!H106:H108)=3,'Monthly data'!H108-2*'Monthly data'!H107+'Monthly data'!H106,"")</x:f>
        <x:v>-3.9033999999999907</x:v>
      </x:c>
      <x:c r="N108" s="8" t="n">
        <x:f>IF(COUNT('Monthly data'!I106:I108)=3,'Monthly data'!I108-2*'Monthly data'!I107+'Monthly data'!I106,"")</x:f>
        <x:v>0.43210000000000015</x:v>
      </x:c>
      <x:c r="O108" s="8" t="n">
        <x:f>IF(COUNT('Monthly data'!J106:J108)=3,'Monthly data'!J108-2*'Monthly data'!J107+'Monthly data'!J106,"")</x:f>
        <x:v>6.7769</x:v>
      </x:c>
      <x:c r="P108" s="8" t="n">
        <x:f>IF(COUNT('Monthly data'!K106:K108)=3,'Monthly data'!K108-2*'Monthly data'!K107+'Monthly data'!K106,"")</x:f>
        <x:v>3.8471000000000006</x:v>
      </x:c>
      <x:c r="Q108" s="8" t="n">
        <x:f>IF(COUNT('Monthly data'!L106:L108)=3,'Monthly data'!L108-2*'Monthly data'!L107+'Monthly data'!L106,"")</x:f>
        <x:v>0.6023999999999998</x:v>
      </x:c>
      <x:c r="R108" s="8" t="n">
        <x:f>IF(COUNT('Monthly data'!M106:M108)=3,'Monthly data'!M108-2*'Monthly data'!M107+'Monthly data'!M106,"")</x:f>
        <x:v>1.5807000000000002</x:v>
      </x:c>
      <x:c r="S108" s="8" t="n">
        <x:f>IF(COUNT('Monthly data'!N106:N108)=3,'Monthly data'!N108-2*'Monthly data'!N107+'Monthly data'!N106,"")</x:f>
        <x:v>-1.032300000000001</x:v>
      </x:c>
      <x:c r="T108" s="8" t="n">
        <x:f>IF(COUNT('Monthly data'!E107:E108)=2,'Monthly data'!E108-'Monthly data'!E107,"")</x:f>
        <x:v>0.013650660999999786</x:v>
      </x:c>
    </x:row>
    <x:row r="109" ht="19" customHeight="1">
      <x:c r="A109" s="7" t="n">
        <x:f>'Monthly data'!A109</x:f>
        <x:v>36130</x:v>
      </x:c>
      <x:c r="B109" s="8" t="n">
        <x:f>IF(ISNUMBER('Monthly data'!F109),LN(1+'Monthly data'!F109),"")</x:f>
        <x:v>4.545844719903276</x:v>
      </x:c>
      <x:c r="C109" s="8" t="n">
        <x:f>IF(ISNUMBER('Monthly data'!G109),LN(1+'Monthly data'!G109),"")</x:f>
        <x:v>3.601691697934048</x:v>
      </x:c>
      <x:c r="D109" s="8" t="n">
        <x:f>IF(ISNUMBER('Monthly data'!H109),LN(1+'Monthly data'!H109),"")</x:f>
        <x:v>3.48544967810947</x:v>
      </x:c>
      <x:c r="E109" s="8" t="n">
        <x:f>IF(ISNUMBER('Monthly data'!I109),LN(1+'Monthly data'!I109),"")</x:f>
        <x:v>2.069643699199725</x:v>
      </x:c>
      <x:c r="F109" s="8" t="n">
        <x:f>IF(ISNUMBER('Monthly data'!J109),LN(1+'Monthly data'!J109),"")</x:f>
        <x:v>1.9381371603570954</x:v>
      </x:c>
      <x:c r="G109" s="8" t="n">
        <x:f>IF(ISNUMBER('Monthly data'!K109),LN(1+'Monthly data'!K109),"")</x:f>
        <x:v>1.2652560327428346</x:v>
      </x:c>
      <x:c r="H109" s="8" t="n">
        <x:f>IF(ISNUMBER('Monthly data'!L109),LN(1+'Monthly data'!L109),"")</x:f>
        <x:v>0.3038014543316642</x:v>
      </x:c>
      <x:c r="I109" s="8" t="n">
        <x:f>IF(ISNUMBER('Monthly data'!M109),LN(1+'Monthly data'!M109),"")</x:f>
        <x:v>1.1219055486374017</x:v>
      </x:c>
      <x:c r="J109" s="8" t="n">
        <x:f>IF(ISNUMBER('Monthly data'!N109),LN(1+'Monthly data'!N109),"")</x:f>
        <x:v>2.208856661565927</x:v>
      </x:c>
      <x:c r="K109" s="8" t="n">
        <x:f>IF(COUNT('Monthly data'!F107:F109)=3,'Monthly data'!F109-2*'Monthly data'!F108+'Monthly data'!F107,"")</x:f>
        <x:v>8.980000000000004</x:v>
      </x:c>
      <x:c r="L109" s="8" t="n">
        <x:f>IF(COUNT('Monthly data'!G107:G109)=3,'Monthly data'!G109-2*'Monthly data'!G108+'Monthly data'!G107,"")</x:f>
        <x:v>21.8151</x:v>
      </x:c>
      <x:c r="M109" s="8" t="n">
        <x:f>IF(COUNT('Monthly data'!H107:H109)=3,'Monthly data'!H109-2*'Monthly data'!H108+'Monthly data'!H107,"")</x:f>
        <x:v>-7.673900000000003</x:v>
      </x:c>
      <x:c r="N109" s="8" t="n">
        <x:f>IF(COUNT('Monthly data'!I107:I109)=3,'Monthly data'!I109-2*'Monthly data'!I108+'Monthly data'!I107,"")</x:f>
        <x:v>-1.1199999999999992</x:v>
      </x:c>
      <x:c r="O109" s="8" t="n">
        <x:f>IF(COUNT('Monthly data'!J107:J109)=3,'Monthly data'!J109-2*'Monthly data'!J108+'Monthly data'!J107,"")</x:f>
        <x:v>-1.1439999999999992</x:v>
      </x:c>
      <x:c r="P109" s="8" t="n">
        <x:f>IF(COUNT('Monthly data'!K107:K109)=3,'Monthly data'!K109-2*'Monthly data'!K108+'Monthly data'!K107,"")</x:f>
        <x:v>-2.0516000000000005</x:v>
      </x:c>
      <x:c r="Q109" s="8" t="n">
        <x:f>IF(COUNT('Monthly data'!L107:L109)=3,'Monthly data'!L109-2*'Monthly data'!L108+'Monthly data'!L107,"")</x:f>
        <x:v>-0.9275999999999999</x:v>
      </x:c>
      <x:c r="R109" s="8" t="n">
        <x:f>IF(COUNT('Monthly data'!M107:M109)=3,'Monthly data'!M109-2*'Monthly data'!M108+'Monthly data'!M107,"")</x:f>
        <x:v>-1.2371</x:v>
      </x:c>
      <x:c r="S109" s="8" t="n">
        <x:f>IF(COUNT('Monthly data'!N107:N109)=3,'Monthly data'!N109-2*'Monthly data'!N108+'Monthly data'!N107,"")</x:f>
        <x:v>1.3192000000000004</x:v>
      </x:c>
      <x:c r="T109" s="8" t="n">
        <x:f>IF(COUNT('Monthly data'!E108:E109)=2,'Monthly data'!E109-'Monthly data'!E108,"")</x:f>
        <x:v>0.0027234022999991225</x:v>
      </x:c>
    </x:row>
    <x:row r="110" ht="19" customHeight="1">
      <x:c r="A110" s="7" t="n">
        <x:f>'Monthly data'!A110</x:f>
        <x:v>36161</x:v>
      </x:c>
      <x:c r="B110" s="8" t="n">
        <x:f>IF(ISNUMBER('Monthly data'!F110),LN(1+'Monthly data'!F110),"")</x:f>
        <x:v>4.354141431184346</x:v>
      </x:c>
      <x:c r="C110" s="8" t="n">
        <x:f>IF(ISNUMBER('Monthly data'!G110),LN(1+'Monthly data'!G110),"")</x:f>
        <x:v>3.2053203633336786</x:v>
      </x:c>
      <x:c r="D110" s="8" t="n">
        <x:f>IF(ISNUMBER('Monthly data'!H110),LN(1+'Monthly data'!H110),"")</x:f>
        <x:v>3.0744648926669136</x:v>
      </x:c>
      <x:c r="E110" s="8" t="n">
        <x:f>IF(ISNUMBER('Monthly data'!I110),LN(1+'Monthly data'!I110),"")</x:f>
        <x:v>2.2787226357293706</x:v>
      </x:c>
      <x:c r="F110" s="8" t="n">
        <x:f>IF(ISNUMBER('Monthly data'!J110),LN(1+'Monthly data'!J110),"")</x:f>
        <x:v>2.32401384840734</x:v>
      </x:c>
      <x:c r="G110" s="8" t="n">
        <x:f>IF(ISNUMBER('Monthly data'!K110),LN(1+'Monthly data'!K110),"")</x:f>
        <x:v>1.199452603594181</x:v>
      </x:c>
      <x:c r="H110" s="8" t="n">
        <x:f>IF(ISNUMBER('Monthly data'!L110),LN(1+'Monthly data'!L110),"")</x:f>
        <x:v>0.5346202723317077</x:v>
      </x:c>
      <x:c r="I110" s="8" t="n">
        <x:f>IF(ISNUMBER('Monthly data'!M110),LN(1+'Monthly data'!M110),"")</x:f>
        <x:v>1.1735651419045103</x:v>
      </x:c>
      <x:c r="J110" s="8" t="n">
        <x:f>IF(ISNUMBER('Monthly data'!N110),LN(1+'Monthly data'!N110),"")</x:f>
        <x:v>2.3281553691055756</x:v>
      </x:c>
      <x:c r="K110" s="8" t="n">
        <x:f>IF(COUNT('Monthly data'!F108:F110)=3,'Monthly data'!F110-2*'Monthly data'!F109+'Monthly data'!F108,"")</x:f>
        <x:v>-28.33</x:v>
      </x:c>
      <x:c r="L110" s="8" t="n">
        <x:f>IF(COUNT('Monthly data'!G108:G110)=3,'Monthly data'!G110-2*'Monthly data'!G109+'Monthly data'!G108,"")</x:f>
        <x:v>-30.45330000000001</x:v>
      </x:c>
      <x:c r="M110" s="8" t="n">
        <x:f>IF(COUNT('Monthly data'!H108:H110)=3,'Monthly data'!H110-2*'Monthly data'!H109+'Monthly data'!H108,"")</x:f>
        <x:v>-6.862299999999998</x:v>
      </x:c>
      <x:c r="N110" s="8" t="n">
        <x:f>IF(COUNT('Monthly data'!I108:I110)=3,'Monthly data'!I110-2*'Monthly data'!I109+'Monthly data'!I108,"")</x:f>
        <x:v>3.597100000000001</x:v>
      </x:c>
      <x:c r="O110" s="8" t="n">
        <x:f>IF(COUNT('Monthly data'!J108:J110)=3,'Monthly data'!J110-2*'Monthly data'!J109+'Monthly data'!J108,"")</x:f>
        <x:v>2.399099999999999</x:v>
      </x:c>
      <x:c r="P110" s="8" t="n">
        <x:f>IF(COUNT('Monthly data'!K108:K110)=3,'Monthly data'!K110-2*'Monthly data'!K109+'Monthly data'!K108,"")</x:f>
        <x:v>0.44289999999999985</x:v>
      </x:c>
      <x:c r="Q110" s="8" t="n">
        <x:f>IF(COUNT('Monthly data'!L108:L110)=3,'Monthly data'!L110-2*'Monthly data'!L109+'Monthly data'!L108,"")</x:f>
        <x:v>0.8975</x:v>
      </x:c>
      <x:c r="R110" s="8" t="n">
        <x:f>IF(COUNT('Monthly data'!M108:M110)=3,'Monthly data'!M110-2*'Monthly data'!M109+'Monthly data'!M108,"")</x:f>
        <x:v>0.07369999999999988</x:v>
      </x:c>
      <x:c r="S110" s="8" t="n">
        <x:f>IF(COUNT('Monthly data'!N108:N110)=3,'Monthly data'!N110-2*'Monthly data'!N109+'Monthly data'!N108,"")</x:f>
        <x:v>1.5752000000000006</x:v>
      </x:c>
      <x:c r="T110" s="8" t="n">
        <x:f>IF(COUNT('Monthly data'!E109:E110)=2,'Monthly data'!E110-'Monthly data'!E109,"")</x:f>
        <x:v>-0.004117569199999949</x:v>
      </x:c>
    </x:row>
    <x:row r="111" ht="19" customHeight="1">
      <x:c r="A111" s="7" t="n">
        <x:f>'Monthly data'!A111</x:f>
        <x:v>36192</x:v>
      </x:c>
      <x:c r="B111" s="8" t="n">
        <x:f>IF(ISNUMBER('Monthly data'!F111),LN(1+'Monthly data'!F111),"")</x:f>
        <x:v>4.374876130645041</x:v>
      </x:c>
      <x:c r="C111" s="8" t="n">
        <x:f>IF(ISNUMBER('Monthly data'!G111),LN(1+'Monthly data'!G111),"")</x:f>
        <x:v>3.27331476651558</x:v>
      </x:c>
      <x:c r="D111" s="8" t="n">
        <x:f>IF(ISNUMBER('Monthly data'!H111),LN(1+'Monthly data'!H111),"")</x:f>
        <x:v>3.505073796587089</x:v>
      </x:c>
      <x:c r="E111" s="8" t="n">
        <x:f>IF(ISNUMBER('Monthly data'!I111),LN(1+'Monthly data'!I111),"")</x:f>
        <x:v>1.6876019334034549</x:v>
      </x:c>
      <x:c r="F111" s="8" t="n">
        <x:f>IF(ISNUMBER('Monthly data'!J111),LN(1+'Monthly data'!J111),"")</x:f>
        <x:v>1.8444309801054595</x:v>
      </x:c>
      <x:c r="G111" s="8" t="n">
        <x:f>IF(ISNUMBER('Monthly data'!K111),LN(1+'Monthly data'!K111),"")</x:f>
        <x:v>1.298091365343609</x:v>
      </x:c>
      <x:c r="H111" s="8" t="n">
        <x:f>IF(ISNUMBER('Monthly data'!L111),LN(1+'Monthly data'!L111),"")</x:f>
        <x:v>0.31276485281924404</x:v>
      </x:c>
      <x:c r="I111" s="8" t="n">
        <x:f>IF(ISNUMBER('Monthly data'!M111),LN(1+'Monthly data'!M111),"")</x:f>
        <x:v>0.6188545759780902</x:v>
      </x:c>
      <x:c r="J111" s="8" t="n">
        <x:f>IF(ISNUMBER('Monthly data'!N111),LN(1+'Monthly data'!N111),"")</x:f>
        <x:v>2.0955609235597192</x:v>
      </x:c>
      <x:c r="K111" s="8" t="n">
        <x:f>IF(COUNT('Monthly data'!F109:F111)=3,'Monthly data'!F111-2*'Monthly data'!F110+'Monthly data'!F109,"")</x:f>
        <x:v>18.070000000000007</x:v>
      </x:c>
      <x:c r="L111" s="8" t="n">
        <x:f>IF(COUNT('Monthly data'!G109:G111)=3,'Monthly data'!G111-2*'Monthly data'!G110+'Monthly data'!G109,"")</x:f>
        <x:v>13.732100000000006</x:v>
      </x:c>
      <x:c r="M111" s="8" t="n">
        <x:f>IF(COUNT('Monthly data'!H109:H111)=3,'Monthly data'!H111-2*'Monthly data'!H110+'Monthly data'!H109,"")</x:f>
        <x:v>22.6444</x:v>
      </x:c>
      <x:c r="N111" s="8" t="n">
        <x:f>IF(COUNT('Monthly data'!I109:I111)=3,'Monthly data'!I111-2*'Monthly data'!I110+'Monthly data'!I109,"")</x:f>
        <x:v>-6.1999</x:v>
      </x:c>
      <x:c r="O111" s="8" t="n">
        <x:f>IF(COUNT('Monthly data'!J109:J111)=3,'Monthly data'!J111-2*'Monthly data'!J110+'Monthly data'!J109,"")</x:f>
        <x:v>-7.162899999999999</x:v>
      </x:c>
      <x:c r="P111" s="8" t="n">
        <x:f>IF(COUNT('Monthly data'!K109:K111)=3,'Monthly data'!K111-2*'Monthly data'!K110+'Monthly data'!K109,"")</x:f>
        <x:v>0.5697000000000005</x:v>
      </x:c>
      <x:c r="Q111" s="8" t="n">
        <x:f>IF(COUNT('Monthly data'!L109:L111)=3,'Monthly data'!L111-2*'Monthly data'!L110+'Monthly data'!L109,"")</x:f>
        <x:v>-0.6914</x:v>
      </x:c>
      <x:c r="R111" s="8" t="n">
        <x:f>IF(COUNT('Monthly data'!M109:M111)=3,'Monthly data'!M111-2*'Monthly data'!M110+'Monthly data'!M109,"")</x:f>
        <x:v>-1.5394999999999999</x:v>
      </x:c>
      <x:c r="S111" s="8" t="n">
        <x:f>IF(COUNT('Monthly data'!N109:N111)=3,'Monthly data'!N111-2*'Monthly data'!N110+'Monthly data'!N109,"")</x:f>
        <x:v>-3.282700000000002</x:v>
      </x:c>
      <x:c r="T111" s="8" t="n">
        <x:f>IF(COUNT('Monthly data'!E110:E111)=2,'Monthly data'!E111-'Monthly data'!E110,"")</x:f>
        <x:v>-0.000747472400000504</x:v>
      </x:c>
    </x:row>
    <x:row r="112" ht="19" customHeight="1">
      <x:c r="A112" s="7" t="n">
        <x:f>'Monthly data'!A112</x:f>
        <x:v>36220</x:v>
      </x:c>
      <x:c r="B112" s="8" t="n">
        <x:f>IF(ISNUMBER('Monthly data'!F112),LN(1+'Monthly data'!F112),"")</x:f>
        <x:v>4.735847509629708</x:v>
      </x:c>
      <x:c r="C112" s="8" t="n">
        <x:f>IF(ISNUMBER('Monthly data'!G112),LN(1+'Monthly data'!G112),"")</x:f>
        <x:v>3.986883694219607</x:v>
      </x:c>
      <x:c r="D112" s="8" t="n">
        <x:f>IF(ISNUMBER('Monthly data'!H112),LN(1+'Monthly data'!H112),"")</x:f>
        <x:v>3.4111906158853897</x:v>
      </x:c>
      <x:c r="E112" s="8" t="n">
        <x:f>IF(ISNUMBER('Monthly data'!I112),LN(1+'Monthly data'!I112),"")</x:f>
        <x:v>2.5135507943755364</x:v>
      </x:c>
      <x:c r="F112" s="8" t="n">
        <x:f>IF(ISNUMBER('Monthly data'!J112),LN(1+'Monthly data'!J112),"")</x:f>
        <x:v>1.8272070474108553</x:v>
      </x:c>
      <x:c r="G112" s="8" t="n">
        <x:f>IF(ISNUMBER('Monthly data'!K112),LN(1+'Monthly data'!K112),"")</x:f>
        <x:v>1.625094702710138</x:v>
      </x:c>
      <x:c r="H112" s="8" t="n">
        <x:f>IF(ISNUMBER('Monthly data'!L112),LN(1+'Monthly data'!L112),"")</x:f>
        <x:v>0.5591585405566285</x:v>
      </x:c>
      <x:c r="I112" s="8" t="n">
        <x:f>IF(ISNUMBER('Monthly data'!M112),LN(1+'Monthly data'!M112),"")</x:f>
        <x:v>0.9905072695629975</x:v>
      </x:c>
      <x:c r="J112" s="8" t="n">
        <x:f>IF(ISNUMBER('Monthly data'!N112),LN(1+'Monthly data'!N112),"")</x:f>
        <x:v>2.1617240468255434</x:v>
      </x:c>
      <x:c r="K112" s="8" t="n">
        <x:f>IF(COUNT('Monthly data'!F110:F112)=3,'Monthly data'!F112-2*'Monthly data'!F111+'Monthly data'!F110,"")</x:f>
        <x:v>32.89999999999998</x:v>
      </x:c>
      <x:c r="L112" s="8" t="n">
        <x:f>IF(COUNT('Monthly data'!G110:G112)=3,'Monthly data'!G112-2*'Monthly data'!G111+'Monthly data'!G110,"")</x:f>
        <x:v>25.752699999999994</x:v>
      </x:c>
      <x:c r="M112" s="8" t="n">
        <x:f>IF(COUNT('Monthly data'!H110:H112)=3,'Monthly data'!H112-2*'Monthly data'!H111+'Monthly data'!H110,"")</x:f>
        <x:v>-14.628200000000007</x:v>
      </x:c>
      <x:c r="N112" s="8" t="n">
        <x:f>IF(COUNT('Monthly data'!I110:I112)=3,'Monthly data'!I112-2*'Monthly data'!I111+'Monthly data'!I110,"")</x:f>
        <x:v>11.2999</x:v>
      </x:c>
      <x:c r="O112" s="8" t="n">
        <x:f>IF(COUNT('Monthly data'!J110:J112)=3,'Monthly data'!J112-2*'Monthly data'!J111+'Monthly data'!J110,"")</x:f>
        <x:v>3.7841000000000005</x:v>
      </x:c>
      <x:c r="P112" s="8" t="n">
        <x:f>IF(COUNT('Monthly data'!K110:K112)=3,'Monthly data'!K112-2*'Monthly data'!K111+'Monthly data'!K110,"")</x:f>
        <x:v>1.0725999999999996</x:v>
      </x:c>
      <x:c r="Q112" s="8" t="n">
        <x:f>IF(COUNT('Monthly data'!L110:L112)=3,'Monthly data'!L112-2*'Monthly data'!L111+'Monthly data'!L110,"")</x:f>
        <x:v>0.7215999999999999</x:v>
      </x:c>
      <x:c r="R112" s="8" t="n">
        <x:f>IF(COUNT('Monthly data'!M110:M112)=3,'Monthly data'!M112-2*'Monthly data'!M111+'Monthly data'!M110,"")</x:f>
        <x:v>2.2125</x:v>
      </x:c>
      <x:c r="S112" s="8" t="n">
        <x:f>IF(COUNT('Monthly data'!N110:N112)=3,'Monthly data'!N112-2*'Monthly data'!N111+'Monthly data'!N110,"")</x:f>
        <x:v>2.6851000000000003</x:v>
      </x:c>
      <x:c r="T112" s="8" t="n">
        <x:f>IF(COUNT('Monthly data'!E111:E112)=2,'Monthly data'!E112-'Monthly data'!E111,"")</x:f>
        <x:v>-0.005353511199999161</x:v>
      </x:c>
    </x:row>
    <x:row r="113" ht="19" customHeight="1">
      <x:c r="A113" s="7" t="n">
        <x:f>'Monthly data'!A113</x:f>
        <x:v>36251</x:v>
      </x:c>
      <x:c r="B113" s="8" t="n">
        <x:f>IF(ISNUMBER('Monthly data'!F113),LN(1+'Monthly data'!F113),"")</x:f>
        <x:v>5.097791105099236</x:v>
      </x:c>
      <x:c r="C113" s="8" t="n">
        <x:f>IF(ISNUMBER('Monthly data'!G113),LN(1+'Monthly data'!G113),"")</x:f>
        <x:v>4.76564738256704</x:v>
      </x:c>
      <x:c r="D113" s="8" t="n">
        <x:f>IF(ISNUMBER('Monthly data'!H113),LN(1+'Monthly data'!H113),"")</x:f>
        <x:v>3.076076474235481</x:v>
      </x:c>
      <x:c r="E113" s="8" t="n">
        <x:f>IF(ISNUMBER('Monthly data'!I113),LN(1+'Monthly data'!I113),"")</x:f>
        <x:v>1.8486437714287667</x:v>
      </x:c>
      <x:c r="F113" s="8" t="n">
        <x:f>IF(ISNUMBER('Monthly data'!J113),LN(1+'Monthly data'!J113),"")</x:f>
        <x:v>1.7364053090959772</x:v>
      </x:c>
      <x:c r="G113" s="8" t="n">
        <x:f>IF(ISNUMBER('Monthly data'!K113),LN(1+'Monthly data'!K113),"")</x:f>
        <x:v>1.6898559342838442</x:v>
      </x:c>
      <x:c r="H113" s="8" t="n">
        <x:f>IF(ISNUMBER('Monthly data'!L113),LN(1+'Monthly data'!L113),"")</x:f>
        <x:v>1.0918561841711019</x:v>
      </x:c>
      <x:c r="I113" s="8" t="n">
        <x:f>IF(ISNUMBER('Monthly data'!M113),LN(1+'Monthly data'!M113),"")</x:f>
        <x:v>1.1660840037831224</x:v>
      </x:c>
      <x:c r="J113" s="8" t="n">
        <x:f>IF(ISNUMBER('Monthly data'!N113),LN(1+'Monthly data'!N113),"")</x:f>
        <x:v>2.0723791616793275</x:v>
      </x:c>
      <x:c r="K113" s="8" t="n">
        <x:f>IF(COUNT('Monthly data'!F111:F113)=3,'Monthly data'!F113-2*'Monthly data'!F112+'Monthly data'!F111,"")</x:f>
        <x:v>15.170000000000016</x:v>
      </x:c>
      <x:c r="L113" s="8" t="n">
        <x:f>IF(COUNT('Monthly data'!G111:G113)=3,'Monthly data'!G113-2*'Monthly data'!G112+'Monthly data'!G111,"")</x:f>
        <x:v>36.03240000000001</x:v>
      </x:c>
      <x:c r="M113" s="8" t="n">
        <x:f>IF(COUNT('Monthly data'!H111:H113)=3,'Monthly data'!H113-2*'Monthly data'!H112+'Monthly data'!H111,"")</x:f>
        <x:v>-5.645499999999998</x:v>
      </x:c>
      <x:c r="N113" s="8" t="n">
        <x:f>IF(COUNT('Monthly data'!I111:I113)=3,'Monthly data'!I113-2*'Monthly data'!I112+'Monthly data'!I111,"")</x:f>
        <x:v>-12.939699999999995</x:v>
      </x:c>
      <x:c r="O113" s="8" t="n">
        <x:f>IF(COUNT('Monthly data'!J111:J113)=3,'Monthly data'!J113-2*'Monthly data'!J112+'Monthly data'!J111,"")</x:f>
        <x:v>-0.4316000000000004</x:v>
      </x:c>
      <x:c r="P113" s="8" t="n">
        <x:f>IF(COUNT('Monthly data'!K111:K113)=3,'Monthly data'!K113-2*'Monthly data'!K112+'Monthly data'!K111,"")</x:f>
        <x:v>-1.0767999999999995</x:v>
      </x:c>
      <x:c r="Q113" s="8" t="n">
        <x:f>IF(COUNT('Monthly data'!L111:L113)=3,'Monthly data'!L113-2*'Monthly data'!L112+'Monthly data'!L111,"")</x:f>
        <x:v>0.8486</x:v>
      </x:c>
      <x:c r="R113" s="8" t="n">
        <x:f>IF(COUNT('Monthly data'!M111:M113)=3,'Monthly data'!M113-2*'Monthly data'!M112+'Monthly data'!M111,"")</x:f>
        <x:v>-0.3190000000000002</x:v>
      </x:c>
      <x:c r="S113" s="8" t="n">
        <x:f>IF(COUNT('Monthly data'!N111:N113)=3,'Monthly data'!N113-2*'Monthly data'!N112+'Monthly data'!N111,"")</x:f>
        <x:v>-1.2984999999999998</x:v>
      </x:c>
      <x:c r="T113" s="8" t="n">
        <x:f>IF(COUNT('Monthly data'!E112:E113)=2,'Monthly data'!E113-'Monthly data'!E112,"")</x:f>
        <x:v>-0.017964795000001033</x:v>
      </x:c>
    </x:row>
    <x:row r="114" ht="19" customHeight="1">
      <x:c r="A114" s="7" t="n">
        <x:f>'Monthly data'!A114</x:f>
        <x:v>36281</x:v>
      </x:c>
      <x:c r="B114" s="8" t="n">
        <x:f>IF(ISNUMBER('Monthly data'!F114),LN(1+'Monthly data'!F114),"")</x:f>
        <x:v>4.831747834036584</x:v>
      </x:c>
      <x:c r="C114" s="8" t="n">
        <x:f>IF(ISNUMBER('Monthly data'!G114),LN(1+'Monthly data'!G114),"")</x:f>
        <x:v>4.341828143651583</x:v>
      </x:c>
      <x:c r="D114" s="8" t="n">
        <x:f>IF(ISNUMBER('Monthly data'!H114),LN(1+'Monthly data'!H114),"")</x:f>
        <x:v>3.266041813635699</x:v>
      </x:c>
      <x:c r="E114" s="8" t="n">
        <x:f>IF(ISNUMBER('Monthly data'!I114),LN(1+'Monthly data'!I114),"")</x:f>
        <x:v>1.8042313707233755</x:v>
      </x:c>
      <x:c r="F114" s="8" t="n">
        <x:f>IF(ISNUMBER('Monthly data'!J114),LN(1+'Monthly data'!J114),"")</x:f>
        <x:v>1.5032548363439584</x:v>
      </x:c>
      <x:c r="G114" s="8" t="n">
        <x:f>IF(ISNUMBER('Monthly data'!K114),LN(1+'Monthly data'!K114),"")</x:f>
        <x:v>1.8844753777277965</x:v>
      </x:c>
      <x:c r="H114" s="8" t="n">
        <x:f>IF(ISNUMBER('Monthly data'!L114),LN(1+'Monthly data'!L114),"")</x:f>
        <x:v>0.8192510573556712</x:v>
      </x:c>
      <x:c r="I114" s="8" t="n">
        <x:f>IF(ISNUMBER('Monthly data'!M114),LN(1+'Monthly data'!M114),"")</x:f>
        <x:v>0.7550885821001284</x:v>
      </x:c>
      <x:c r="J114" s="8" t="n">
        <x:f>IF(ISNUMBER('Monthly data'!N114),LN(1+'Monthly data'!N114),"")</x:f>
        <x:v>2.0571320247599747</x:v>
      </x:c>
      <x:c r="K114" s="8" t="n">
        <x:f>IF(COUNT('Monthly data'!F112:F114)=3,'Monthly data'!F114-2*'Monthly data'!F113+'Monthly data'!F112,"")</x:f>
        <x:v>-87.92999999999999</x:v>
      </x:c>
      <x:c r="L114" s="8" t="n">
        <x:f>IF(COUNT('Monthly data'!G112:G114)=3,'Monthly data'!G114-2*'Monthly data'!G113+'Monthly data'!G112,"")</x:f>
        <x:v>-104.0796</x:v>
      </x:c>
      <x:c r="M114" s="8" t="n">
        <x:f>IF(COUNT('Monthly data'!H112:H114)=3,'Monthly data'!H114-2*'Monthly data'!H113+'Monthly data'!H112,"")</x:f>
        <x:v>13.162299999999998</x:v>
      </x:c>
      <x:c r="N114" s="8" t="n">
        <x:f>IF(COUNT('Monthly data'!I112:I114)=3,'Monthly data'!I114-2*'Monthly data'!I113+'Monthly data'!I112,"")</x:f>
        <x:v>5.721599999999999</x:v>
      </x:c>
      <x:c r="O114" s="8" t="n">
        <x:f>IF(COUNT('Monthly data'!J112:J114)=3,'Monthly data'!J114-2*'Monthly data'!J113+'Monthly data'!J112,"")</x:f>
        <x:v>-0.641</x:v>
      </x:c>
      <x:c r="P114" s="8" t="n">
        <x:f>IF(COUNT('Monthly data'!K112:K114)=3,'Monthly data'!K114-2*'Monthly data'!K113+'Monthly data'!K112,"")</x:f>
        <x:v>0.8243999999999998</x:v>
      </x:c>
      <x:c r="Q114" s="8" t="n">
        <x:f>IF(COUNT('Monthly data'!L112:L114)=3,'Monthly data'!L114-2*'Monthly data'!L113+'Monthly data'!L112,"")</x:f>
        <x:v>-1.9416000000000002</x:v>
      </x:c>
      <x:c r="R114" s="8" t="n">
        <x:f>IF(COUNT('Monthly data'!M112:M114)=3,'Monthly data'!M114-2*'Monthly data'!M113+'Monthly data'!M112,"")</x:f>
        <x:v>-1.5984000000000003</x:v>
      </x:c>
      <x:c r="S114" s="8" t="n">
        <x:f>IF(COUNT('Monthly data'!N112:N114)=3,'Monthly data'!N114-2*'Monthly data'!N113+'Monthly data'!N112,"")</x:f>
        <x:v>0.6222000000000003</x:v>
      </x:c>
      <x:c r="T114" s="8" t="n">
        <x:f>IF(COUNT('Monthly data'!E113:E114)=2,'Monthly data'!E114-'Monthly data'!E113,"")</x:f>
        <x:v>-0.011806295399999556</x:v>
      </x:c>
    </x:row>
    <x:row r="115" ht="19" customHeight="1">
      <x:c r="A115" s="7" t="n">
        <x:f>'Monthly data'!A115</x:f>
        <x:v>36312</x:v>
      </x:c>
      <x:c r="B115" s="8" t="n">
        <x:f>IF(ISNUMBER('Monthly data'!F115),LN(1+'Monthly data'!F115),"")</x:f>
        <x:v>4.726148112540994</x:v>
      </x:c>
      <x:c r="C115" s="8" t="n">
        <x:f>IF(ISNUMBER('Monthly data'!G115),LN(1+'Monthly data'!G115),"")</x:f>
        <x:v>4.286760828885016</x:v>
      </x:c>
      <x:c r="D115" s="8" t="n">
        <x:f>IF(ISNUMBER('Monthly data'!H115),LN(1+'Monthly data'!H115),"")</x:f>
        <x:v>3.0794620218854907</x:v>
      </x:c>
      <x:c r="E115" s="8" t="n">
        <x:f>IF(ISNUMBER('Monthly data'!I115),LN(1+'Monthly data'!I115),"")</x:f>
        <x:v>1.814824742159051</x:v>
      </x:c>
      <x:c r="F115" s="8" t="n">
        <x:f>IF(ISNUMBER('Monthly data'!J115),LN(1+'Monthly data'!J115),"")</x:f>
        <x:v>1.8241298492585059</x:v>
      </x:c>
      <x:c r="G115" s="8" t="n">
        <x:f>IF(ISNUMBER('Monthly data'!K115),LN(1+'Monthly data'!K115),"")</x:f>
        <x:v>0.9586219868875934</x:v>
      </x:c>
      <x:c r="H115" s="8" t="n">
        <x:f>IF(ISNUMBER('Monthly data'!L115),LN(1+'Monthly data'!L115),"")</x:f>
        <x:v>0.02829586915484725</x:v>
      </x:c>
      <x:c r="I115" s="8" t="n">
        <x:f>IF(ISNUMBER('Monthly data'!M115),LN(1+'Monthly data'!M115),"")</x:f>
        <x:v>0.890275244670873</x:v>
      </x:c>
      <x:c r="J115" s="8" t="n">
        <x:f>IF(ISNUMBER('Monthly data'!N115),LN(1+'Monthly data'!N115),"")</x:f>
        <x:v>1.9420168657681638</x:v>
      </x:c>
      <x:c r="K115" s="8" t="n">
        <x:f>IF(COUNT('Monthly data'!F113:F115)=3,'Monthly data'!F115-2*'Monthly data'!F114+'Monthly data'!F113,"")</x:f>
        <x:v>25.659999999999997</x:v>
      </x:c>
      <x:c r="L115" s="8" t="n">
        <x:f>IF(COUNT('Monthly data'!G113:G115)=3,'Monthly data'!G115-2*'Monthly data'!G114+'Monthly data'!G113,"")</x:f>
        <x:v>36.441800000000015</x:v>
      </x:c>
      <x:c r="M115" s="8" t="n">
        <x:f>IF(COUNT('Monthly data'!H113:H115)=3,'Monthly data'!H115-2*'Monthly data'!H114+'Monthly data'!H113,"")</x:f>
        <x:v>-8.994899999999998</x:v>
      </x:c>
      <x:c r="N115" s="8" t="n">
        <x:f>IF(COUNT('Monthly data'!I113:I115)=3,'Monthly data'!I115-2*'Monthly data'!I114+'Monthly data'!I113,"")</x:f>
        <x:v>0.34059999999999935</x:v>
      </x:c>
      <x:c r="O115" s="8" t="n">
        <x:f>IF(COUNT('Monthly data'!J113:J115)=3,'Monthly data'!J115-2*'Monthly data'!J114+'Monthly data'!J113,"")</x:f>
        <x:v>2.8816999999999995</x:v>
      </x:c>
      <x:c r="P115" s="8" t="n">
        <x:f>IF(COUNT('Monthly data'!K113:K115)=3,'Monthly data'!K115-2*'Monthly data'!K114+'Monthly data'!K113,"")</x:f>
        <x:v>-5.139</x:v>
      </x:c>
      <x:c r="Q115" s="8" t="n">
        <x:f>IF(COUNT('Monthly data'!L113:L115)=3,'Monthly data'!L115-2*'Monthly data'!L114+'Monthly data'!L113,"")</x:f>
        <x:v>-0.5290999999999997</x:v>
      </x:c>
      <x:c r="R115" s="8" t="n">
        <x:f>IF(COUNT('Monthly data'!M113:M115)=3,'Monthly data'!M115-2*'Monthly data'!M114+'Monthly data'!M113,"")</x:f>
        <x:v>1.3896000000000002</x:v>
      </x:c>
      <x:c r="S115" s="8" t="n">
        <x:f>IF(COUNT('Monthly data'!N113:N115)=3,'Monthly data'!N115-2*'Monthly data'!N114+'Monthly data'!N113,"")</x:f>
        <x:v>-0.7305000000000001</x:v>
      </x:c>
      <x:c r="T115" s="8" t="n">
        <x:f>IF(COUNT('Monthly data'!E114:E115)=2,'Monthly data'!E115-'Monthly data'!E114,"")</x:f>
        <x:v>-0.0017067734999987039</x:v>
      </x:c>
    </x:row>
    <x:row r="116" ht="19" customHeight="1">
      <x:c r="A116" s="7" t="n">
        <x:f>'Monthly data'!A116</x:f>
        <x:v>36342</x:v>
      </x:c>
      <x:c r="B116" s="8" t="n">
        <x:f>IF(ISNUMBER('Monthly data'!F116),LN(1+'Monthly data'!F116),"")</x:f>
        <x:v>4.5148077459077</x:v>
      </x:c>
      <x:c r="C116" s="8" t="n">
        <x:f>IF(ISNUMBER('Monthly data'!G116),LN(1+'Monthly data'!G116),"")</x:f>
        <x:v>3.2966328454249365</x:v>
      </x:c>
      <x:c r="D116" s="8" t="n">
        <x:f>IF(ISNUMBER('Monthly data'!H116),LN(1+'Monthly data'!H116),"")</x:f>
        <x:v>3.558688191325602</x:v>
      </x:c>
      <x:c r="E116" s="8" t="n">
        <x:f>IF(ISNUMBER('Monthly data'!I116),LN(1+'Monthly data'!I116),"")</x:f>
        <x:v>2.0679507749643378</x:v>
      </x:c>
      <x:c r="F116" s="8" t="n">
        <x:f>IF(ISNUMBER('Monthly data'!J116),LN(1+'Monthly data'!J116),"")</x:f>
        <x:v>2.330443421122442</x:v>
      </x:c>
      <x:c r="G116" s="8" t="n">
        <x:f>IF(ISNUMBER('Monthly data'!K116),LN(1+'Monthly data'!K116),"")</x:f>
        <x:v>1.4972765455457702</x:v>
      </x:c>
      <x:c r="H116" s="8" t="n">
        <x:f>IF(ISNUMBER('Monthly data'!L116),LN(1+'Monthly data'!L116),"")</x:f>
        <x:v>0.2656664983941004</x:v>
      </x:c>
      <x:c r="I116" s="8" t="n">
        <x:f>IF(ISNUMBER('Monthly data'!M116),LN(1+'Monthly data'!M116),"")</x:f>
        <x:v>1.038897669340452</x:v>
      </x:c>
      <x:c r="J116" s="8" t="n">
        <x:f>IF(ISNUMBER('Monthly data'!N116),LN(1+'Monthly data'!N116),"")</x:f>
        <x:v>2.2439385135612384</x:v>
      </x:c>
      <x:c r="K116" s="8" t="n">
        <x:f>IF(COUNT('Monthly data'!F114:F116)=3,'Monthly data'!F116-2*'Monthly data'!F115+'Monthly data'!F114,"")</x:f>
        <x:v>-8.930000000000007</x:v>
      </x:c>
      <x:c r="L116" s="8" t="n">
        <x:f>IF(COUNT('Monthly data'!G114:G116)=3,'Monthly data'!G116-2*'Monthly data'!G115+'Monthly data'!G114,"")</x:f>
        <x:v>-41.591600000000014</x:v>
      </x:c>
      <x:c r="M116" s="8" t="n">
        <x:f>IF(COUNT('Monthly data'!H114:H116)=3,'Monthly data'!H116-2*'Monthly data'!H115+'Monthly data'!H114,"")</x:f>
        <x:v>17.8311</x:v>
      </x:c>
      <x:c r="N116" s="8" t="n">
        <x:f>IF(COUNT('Monthly data'!I114:I116)=3,'Monthly data'!I116-2*'Monthly data'!I115+'Monthly data'!I114,"")</x:f>
        <x:v>1.7039000000000009</x:v>
      </x:c>
      <x:c r="O116" s="8" t="n">
        <x:f>IF(COUNT('Monthly data'!J114:J116)=3,'Monthly data'!J116-2*'Monthly data'!J115+'Monthly data'!J114,"")</x:f>
        <x:v>2.384000000000001</x:v>
      </x:c>
      <x:c r="P116" s="8" t="n">
        <x:f>IF(COUNT('Monthly data'!K114:K116)=3,'Monthly data'!K116-2*'Monthly data'!K115+'Monthly data'!K114,"")</x:f>
        <x:v>5.8362</x:v>
      </x:c>
      <x:c r="Q116" s="8" t="n">
        <x:f>IF(COUNT('Monthly data'!L114:L116)=3,'Monthly data'!L116-2*'Monthly data'!L115+'Monthly data'!L114,"")</x:f>
        <x:v>1.5156999999999998</x:v>
      </x:c>
      <x:c r="R116" s="8" t="n">
        <x:f>IF(COUNT('Monthly data'!M114:M116)=3,'Monthly data'!M116-2*'Monthly data'!M115+'Monthly data'!M114,"")</x:f>
        <x:v>0.08230000000000004</x:v>
      </x:c>
      <x:c r="S116" s="8" t="n">
        <x:f>IF(COUNT('Monthly data'!N114:N116)=3,'Monthly data'!N116-2*'Monthly data'!N115+'Monthly data'!N114,"")</x:f>
        <x:v>3.3083</x:v>
      </x:c>
      <x:c r="T116" s="8" t="n">
        <x:f>IF(COUNT('Monthly data'!E115:E116)=2,'Monthly data'!E116-'Monthly data'!E115,"")</x:f>
        <x:v>0.009330815199998455</x:v>
      </x:c>
    </x:row>
    <x:row r="117" ht="19" customHeight="1">
      <x:c r="A117" s="7" t="n">
        <x:f>'Monthly data'!A117</x:f>
        <x:v>36373</x:v>
      </x:c>
      <x:c r="B117" s="8" t="n">
        <x:f>IF(ISNUMBER('Monthly data'!F117),LN(1+'Monthly data'!F117),"")</x:f>
        <x:v>4.390490713086011</x:v>
      </x:c>
      <x:c r="C117" s="8" t="n">
        <x:f>IF(ISNUMBER('Monthly data'!G117),LN(1+'Monthly data'!G117),"")</x:f>
        <x:v>3.2873827116170307</x:v>
      </x:c>
      <x:c r="D117" s="8" t="n">
        <x:f>IF(ISNUMBER('Monthly data'!H117),LN(1+'Monthly data'!H117),"")</x:f>
        <x:v>3.1789700771322984</x:v>
      </x:c>
      <x:c r="E117" s="8" t="n">
        <x:f>IF(ISNUMBER('Monthly data'!I117),LN(1+'Monthly data'!I117),"")</x:f>
        <x:v>2.237683839410348</x:v>
      </x:c>
      <x:c r="F117" s="8" t="n">
        <x:f>IF(ISNUMBER('Monthly data'!J117),LN(1+'Monthly data'!J117),"")</x:f>
        <x:v>2.140607193583683</x:v>
      </x:c>
      <x:c r="G117" s="8" t="n">
        <x:f>IF(ISNUMBER('Monthly data'!K117),LN(1+'Monthly data'!K117),"")</x:f>
        <x:v>1.3686648708500648</x:v>
      </x:c>
      <x:c r="H117" s="8" t="n">
        <x:f>IF(ISNUMBER('Monthly data'!L117),LN(1+'Monthly data'!L117),"")</x:f>
        <x:v>0.591834018859456</x:v>
      </x:c>
      <x:c r="I117" s="8" t="n">
        <x:f>IF(ISNUMBER('Monthly data'!M117),LN(1+'Monthly data'!M117),"")</x:f>
        <x:v>1.04861639790242</x:v>
      </x:c>
      <x:c r="J117" s="8" t="n">
        <x:f>IF(ISNUMBER('Monthly data'!N117),LN(1+'Monthly data'!N117),"")</x:f>
        <x:v>2.343544678048289</x:v>
      </x:c>
      <x:c r="K117" s="8" t="n">
        <x:f>IF(COUNT('Monthly data'!F115:F117)=3,'Monthly data'!F117-2*'Monthly data'!F116+'Monthly data'!F115,"")</x:f>
        <x:v>10.820000000000007</x:v>
      </x:c>
      <x:c r="L117" s="8" t="n">
        <x:f>IF(COUNT('Monthly data'!G115:G117)=3,'Monthly data'!G117-2*'Monthly data'!G116+'Monthly data'!G115,"")</x:f>
        <x:v>45.46020000000001</x:v>
      </x:c>
      <x:c r="M117" s="8" t="n">
        <x:f>IF(COUNT('Monthly data'!H115:H117)=3,'Monthly data'!H117-2*'Monthly data'!H116+'Monthly data'!H115,"")</x:f>
        <x:v>-24.465500000000002</x:v>
      </x:c>
      <x:c r="N117" s="8" t="n">
        <x:f>IF(COUNT('Monthly data'!I115:I117)=3,'Monthly data'!I117-2*'Monthly data'!I116+'Monthly data'!I115,"")</x:f>
        <x:v>-0.3055999999999992</x:v>
      </x:c>
      <x:c r="O117" s="8" t="n">
        <x:f>IF(COUNT('Monthly data'!J115:J117)=3,'Monthly data'!J117-2*'Monthly data'!J116+'Monthly data'!J115,"")</x:f>
        <x:v>-5.863000000000001</x:v>
      </x:c>
      <x:c r="P117" s="8" t="n">
        <x:f>IF(COUNT('Monthly data'!K115:K117)=3,'Monthly data'!K117-2*'Monthly data'!K116+'Monthly data'!K115,"")</x:f>
        <x:v>-2.4008000000000003</x:v>
      </x:c>
      <x:c r="Q117" s="8" t="n">
        <x:f>IF(COUNT('Monthly data'!L115:L117)=3,'Monthly data'!L117-2*'Monthly data'!L116+'Monthly data'!L115,"")</x:f>
        <x:v>0.2274</x:v>
      </x:c>
      <x:c r="R117" s="8" t="n">
        <x:f>IF(COUNT('Monthly data'!M115:M117)=3,'Monthly data'!M117-2*'Monthly data'!M116+'Monthly data'!M115,"")</x:f>
        <x:v>-0.36270000000000024</x:v>
      </x:c>
      <x:c r="S117" s="8" t="n">
        <x:f>IF(COUNT('Monthly data'!N115:N117)=3,'Monthly data'!N117-2*'Monthly data'!N116+'Monthly data'!N115,"")</x:f>
        <x:v>-1.4699</x:v>
      </x:c>
      <x:c r="T117" s="8" t="n">
        <x:f>IF(COUNT('Monthly data'!E116:E117)=2,'Monthly data'!E117-'Monthly data'!E116,"")</x:f>
        <x:v>0.002089586100000318</x:v>
      </x:c>
    </x:row>
    <x:row r="118" ht="19" customHeight="1">
      <x:c r="A118" s="7" t="n">
        <x:f>'Monthly data'!A118</x:f>
        <x:v>36404</x:v>
      </x:c>
      <x:c r="B118" s="8" t="n">
        <x:f>IF(ISNUMBER('Monthly data'!F118),LN(1+'Monthly data'!F118),"")</x:f>
        <x:v>4.432482078162375</x:v>
      </x:c>
      <x:c r="C118" s="8" t="n">
        <x:f>IF(ISNUMBER('Monthly data'!G118),LN(1+'Monthly data'!G118),"")</x:f>
        <x:v>3.504965630335455</x:v>
      </x:c>
      <x:c r="D118" s="8" t="n">
        <x:f>IF(ISNUMBER('Monthly data'!H118),LN(1+'Monthly data'!H118),"")</x:f>
        <x:v>3.240202779982271</x:v>
      </x:c>
      <x:c r="E118" s="8" t="n">
        <x:f>IF(ISNUMBER('Monthly data'!I118),LN(1+'Monthly data'!I118),"")</x:f>
        <x:v>2.2513970562246124</x:v>
      </x:c>
      <x:c r="F118" s="8" t="n">
        <x:f>IF(ISNUMBER('Monthly data'!J118),LN(1+'Monthly data'!J118),"")</x:f>
        <x:v>1.8839891515926797</x:v>
      </x:c>
      <x:c r="G118" s="8" t="n">
        <x:f>IF(ISNUMBER('Monthly data'!K118),LN(1+'Monthly data'!K118),"")</x:f>
        <x:v>1.3514181967324608</x:v>
      </x:c>
      <x:c r="H118" s="8" t="n">
        <x:f>IF(ISNUMBER('Monthly data'!L118),LN(1+'Monthly data'!L118),"")</x:f>
        <x:v>0.38349212729775684</x:v>
      </x:c>
      <x:c r="I118" s="8" t="n">
        <x:f>IF(ISNUMBER('Monthly data'!M118),LN(1+'Monthly data'!M118),"")</x:f>
        <x:v>1.1418314077880862</x:v>
      </x:c>
      <x:c r="J118" s="8" t="n">
        <x:f>IF(ISNUMBER('Monthly data'!N118),LN(1+'Monthly data'!N118),"")</x:f>
        <x:v>2.051222092104938</x:v>
      </x:c>
      <x:c r="K118" s="8" t="n">
        <x:f>IF(COUNT('Monthly data'!F116:F118)=3,'Monthly data'!F118-2*'Monthly data'!F117+'Monthly data'!F116,"")</x:f>
        <x:v>14.139999999999986</x:v>
      </x:c>
      <x:c r="L118" s="8" t="n">
        <x:f>IF(COUNT('Monthly data'!G116:G118)=3,'Monthly data'!G118-2*'Monthly data'!G117+'Monthly data'!G116,"")</x:f>
        <x:v>6.756399999999996</x:v>
      </x:c>
      <x:c r="M118" s="8" t="n">
        <x:f>IF(COUNT('Monthly data'!H116:H118)=3,'Monthly data'!H118-2*'Monthly data'!H117+'Monthly data'!H116,"")</x:f>
        <x:v>12.612000000000005</x:v>
      </x:c>
      <x:c r="N118" s="8" t="n">
        <x:f>IF(COUNT('Monthly data'!I116:I118)=3,'Monthly data'!I118-2*'Monthly data'!I117+'Monthly data'!I116,"")</x:f>
        <x:v>-1.3336000000000023</x:v>
      </x:c>
      <x:c r="O118" s="8" t="n">
        <x:f>IF(COUNT('Monthly data'!J116:J118)=3,'Monthly data'!J118-2*'Monthly data'!J117+'Monthly data'!J116,"")</x:f>
        <x:v>-0.14700000000000024</x:v>
      </x:c>
      <x:c r="P118" s="8" t="n">
        <x:f>IF(COUNT('Monthly data'!K116:K118)=3,'Monthly data'!K118-2*'Monthly data'!K117+'Monthly data'!K116,"")</x:f>
        <x:v>0.47219999999999995</x:v>
      </x:c>
      <x:c r="Q118" s="8" t="n">
        <x:f>IF(COUNT('Monthly data'!L116:L118)=3,'Monthly data'!L118-2*'Monthly data'!L117+'Monthly data'!L116,"")</x:f>
        <x:v>-0.8429</x:v>
      </x:c>
      <x:c r="R118" s="8" t="n">
        <x:f>IF(COUNT('Monthly data'!M116:M118)=3,'Monthly data'!M118-2*'Monthly data'!M117+'Monthly data'!M116,"")</x:f>
        <x:v>0.2512000000000001</x:v>
      </x:c>
      <x:c r="S118" s="8" t="n">
        <x:f>IF(COUNT('Monthly data'!N116:N118)=3,'Monthly data'!N118-2*'Monthly data'!N117+'Monthly data'!N116,"")</x:f>
        <x:v>-3.628400000000001</x:v>
      </x:c>
      <x:c r="T118" s="8" t="n">
        <x:f>IF(COUNT('Monthly data'!E117:E118)=2,'Monthly data'!E118-'Monthly data'!E117,"")</x:f>
        <x:v>-0.0032524420999990866</x:v>
      </x:c>
    </x:row>
    <x:row r="119" ht="19" customHeight="1">
      <x:c r="A119" s="7" t="n">
        <x:f>'Monthly data'!A119</x:f>
        <x:v>36434</x:v>
      </x:c>
      <x:c r="B119" s="8" t="n">
        <x:f>IF(ISNUMBER('Monthly data'!F119),LN(1+'Monthly data'!F119),"")</x:f>
        <x:v>4.297693486208131</x:v>
      </x:c>
      <x:c r="C119" s="8" t="n">
        <x:f>IF(ISNUMBER('Monthly data'!G119),LN(1+'Monthly data'!G119),"")</x:f>
        <x:v>3.0859476788252946</x:v>
      </x:c>
      <x:c r="D119" s="8" t="n">
        <x:f>IF(ISNUMBER('Monthly data'!H119),LN(1+'Monthly data'!H119),"")</x:f>
        <x:v>3.1167190606028154</x:v>
      </x:c>
      <x:c r="E119" s="8" t="n">
        <x:f>IF(ISNUMBER('Monthly data'!I119),LN(1+'Monthly data'!I119),"")</x:f>
        <x:v>1.953126902675316</x:v>
      </x:c>
      <x:c r="F119" s="8" t="n">
        <x:f>IF(ISNUMBER('Monthly data'!J119),LN(1+'Monthly data'!J119),"")</x:f>
        <x:v>1.7187406473245503</x:v>
      </x:c>
      <x:c r="G119" s="8" t="n">
        <x:f>IF(ISNUMBER('Monthly data'!K119),LN(1+'Monthly data'!K119),"")</x:f>
        <x:v>1.8674851797561907</x:v>
      </x:c>
      <x:c r="H119" s="8" t="n">
        <x:f>IF(ISNUMBER('Monthly data'!L119),LN(1+'Monthly data'!L119),"")</x:f>
        <x:v>1.883609122857934</x:v>
      </x:c>
      <x:c r="I119" s="8" t="n">
        <x:f>IF(ISNUMBER('Monthly data'!M119),LN(1+'Monthly data'!M119),"")</x:f>
        <x:v>0.8166029844868635</x:v>
      </x:c>
      <x:c r="J119" s="8" t="n">
        <x:f>IF(ISNUMBER('Monthly data'!N119),LN(1+'Monthly data'!N119),"")</x:f>
        <x:v>2.0954871200983036</x:v>
      </x:c>
      <x:c r="K119" s="8" t="n">
        <x:f>IF(COUNT('Monthly data'!F117:F119)=3,'Monthly data'!F119-2*'Monthly data'!F118+'Monthly data'!F117,"")</x:f>
        <x:v>-14.069999999999993</x:v>
      </x:c>
      <x:c r="L119" s="8" t="n">
        <x:f>IF(COUNT('Monthly data'!G117:G119)=3,'Monthly data'!G119-2*'Monthly data'!G118+'Monthly data'!G117,"")</x:f>
        <x:v>-17.899699999999996</x:v>
      </x:c>
      <x:c r="M119" s="8" t="n">
        <x:f>IF(COUNT('Monthly data'!H117:H119)=3,'Monthly data'!H119-2*'Monthly data'!H118+'Monthly data'!H117,"")</x:f>
        <x:v>-4.483600000000006</x:v>
      </x:c>
      <x:c r="N119" s="8" t="n">
        <x:f>IF(COUNT('Monthly data'!I117:I119)=3,'Monthly data'!I119-2*'Monthly data'!I118+'Monthly data'!I117,"")</x:f>
        <x:v>-2.579699999999999</x:v>
      </x:c>
      <x:c r="O119" s="8" t="n">
        <x:f>IF(COUNT('Monthly data'!J117:J119)=3,'Monthly data'!J119-2*'Monthly data'!J118+'Monthly data'!J117,"")</x:f>
        <x:v>0.9226999999999999</x:v>
      </x:c>
      <x:c r="P119" s="8" t="n">
        <x:f>IF(COUNT('Monthly data'!K117:K119)=3,'Monthly data'!K119-2*'Monthly data'!K118+'Monthly data'!K117,"")</x:f>
        <x:v>2.676300000000001</x:v>
      </x:c>
      <x:c r="Q119" s="8" t="n">
        <x:f>IF(COUNT('Monthly data'!L117:L119)=3,'Monthly data'!L119-2*'Monthly data'!L118+'Monthly data'!L117,"")</x:f>
        <x:v>5.4497</x:v>
      </x:c>
      <x:c r="R119" s="8" t="n">
        <x:f>IF(COUNT('Monthly data'!M117:M119)=3,'Monthly data'!M119-2*'Monthly data'!M118+'Monthly data'!M117,"")</x:f>
        <x:v>-1.1484999999999999</x:v>
      </x:c>
      <x:c r="S119" s="8" t="n">
        <x:f>IF(COUNT('Monthly data'!N117:N119)=3,'Monthly data'!N119-2*'Monthly data'!N118+'Monthly data'!N117,"")</x:f>
        <x:v>2.992700000000001</x:v>
      </x:c>
      <x:c r="T119" s="8" t="n">
        <x:f>IF(COUNT('Monthly data'!E118:E119)=2,'Monthly data'!E119-'Monthly data'!E118,"")</x:f>
        <x:v>0.00988629779999961</x:v>
      </x:c>
    </x:row>
    <x:row r="120" ht="19" customHeight="1">
      <x:c r="A120" s="7" t="n">
        <x:f>'Monthly data'!A120</x:f>
        <x:v>36465</x:v>
      </x:c>
      <x:c r="B120" s="8" t="n">
        <x:f>IF(ISNUMBER('Monthly data'!F120),LN(1+'Monthly data'!F120),"")</x:f>
        <x:v>4.279024447084182</x:v>
      </x:c>
      <x:c r="C120" s="8" t="n">
        <x:f>IF(ISNUMBER('Monthly data'!G120),LN(1+'Monthly data'!G120),"")</x:f>
        <x:v>2.9090517509169325</x:v>
      </x:c>
      <x:c r="D120" s="8" t="n">
        <x:f>IF(ISNUMBER('Monthly data'!H120),LN(1+'Monthly data'!H120),"")</x:f>
        <x:v>3.391066234462697</x:v>
      </x:c>
      <x:c r="E120" s="8" t="n">
        <x:f>IF(ISNUMBER('Monthly data'!I120),LN(1+'Monthly data'!I120),"")</x:f>
        <x:v>1.742639250596641</x:v>
      </x:c>
      <x:c r="F120" s="8" t="n">
        <x:f>IF(ISNUMBER('Monthly data'!J120),LN(1+'Monthly data'!J120),"")</x:f>
        <x:v>1.8383885698220583</x:v>
      </x:c>
      <x:c r="G120" s="8" t="n">
        <x:f>IF(ISNUMBER('Monthly data'!K120),LN(1+'Monthly data'!K120),"")</x:f>
        <x:v>1.1457502951255134</x:v>
      </x:c>
      <x:c r="H120" s="8" t="n">
        <x:f>IF(ISNUMBER('Monthly data'!L120),LN(1+'Monthly data'!L120),"")</x:f>
        <x:v>1.0013301658615559</x:v>
      </x:c>
      <x:c r="I120" s="8" t="n">
        <x:f>IF(ISNUMBER('Monthly data'!M120),LN(1+'Monthly data'!M120),"")</x:f>
        <x:v>1.3453681945072449</x:v>
      </x:c>
      <x:c r="J120" s="8" t="n">
        <x:f>IF(ISNUMBER('Monthly data'!N120),LN(1+'Monthly data'!N120),"")</x:f>
        <x:v>2.2436839850738846</x:v>
      </x:c>
      <x:c r="K120" s="8" t="n">
        <x:f>IF(COUNT('Monthly data'!F118:F120)=3,'Monthly data'!F120-2*'Monthly data'!F119+'Monthly data'!F118,"")</x:f>
        <x:v>9.25</x:v>
      </x:c>
      <x:c r="L120" s="8" t="n">
        <x:f>IF(COUNT('Monthly data'!G118:G120)=3,'Monthly data'!G120-2*'Monthly data'!G119+'Monthly data'!G118,"")</x:f>
        <x:v>7.843299999999996</x:v>
      </x:c>
      <x:c r="M120" s="8" t="n">
        <x:f>IF(COUNT('Monthly data'!H118:H120)=3,'Monthly data'!H120-2*'Monthly data'!H119+'Monthly data'!H118,"")</x:f>
        <x:v>10.092100000000006</x:v>
      </x:c>
      <x:c r="N120" s="8" t="n">
        <x:f>IF(COUNT('Monthly data'!I118:I120)=3,'Monthly data'!I120-2*'Monthly data'!I119+'Monthly data'!I118,"")</x:f>
        <x:v>1.1119999999999992</x:v>
      </x:c>
      <x:c r="O120" s="8" t="n">
        <x:f>IF(COUNT('Monthly data'!J118:J120)=3,'Monthly data'!J120-2*'Monthly data'!J119+'Monthly data'!J118,"")</x:f>
        <x:v>1.711100000000001</x:v>
      </x:c>
      <x:c r="P120" s="8" t="n">
        <x:f>IF(COUNT('Monthly data'!K118:K120)=3,'Monthly data'!K120-2*'Monthly data'!K119+'Monthly data'!K118,"")</x:f>
        <x:v>-5.936300000000001</x:v>
      </x:c>
      <x:c r="Q120" s="8" t="n">
        <x:f>IF(COUNT('Monthly data'!L118:L120)=3,'Monthly data'!L120-2*'Monthly data'!L119+'Monthly data'!L118,"")</x:f>
        <x:v>-8.965100000000001</x:v>
      </x:c>
      <x:c r="R120" s="8" t="n">
        <x:f>IF(COUNT('Monthly data'!M118:M120)=3,'Monthly data'!M120-2*'Monthly data'!M119+'Monthly data'!M118,"")</x:f>
        <x:v>2.4465</x:v>
      </x:c>
      <x:c r="S120" s="8" t="n">
        <x:f>IF(COUNT('Monthly data'!N118:N120)=3,'Monthly data'!N120-2*'Monthly data'!N119+'Monthly data'!N118,"")</x:f>
        <x:v>0.9466000000000001</x:v>
      </x:c>
      <x:c r="T120" s="8" t="n">
        <x:f>IF(COUNT('Monthly data'!E119:E120)=2,'Monthly data'!E120-'Monthly data'!E119,"")</x:f>
        <x:v>0.006434682200000097</x:v>
      </x:c>
    </x:row>
    <x:row r="121" ht="19" customHeight="1">
      <x:c r="A121" s="7" t="n">
        <x:f>'Monthly data'!A121</x:f>
        <x:v>36495</x:v>
      </x:c>
      <x:c r="B121" s="8" t="n">
        <x:f>IF(ISNUMBER('Monthly data'!F121),LN(1+'Monthly data'!F121),"")</x:f>
        <x:v>4.516338972281476</x:v>
      </x:c>
      <x:c r="C121" s="8" t="n">
        <x:f>IF(ISNUMBER('Monthly data'!G121),LN(1+'Monthly data'!G121),"")</x:f>
        <x:v>3.1268789500018075</x:v>
      </x:c>
      <x:c r="D121" s="8" t="n">
        <x:f>IF(ISNUMBER('Monthly data'!H121),LN(1+'Monthly data'!H121),"")</x:f>
        <x:v>3.4414976401018085</x:v>
      </x:c>
      <x:c r="E121" s="8" t="n">
        <x:f>IF(ISNUMBER('Monthly data'!I121),LN(1+'Monthly data'!I121),"")</x:f>
        <x:v>2.9525428956584063</x:v>
      </x:c>
      <x:c r="F121" s="8" t="n">
        <x:f>IF(ISNUMBER('Monthly data'!J121),LN(1+'Monthly data'!J121),"")</x:f>
        <x:v>1.5669061237151227</x:v>
      </x:c>
      <x:c r="G121" s="8" t="n">
        <x:f>IF(ISNUMBER('Monthly data'!K121),LN(1+'Monthly data'!K121),"")</x:f>
        <x:v>1.6419438239903594</x:v>
      </x:c>
      <x:c r="H121" s="8" t="n">
        <x:f>IF(ISNUMBER('Monthly data'!L121),LN(1+'Monthly data'!L121),"")</x:f>
        <x:v>1.2525057925713319</x:v>
      </x:c>
      <x:c r="I121" s="8" t="n">
        <x:f>IF(ISNUMBER('Monthly data'!M121),LN(1+'Monthly data'!M121),"")</x:f>
        <x:v>0.9021918074946533</x:v>
      </x:c>
      <x:c r="J121" s="8" t="n">
        <x:f>IF(ISNUMBER('Monthly data'!N121),LN(1+'Monthly data'!N121),"")</x:f>
        <x:v>2.2394216260360076</x:v>
      </x:c>
      <x:c r="K121" s="8" t="n">
        <x:f>IF(COUNT('Monthly data'!F119:F121)=3,'Monthly data'!F121-2*'Monthly data'!F120+'Monthly data'!F119,"")</x:f>
        <x:v>20.689999999999998</x:v>
      </x:c>
      <x:c r="L121" s="8" t="n">
        <x:f>IF(COUNT('Monthly data'!G119:G121)=3,'Monthly data'!G121-2*'Monthly data'!G120+'Monthly data'!G119,"")</x:f>
        <x:v>8.0121</x:v>
      </x:c>
      <x:c r="M121" s="8" t="n">
        <x:f>IF(COUNT('Monthly data'!H119:H121)=3,'Monthly data'!H121-2*'Monthly data'!H120+'Monthly data'!H119,"")</x:f>
        <x:v>-5.589300000000005</x:v>
      </x:c>
      <x:c r="N121" s="8" t="n">
        <x:f>IF(COUNT('Monthly data'!I119:I121)=3,'Monthly data'!I121-2*'Monthly data'!I120+'Monthly data'!I119,"")</x:f>
        <x:v>14.7805</x:v>
      </x:c>
      <x:c r="O121" s="8" t="n">
        <x:f>IF(COUNT('Monthly data'!J119:J121)=3,'Monthly data'!J121-2*'Monthly data'!J120+'Monthly data'!J119,"")</x:f>
        <x:v>-2.203500000000001</x:v>
      </x:c>
      <x:c r="P121" s="8" t="n">
        <x:f>IF(COUNT('Monthly data'!K119:K121)=3,'Monthly data'!K121-2*'Monthly data'!K120+'Monthly data'!K119,"")</x:f>
        <x:v>5.3476</x:v>
      </x:c>
      <x:c r="Q121" s="8" t="n">
        <x:f>IF(COUNT('Monthly data'!L119:L121)=3,'Monthly data'!L121-2*'Monthly data'!L120+'Monthly data'!L119,"")</x:f>
        <x:v>4.6325</x:v>
      </x:c>
      <x:c r="R121" s="8" t="n">
        <x:f>IF(COUNT('Monthly data'!M119:M121)=3,'Monthly data'!M121-2*'Monthly data'!M120+'Monthly data'!M119,"")</x:f>
        <x:v>-2.9514</x:v>
      </x:c>
      <x:c r="S121" s="8" t="n">
        <x:f>IF(COUNT('Monthly data'!N119:N121)=3,'Monthly data'!N121-2*'Monthly data'!N120+'Monthly data'!N119,"")</x:f>
        <x:v>-1.3387000000000011</x:v>
      </x:c>
      <x:c r="T121" s="8" t="n">
        <x:f>IF(COUNT('Monthly data'!E120:E121)=2,'Monthly data'!E121-'Monthly data'!E120,"")</x:f>
        <x:v>-0.010265546399999437</x:v>
      </x:c>
    </x:row>
    <x:row r="122" ht="19" customHeight="1">
      <x:c r="A122" s="7" t="n">
        <x:f>'Monthly data'!A122</x:f>
        <x:v>36526</x:v>
      </x:c>
      <x:c r="B122" s="8" t="n">
        <x:f>IF(ISNUMBER('Monthly data'!F122),LN(1+'Monthly data'!F122),"")</x:f>
        <x:v>4.287578583130166</x:v>
      </x:c>
      <x:c r="C122" s="8" t="n">
        <x:f>IF(ISNUMBER('Monthly data'!G122),LN(1+'Monthly data'!G122),"")</x:f>
        <x:v>2.888247280569242</x:v>
      </x:c>
      <x:c r="D122" s="8" t="n">
        <x:f>IF(ISNUMBER('Monthly data'!H122),LN(1+'Monthly data'!H122),"")</x:f>
        <x:v>3.298758519740372</x:v>
      </x:c>
      <x:c r="E122" s="8" t="n">
        <x:f>IF(ISNUMBER('Monthly data'!I122),LN(1+'Monthly data'!I122),"")</x:f>
        <x:v>2.506480583211811</x:v>
      </x:c>
      <x:c r="F122" s="8" t="n">
        <x:f>IF(ISNUMBER('Monthly data'!J122),LN(1+'Monthly data'!J122),"")</x:f>
        <x:v>1.7603719959864224</x:v>
      </x:c>
      <x:c r="G122" s="8" t="n">
        <x:f>IF(ISNUMBER('Monthly data'!K122),LN(1+'Monthly data'!K122),"")</x:f>
        <x:v>1.1928916343151186</x:v>
      </x:c>
      <x:c r="H122" s="8" t="n">
        <x:f>IF(ISNUMBER('Monthly data'!L122),LN(1+'Monthly data'!L122),"")</x:f>
        <x:v>1.3336053563394688</x:v>
      </x:c>
      <x:c r="I122" s="8" t="n">
        <x:f>IF(ISNUMBER('Monthly data'!M122),LN(1+'Monthly data'!M122),"")</x:f>
        <x:v>0.5257930508877771</x:v>
      </x:c>
      <x:c r="J122" s="8" t="n">
        <x:f>IF(ISNUMBER('Monthly data'!N122),LN(1+'Monthly data'!N122),"")</x:f>
        <x:v>2.065570785994044</x:v>
      </x:c>
      <x:c r="K122" s="8" t="n">
        <x:f>IF(COUNT('Monthly data'!F120:F122)=3,'Monthly data'!F122-2*'Monthly data'!F121+'Monthly data'!F120,"")</x:f>
        <x:v>-38.03999999999999</x:v>
      </x:c>
      <x:c r="L122" s="8" t="n">
        <x:f>IF(COUNT('Monthly data'!G120:G122)=3,'Monthly data'!G122-2*'Monthly data'!G121+'Monthly data'!G120,"")</x:f>
        <x:v>-9.304200000000002</x:v>
      </x:c>
      <x:c r="M122" s="8" t="n">
        <x:f>IF(COUNT('Monthly data'!H120:H122)=3,'Monthly data'!H122-2*'Monthly data'!H121+'Monthly data'!H120,"")</x:f>
        <x:v>-5.690799999999996</x:v>
      </x:c>
      <x:c r="N122" s="8" t="n">
        <x:f>IF(COUNT('Monthly data'!I120:I122)=3,'Monthly data'!I122-2*'Monthly data'!I121+'Monthly data'!I120,"")</x:f>
        <x:v>-20.3351</x:v>
      </x:c>
      <x:c r="O122" s="8" t="n">
        <x:f>IF(COUNT('Monthly data'!J120:J122)=3,'Monthly data'!J122-2*'Monthly data'!J121+'Monthly data'!J120,"")</x:f>
        <x:v>2.517400000000001</x:v>
      </x:c>
      <x:c r="P122" s="8" t="n">
        <x:f>IF(COUNT('Monthly data'!K120:K122)=3,'Monthly data'!K122-2*'Monthly data'!K121+'Monthly data'!K120,"")</x:f>
        <x:v>-3.8889999999999993</x:v>
      </x:c>
      <x:c r="Q122" s="8" t="n">
        <x:f>IF(COUNT('Monthly data'!L120:L122)=3,'Monthly data'!L122-2*'Monthly data'!L121+'Monthly data'!L120,"")</x:f>
        <x:v>-0.4815999999999996</x:v>
      </x:c>
      <x:c r="R122" s="8" t="n">
        <x:f>IF(COUNT('Monthly data'!M120:M122)=3,'Monthly data'!M122-2*'Monthly data'!M121+'Monthly data'!M120,"")</x:f>
        <x:v>0.6013999999999999</x:v>
      </x:c>
      <x:c r="S122" s="8" t="n">
        <x:f>IF(COUNT('Monthly data'!N120:N122)=3,'Monthly data'!N122-2*'Monthly data'!N121+'Monthly data'!N120,"")</x:f>
        <x:v>-1.4579999999999984</x:v>
      </x:c>
      <x:c r="T122" s="8" t="n">
        <x:f>IF(COUNT('Monthly data'!E121:E122)=2,'Monthly data'!E122-'Monthly data'!E121,"")</x:f>
        <x:v>0.00274988769999851</x:v>
      </x:c>
    </x:row>
    <x:row r="123" ht="19" customHeight="1">
      <x:c r="A123" s="7" t="n">
        <x:f>'Monthly data'!A123</x:f>
        <x:v>36557</x:v>
      </x:c>
      <x:c r="B123" s="8" t="n">
        <x:f>IF(ISNUMBER('Monthly data'!F123),LN(1+'Monthly data'!F123),"")</x:f>
        <x:v>4.388132953105642</x:v>
      </x:c>
      <x:c r="C123" s="8" t="n">
        <x:f>IF(ISNUMBER('Monthly data'!G123),LN(1+'Monthly data'!G123),"")</x:f>
        <x:v>3.207078509388562</x:v>
      </x:c>
      <x:c r="D123" s="8" t="n">
        <x:f>IF(ISNUMBER('Monthly data'!H123),LN(1+'Monthly data'!H123),"")</x:f>
        <x:v>3.4417185309330165</x:v>
      </x:c>
      <x:c r="E123" s="8" t="n">
        <x:f>IF(ISNUMBER('Monthly data'!I123),LN(1+'Monthly data'!I123),"")</x:f>
        <x:v>2.1386416199039213</x:v>
      </x:c>
      <x:c r="F123" s="8" t="n">
        <x:f>IF(ISNUMBER('Monthly data'!J123),LN(1+'Monthly data'!J123),"")</x:f>
        <x:v>1.8707246735263499</x:v>
      </x:c>
      <x:c r="G123" s="8" t="n">
        <x:f>IF(ISNUMBER('Monthly data'!K123),LN(1+'Monthly data'!K123),"")</x:f>
        <x:v>1.1440316988589696</x:v>
      </x:c>
      <x:c r="H123" s="8" t="n">
        <x:f>IF(ISNUMBER('Monthly data'!L123),LN(1+'Monthly data'!L123),"")</x:f>
        <x:v>0.6088956281123542</x:v>
      </x:c>
      <x:c r="I123" s="8" t="n">
        <x:f>IF(ISNUMBER('Monthly data'!M123),LN(1+'Monthly data'!M123),"")</x:f>
        <x:v>1.206509583977906</x:v>
      </x:c>
      <x:c r="J123" s="8" t="n">
        <x:f>IF(ISNUMBER('Monthly data'!N123),LN(1+'Monthly data'!N123),"")</x:f>
        <x:v>2.1092551658204544</x:v>
      </x:c>
      <x:c r="K123" s="8" t="n">
        <x:f>IF(COUNT('Monthly data'!F121:F123)=3,'Monthly data'!F123-2*'Monthly data'!F122+'Monthly data'!F121,"")</x:f>
        <x:v>26.409999999999982</x:v>
      </x:c>
      <x:c r="L123" s="8" t="n">
        <x:f>IF(COUNT('Monthly data'!G121:G123)=3,'Monthly data'!G123-2*'Monthly data'!G122+'Monthly data'!G121,"")</x:f>
        <x:v>11.585900000000002</x:v>
      </x:c>
      <x:c r="M123" s="8" t="n">
        <x:f>IF(COUNT('Monthly data'!H121:H123)=3,'Monthly data'!H123-2*'Monthly data'!H122+'Monthly data'!H121,"")</x:f>
        <x:v>8.316299999999998</x:v>
      </x:c>
      <x:c r="N123" s="8" t="n">
        <x:f>IF(COUNT('Monthly data'!I121:I123)=3,'Monthly data'!I123-2*'Monthly data'!I122+'Monthly data'!I121,"")</x:f>
        <x:v>3.1190999999999995</x:v>
      </x:c>
      <x:c r="O123" s="8" t="n">
        <x:f>IF(COUNT('Monthly data'!J121:J123)=3,'Monthly data'!J123-2*'Monthly data'!J122+'Monthly data'!J121,"")</x:f>
        <x:v>-0.3444000000000007</x:v>
      </x:c>
      <x:c r="P123" s="8" t="n">
        <x:f>IF(COUNT('Monthly data'!K121:K123)=3,'Monthly data'!K123-2*'Monthly data'!K122+'Monthly data'!K121,"")</x:f>
        <x:v>1.7113999999999994</x:v>
      </x:c>
      <x:c r="Q123" s="8" t="n">
        <x:f>IF(COUNT('Monthly data'!L121:L123)=3,'Monthly data'!L123-2*'Monthly data'!L122+'Monthly data'!L121,"")</x:f>
        <x:v>-2.2519000000000005</x:v>
      </x:c>
      <x:c r="R123" s="8" t="n">
        <x:f>IF(COUNT('Monthly data'!M121:M123)=3,'Monthly data'!M123-2*'Monthly data'!M122+'Monthly data'!M121,"")</x:f>
        <x:v>2.4232000000000005</x:v>
      </x:c>
      <x:c r="S123" s="8" t="n">
        <x:f>IF(COUNT('Monthly data'!N121:N123)=3,'Monthly data'!N123-2*'Monthly data'!N122+'Monthly data'!N121,"")</x:f>
        <x:v>1.8503999999999996</x:v>
      </x:c>
      <x:c r="T123" s="8" t="n">
        <x:f>IF(COUNT('Monthly data'!E122:E123)=2,'Monthly data'!E123-'Monthly data'!E122,"")</x:f>
        <x:v>0.011069056800000254</x:v>
      </x:c>
    </x:row>
    <x:row r="124" ht="19" customHeight="1">
      <x:c r="A124" s="7" t="n">
        <x:f>'Monthly data'!A124</x:f>
        <x:v>36586</x:v>
      </x:c>
      <x:c r="B124" s="8" t="n">
        <x:f>IF(ISNUMBER('Monthly data'!F124),LN(1+'Monthly data'!F124),"")</x:f>
        <x:v>4.176692303570854</x:v>
      </x:c>
      <x:c r="C124" s="8" t="n">
        <x:f>IF(ISNUMBER('Monthly data'!G124),LN(1+'Monthly data'!G124),"")</x:f>
        <x:v>2.8109737497666174</x:v>
      </x:c>
      <x:c r="D124" s="8" t="n">
        <x:f>IF(ISNUMBER('Monthly data'!H124),LN(1+'Monthly data'!H124),"")</x:f>
        <x:v>3.3858874470913887</x:v>
      </x:c>
      <x:c r="E124" s="8" t="n">
        <x:f>IF(ISNUMBER('Monthly data'!I124),LN(1+'Monthly data'!I124),"")</x:f>
        <x:v>1.7962991492700868</x:v>
      </x:c>
      <x:c r="F124" s="8" t="n">
        <x:f>IF(ISNUMBER('Monthly data'!J124),LN(1+'Monthly data'!J124),"")</x:f>
        <x:v>1.4443745721964154</x:v>
      </x:c>
      <x:c r="G124" s="8" t="n">
        <x:f>IF(ISNUMBER('Monthly data'!K124),LN(1+'Monthly data'!K124),"")</x:f>
        <x:v>1.2417886850101614</x:v>
      </x:c>
      <x:c r="H124" s="8" t="n">
        <x:f>IF(ISNUMBER('Monthly data'!L124),LN(1+'Monthly data'!L124),"")</x:f>
        <x:v>0.4175912879060049</x:v>
      </x:c>
      <x:c r="I124" s="8" t="n">
        <x:f>IF(ISNUMBER('Monthly data'!M124),LN(1+'Monthly data'!M124),"")</x:f>
        <x:v>1.0253603602607748</x:v>
      </x:c>
      <x:c r="J124" s="8" t="n">
        <x:f>IF(ISNUMBER('Monthly data'!N124),LN(1+'Monthly data'!N124),"")</x:f>
        <x:v>2.072530213377058</x:v>
      </x:c>
      <x:c r="K124" s="8" t="n">
        <x:f>IF(COUNT('Monthly data'!F122:F124)=3,'Monthly data'!F124-2*'Monthly data'!F123+'Monthly data'!F122,"")</x:f>
        <x:v>-23.039999999999978</x:v>
      </x:c>
      <x:c r="L124" s="8" t="n">
        <x:f>IF(COUNT('Monthly data'!G122:G124)=3,'Monthly data'!G124-2*'Monthly data'!G123+'Monthly data'!G122,"")</x:f>
        <x:v>-14.825700000000001</x:v>
      </x:c>
      <x:c r="M124" s="8" t="n">
        <x:f>IF(COUNT('Monthly data'!H122:H124)=3,'Monthly data'!H124-2*'Monthly data'!H123+'Monthly data'!H122,"")</x:f>
        <x:v>-5.8580000000000005</x:v>
      </x:c>
      <x:c r="N124" s="8" t="n">
        <x:f>IF(COUNT('Monthly data'!I122:I124)=3,'Monthly data'!I124-2*'Monthly data'!I123+'Monthly data'!I122,"")</x:f>
        <x:v>1.3132000000000001</x:v>
      </x:c>
      <x:c r="O124" s="8" t="n">
        <x:f>IF(COUNT('Monthly data'!J122:J124)=3,'Monthly data'!J124-2*'Monthly data'!J123+'Monthly data'!J122,"")</x:f>
        <x:v>-2.9322</x:v>
      </x:c>
      <x:c r="P124" s="8" t="n">
        <x:f>IF(COUNT('Monthly data'!K122:K124)=3,'Monthly data'!K124-2*'Monthly data'!K123+'Monthly data'!K122,"")</x:f>
        <x:v>0.4796</x:v>
      </x:c>
      <x:c r="Q124" s="8" t="n">
        <x:f>IF(COUNT('Monthly data'!L122:L124)=3,'Monthly data'!L124-2*'Monthly data'!L123+'Monthly data'!L122,"")</x:f>
        <x:v>1.6362</x:v>
      </x:c>
      <x:c r="R124" s="8" t="n">
        <x:f>IF(COUNT('Monthly data'!M122:M124)=3,'Monthly data'!M124-2*'Monthly data'!M123+'Monthly data'!M122,"")</x:f>
        <x:v>-2.2037000000000004</x:v>
      </x:c>
      <x:c r="S124" s="8" t="n">
        <x:f>IF(COUNT('Monthly data'!N122:N124)=3,'Monthly data'!N124-2*'Monthly data'!N123+'Monthly data'!N122,"")</x:f>
        <x:v>-0.6494999999999997</x:v>
      </x:c>
      <x:c r="T124" s="8" t="n">
        <x:f>IF(COUNT('Monthly data'!E123:E124)=2,'Monthly data'!E124-'Monthly data'!E123,"")</x:f>
        <x:v>0.0027439576999999105</x:v>
      </x:c>
    </x:row>
    <x:row r="125" ht="19" customHeight="1">
      <x:c r="A125" s="7" t="n">
        <x:f>'Monthly data'!A125</x:f>
        <x:v>36617</x:v>
      </x:c>
      <x:c r="B125" s="8" t="n">
        <x:f>IF(ISNUMBER('Monthly data'!F125),LN(1+'Monthly data'!F125),"")</x:f>
        <x:v>4.194189897191817</x:v>
      </x:c>
      <x:c r="C125" s="8" t="n">
        <x:f>IF(ISNUMBER('Monthly data'!G125),LN(1+'Monthly data'!G125),"")</x:f>
        <x:v>2.391611937563696</x:v>
      </x:c>
      <x:c r="D125" s="8" t="n">
        <x:f>IF(ISNUMBER('Monthly data'!H125),LN(1+'Monthly data'!H125),"")</x:f>
        <x:v>3.4716558453107167</x:v>
      </x:c>
      <x:c r="E125" s="8" t="n">
        <x:f>IF(ISNUMBER('Monthly data'!I125),LN(1+'Monthly data'!I125),"")</x:f>
        <x:v>1.5993673743563332</x:v>
      </x:c>
      <x:c r="F125" s="8" t="n">
        <x:f>IF(ISNUMBER('Monthly data'!J125),LN(1+'Monthly data'!J125),"")</x:f>
        <x:v>2.1732619760005587</x:v>
      </x:c>
      <x:c r="G125" s="8" t="n">
        <x:f>IF(ISNUMBER('Monthly data'!K125),LN(1+'Monthly data'!K125),"")</x:f>
        <x:v>0.9905815444544046</x:v>
      </x:c>
      <x:c r="H125" s="8" t="n">
        <x:f>IF(ISNUMBER('Monthly data'!L125),LN(1+'Monthly data'!L125),"")</x:f>
        <x:v>0.5822156198526637</x:v>
      </x:c>
      <x:c r="I125" s="8" t="n">
        <x:f>IF(ISNUMBER('Monthly data'!M125),LN(1+'Monthly data'!M125),"")</x:f>
        <x:v>0.7285625857808998</x:v>
      </x:c>
      <x:c r="J125" s="8" t="n">
        <x:f>IF(ISNUMBER('Monthly data'!N125),LN(1+'Monthly data'!N125),"")</x:f>
        <x:v>2.291240991293389</x:v>
      </x:c>
      <x:c r="K125" s="8" t="n">
        <x:f>IF(COUNT('Monthly data'!F123:F125)=3,'Monthly data'!F125-2*'Monthly data'!F124+'Monthly data'!F123,"")</x:f>
        <x:v>16.48999999999998</x:v>
      </x:c>
      <x:c r="L125" s="8" t="n">
        <x:f>IF(COUNT('Monthly data'!G123:G125)=3,'Monthly data'!G125-2*'Monthly data'!G124+'Monthly data'!G123,"")</x:f>
        <x:v>2.3857000000000035</x:v>
      </x:c>
      <x:c r="M125" s="8" t="n">
        <x:f>IF(COUNT('Monthly data'!H123:H125)=3,'Monthly data'!H125-2*'Monthly data'!H124+'Monthly data'!H123,"")</x:f>
        <x:v>4.342200000000002</x:v>
      </x:c>
      <x:c r="N125" s="8" t="n">
        <x:f>IF(COUNT('Monthly data'!I123:I125)=3,'Monthly data'!I125-2*'Monthly data'!I124+'Monthly data'!I123,"")</x:f>
        <x:v>1.3831999999999987</x:v>
      </x:c>
      <x:c r="O125" s="8" t="n">
        <x:f>IF(COUNT('Monthly data'!J123:J125)=3,'Monthly data'!J125-2*'Monthly data'!J124+'Monthly data'!J123,"")</x:f>
        <x:v>6.801500000000001</x:v>
      </x:c>
      <x:c r="P125" s="8" t="n">
        <x:f>IF(COUNT('Monthly data'!K123:K125)=3,'Monthly data'!K125-2*'Monthly data'!K124+'Monthly data'!K123,"")</x:f>
        <x:v>-1.0914000000000001</x:v>
      </x:c>
      <x:c r="Q125" s="8" t="n">
        <x:f>IF(COUNT('Monthly data'!L123:L125)=3,'Monthly data'!L125-2*'Monthly data'!L124+'Monthly data'!L123,"")</x:f>
        <x:v>0.5918000000000001</x:v>
      </x:c>
      <x:c r="R125" s="8" t="n">
        <x:f>IF(COUNT('Monthly data'!M123:M125)=3,'Monthly data'!M125-2*'Monthly data'!M124+'Monthly data'!M123,"")</x:f>
        <x:v>-0.1623000000000001</x:v>
      </x:c>
      <x:c r="S125" s="8" t="n">
        <x:f>IF(COUNT('Monthly data'!N123:N125)=3,'Monthly data'!N125-2*'Monthly data'!N124+'Monthly data'!N123,"")</x:f>
        <x:v>2.2395000000000005</x:v>
      </x:c>
      <x:c r="T125" s="8" t="n">
        <x:f>IF(COUNT('Monthly data'!E124:E125)=2,'Monthly data'!E125-'Monthly data'!E124,"")</x:f>
        <x:v>0.0076592563000001945</x:v>
      </x:c>
    </x:row>
    <x:row r="126" ht="19" customHeight="1">
      <x:c r="A126" s="7" t="n">
        <x:f>'Monthly data'!A126</x:f>
        <x:v>36647</x:v>
      </x:c>
      <x:c r="B126" s="8" t="n">
        <x:f>IF(ISNUMBER('Monthly data'!F126),LN(1+'Monthly data'!F126),"")</x:f>
        <x:v>4.348728349272367</x:v>
      </x:c>
      <x:c r="C126" s="8" t="n">
        <x:f>IF(ISNUMBER('Monthly data'!G126),LN(1+'Monthly data'!G126),"")</x:f>
        <x:v>3.3530709971422596</x:v>
      </x:c>
      <x:c r="D126" s="8" t="n">
        <x:f>IF(ISNUMBER('Monthly data'!H126),LN(1+'Monthly data'!H126),"")</x:f>
        <x:v>3.161039063355426</x:v>
      </x:c>
      <x:c r="E126" s="8" t="n">
        <x:f>IF(ISNUMBER('Monthly data'!I126),LN(1+'Monthly data'!I126),"")</x:f>
        <x:v>1.6825768437908424</x:v>
      </x:c>
      <x:c r="F126" s="8" t="n">
        <x:f>IF(ISNUMBER('Monthly data'!J126),LN(1+'Monthly data'!J126),"")</x:f>
        <x:v>2.316695077312386</x:v>
      </x:c>
      <x:c r="G126" s="8" t="n">
        <x:f>IF(ISNUMBER('Monthly data'!K126),LN(1+'Monthly data'!K126),"")</x:f>
        <x:v>1.3821608298382837</x:v>
      </x:c>
      <x:c r="H126" s="8" t="n">
        <x:f>IF(ISNUMBER('Monthly data'!L126),LN(1+'Monthly data'!L126),"")</x:f>
        <x:v>1.3328672127370293</x:v>
      </x:c>
      <x:c r="I126" s="8" t="n">
        <x:f>IF(ISNUMBER('Monthly data'!M126),LN(1+'Monthly data'!M126),"")</x:f>
        <x:v>0.6290885442592249</x:v>
      </x:c>
      <x:c r="J126" s="8" t="n">
        <x:f>IF(ISNUMBER('Monthly data'!N126),LN(1+'Monthly data'!N126),"")</x:f>
        <x:v>1.9490053539626158</x:v>
      </x:c>
      <x:c r="K126" s="8" t="n">
        <x:f>IF(COUNT('Monthly data'!F124:F126)=3,'Monthly data'!F126-2*'Monthly data'!F125+'Monthly data'!F124,"")</x:f>
        <x:v>9.930000000000007</x:v>
      </x:c>
      <x:c r="L126" s="8" t="n">
        <x:f>IF(COUNT('Monthly data'!G124:G126)=3,'Monthly data'!G126-2*'Monthly data'!G125+'Monthly data'!G124,"")</x:f>
        <x:v>23.354299999999995</x:v>
      </x:c>
      <x:c r="M126" s="8" t="n">
        <x:f>IF(COUNT('Monthly data'!H124:H126)=3,'Monthly data'!H126-2*'Monthly data'!H125+'Monthly data'!H124,"")</x:f>
        <x:v>-11.240700000000007</x:v>
      </x:c>
      <x:c r="N126" s="8" t="n">
        <x:f>IF(COUNT('Monthly data'!I124:I126)=3,'Monthly data'!I126-2*'Monthly data'!I125+'Monthly data'!I124,"")</x:f>
        <x:v>1.5069000000000008</x:v>
      </x:c>
      <x:c r="O126" s="8" t="n">
        <x:f>IF(COUNT('Monthly data'!J124:J126)=3,'Monthly data'!J126-2*'Monthly data'!J125+'Monthly data'!J124,"")</x:f>
        <x:v>-3.1925000000000012</x:v>
      </x:c>
      <x:c r="P126" s="8" t="n">
        <x:f>IF(COUNT('Monthly data'!K124:K126)=3,'Monthly data'!K126-2*'Monthly data'!K125+'Monthly data'!K124,"")</x:f>
        <x:v>2.0597</x:v>
      </x:c>
      <x:c r="Q126" s="8" t="n">
        <x:f>IF(COUNT('Monthly data'!L124:L126)=3,'Monthly data'!L126-2*'Monthly data'!L125+'Monthly data'!L124,"")</x:f>
        <x:v>1.7302</x:v>
      </x:c>
      <x:c r="R126" s="8" t="n">
        <x:f>IF(COUNT('Monthly data'!M124:M126)=3,'Monthly data'!M126-2*'Monthly data'!M125+'Monthly data'!M124,"")</x:f>
        <x:v>0.5198</x:v>
      </x:c>
      <x:c r="S126" s="8" t="n">
        <x:f>IF(COUNT('Monthly data'!N124:N126)=3,'Monthly data'!N126-2*'Monthly data'!N125+'Monthly data'!N124,"")</x:f>
        <x:v>-4.807800000000001</x:v>
      </x:c>
      <x:c r="T126" s="8" t="n">
        <x:f>IF(COUNT('Monthly data'!E125:E126)=2,'Monthly data'!E126-'Monthly data'!E125,"")</x:f>
        <x:v>0.005991383099999581</x:v>
      </x:c>
    </x:row>
    <x:row r="127" ht="19" customHeight="1">
      <x:c r="A127" s="7" t="n">
        <x:f>'Monthly data'!A127</x:f>
        <x:v>36678</x:v>
      </x:c>
      <x:c r="B127" s="8" t="n">
        <x:f>IF(ISNUMBER('Monthly data'!F127),LN(1+'Monthly data'!F127),"")</x:f>
        <x:v>4.280685807012206</x:v>
      </x:c>
      <x:c r="C127" s="8" t="n">
        <x:f>IF(ISNUMBER('Monthly data'!G127),LN(1+'Monthly data'!G127),"")</x:f>
        <x:v>2.5559862314689523</x:v>
      </x:c>
      <x:c r="D127" s="8" t="n">
        <x:f>IF(ISNUMBER('Monthly data'!H127),LN(1+'Monthly data'!H127),"")</x:f>
        <x:v>3.4780287847660074</x:v>
      </x:c>
      <x:c r="E127" s="8" t="n">
        <x:f>IF(ISNUMBER('Monthly data'!I127),LN(1+'Monthly data'!I127),"")</x:f>
        <x:v>1.8969599720845158</x:v>
      </x:c>
      <x:c r="F127" s="8" t="n">
        <x:f>IF(ISNUMBER('Monthly data'!J127),LN(1+'Monthly data'!J127),"")</x:f>
        <x:v>1.9455243603627101</x:v>
      </x:c>
      <x:c r="G127" s="8" t="n">
        <x:f>IF(ISNUMBER('Monthly data'!K127),LN(1+'Monthly data'!K127),"")</x:f>
        <x:v>1.6541244300565063</x:v>
      </x:c>
      <x:c r="H127" s="8" t="n">
        <x:f>IF(ISNUMBER('Monthly data'!L127),LN(1+'Monthly data'!L127),"")</x:f>
        <x:v>1.2169285154861518</x:v>
      </x:c>
      <x:c r="I127" s="8" t="n">
        <x:f>IF(ISNUMBER('Monthly data'!M127),LN(1+'Monthly data'!M127),"")</x:f>
        <x:v>0.8678984885237317</x:v>
      </x:c>
      <x:c r="J127" s="8" t="n">
        <x:f>IF(ISNUMBER('Monthly data'!N127),LN(1+'Monthly data'!N127),"")</x:f>
        <x:v>2.2364666577825862</x:v>
      </x:c>
      <x:c r="K127" s="8" t="n">
        <x:f>IF(COUNT('Monthly data'!F125:F127)=3,'Monthly data'!F127-2*'Monthly data'!F126+'Monthly data'!F125,"")</x:f>
        <x:v>-16.169999999999987</x:v>
      </x:c>
      <x:c r="L127" s="8" t="n">
        <x:f>IF(COUNT('Monthly data'!G125:G127)=3,'Monthly data'!G127-2*'Monthly data'!G126+'Monthly data'!G125,"")</x:f>
        <x:v>-33.3657</x:v>
      </x:c>
      <x:c r="M127" s="8" t="n">
        <x:f>IF(COUNT('Monthly data'!H125:H127)=3,'Monthly data'!H127-2*'Monthly data'!H126+'Monthly data'!H125,"")</x:f>
        <x:v>17.395600000000005</x:v>
      </x:c>
      <x:c r="N127" s="8" t="n">
        <x:f>IF(COUNT('Monthly data'!I125:I127)=3,'Monthly data'!I127-2*'Monthly data'!I126+'Monthly data'!I125,"")</x:f>
        <x:v>0.8566999999999996</x:v>
      </x:c>
      <x:c r="O127" s="8" t="n">
        <x:f>IF(COUNT('Monthly data'!J125:J127)=3,'Monthly data'!J127-2*'Monthly data'!J126+'Monthly data'!J125,"")</x:f>
        <x:v>-4.499999999999999</x:v>
      </x:c>
      <x:c r="P127" s="8" t="n">
        <x:f>IF(COUNT('Monthly data'!K125:K127)=3,'Monthly data'!K127-2*'Monthly data'!K126+'Monthly data'!K125,"")</x:f>
        <x:v>-0.045699999999999186</x:v>
      </x:c>
      <x:c r="Q127" s="8" t="n">
        <x:f>IF(COUNT('Monthly data'!L125:L127)=3,'Monthly data'!L127-2*'Monthly data'!L126+'Monthly data'!L125,"")</x:f>
        <x:v>-2.4170000000000003</x:v>
      </x:c>
      <x:c r="R127" s="8" t="n">
        <x:f>IF(COUNT('Monthly data'!M125:M127)=3,'Monthly data'!M127-2*'Monthly data'!M126+'Monthly data'!M125,"")</x:f>
        <x:v>0.7021999999999999</x:v>
      </x:c>
      <x:c r="S127" s="8" t="n">
        <x:f>IF(COUNT('Monthly data'!N125:N127)=3,'Monthly data'!N127-2*'Monthly data'!N126+'Monthly data'!N125,"")</x:f>
        <x:v>5.204000000000001</x:v>
      </x:c>
      <x:c r="T127" s="8" t="n">
        <x:f>IF(COUNT('Monthly data'!E126:E127)=2,'Monthly data'!E127-'Monthly data'!E126,"")</x:f>
        <x:v>-0.005327456199999858</x:v>
      </x:c>
    </x:row>
    <x:row r="128" ht="19" customHeight="1">
      <x:c r="A128" s="7" t="n">
        <x:f>'Monthly data'!A128</x:f>
        <x:v>36708</x:v>
      </x:c>
      <x:c r="B128" s="8" t="n">
        <x:f>IF(ISNUMBER('Monthly data'!F128),LN(1+'Monthly data'!F128),"")</x:f>
        <x:v>4.129711706059392</x:v>
      </x:c>
      <x:c r="C128" s="8" t="n">
        <x:f>IF(ISNUMBER('Monthly data'!G128),LN(1+'Monthly data'!G128),"")</x:f>
        <x:v>1.8369240211824285</x:v>
      </x:c>
      <x:c r="D128" s="8" t="n">
        <x:f>IF(ISNUMBER('Monthly data'!H128),LN(1+'Monthly data'!H128),"")</x:f>
        <x:v>3.472891490409396</x:v>
      </x:c>
      <x:c r="E128" s="8" t="n">
        <x:f>IF(ISNUMBER('Monthly data'!I128),LN(1+'Monthly data'!I128),"")</x:f>
        <x:v>1.8938195444192023</x:v>
      </x:c>
      <x:c r="F128" s="8" t="n">
        <x:f>IF(ISNUMBER('Monthly data'!J128),LN(1+'Monthly data'!J128),"")</x:f>
        <x:v>1.9172607902875167</x:v>
      </x:c>
      <x:c r="G128" s="8" t="n">
        <x:f>IF(ISNUMBER('Monthly data'!K128),LN(1+'Monthly data'!K128),"")</x:f>
        <x:v>1.043029104091076</x:v>
      </x:c>
      <x:c r="H128" s="8" t="n">
        <x:f>IF(ISNUMBER('Monthly data'!L128),LN(1+'Monthly data'!L128),"")</x:f>
        <x:v>1.2951928125895977</x:v>
      </x:c>
      <x:c r="I128" s="8" t="n">
        <x:f>IF(ISNUMBER('Monthly data'!M128),LN(1+'Monthly data'!M128),"")</x:f>
        <x:v>1.0613603029652208</x:v>
      </x:c>
      <x:c r="J128" s="8" t="n">
        <x:f>IF(ISNUMBER('Monthly data'!N128),LN(1+'Monthly data'!N128),"")</x:f>
        <x:v>2.057477079301185</x:v>
      </x:c>
      <x:c r="K128" s="8" t="n">
        <x:f>IF(COUNT('Monthly data'!F126:F128)=3,'Monthly data'!F128-2*'Monthly data'!F127+'Monthly data'!F126,"")</x:f>
        <x:v>-5.0400000000000205</x:v>
      </x:c>
      <x:c r="L128" s="8" t="n">
        <x:f>IF(COUNT('Monthly data'!G126:G128)=3,'Monthly data'!G128-2*'Monthly data'!G127+'Monthly data'!G126,"")</x:f>
        <x:v>9.099599999999999</x:v>
      </x:c>
      <x:c r="M128" s="8" t="n">
        <x:f>IF(COUNT('Monthly data'!H126:H128)=3,'Monthly data'!H128-2*'Monthly data'!H127+'Monthly data'!H126,"")</x:f>
        <x:v>-8.966700000000003</x:v>
      </x:c>
      <x:c r="N128" s="8" t="n">
        <x:f>IF(COUNT('Monthly data'!I126:I128)=3,'Monthly data'!I128-2*'Monthly data'!I127+'Monthly data'!I126,"")</x:f>
        <x:v>-1.3071000000000002</x:v>
      </x:c>
      <x:c r="O128" s="8" t="n">
        <x:f>IF(COUNT('Monthly data'!J126:J128)=3,'Monthly data'!J128-2*'Monthly data'!J127+'Monthly data'!J126,"")</x:f>
        <x:v>2.949799999999999</x:v>
      </x:c>
      <x:c r="P128" s="8" t="n">
        <x:f>IF(COUNT('Monthly data'!K126:K128)=3,'Monthly data'!K128-2*'Monthly data'!K127+'Monthly data'!K126,"")</x:f>
        <x:v>-3.6357000000000013</x:v>
      </x:c>
      <x:c r="Q128" s="8" t="n">
        <x:f>IF(COUNT('Monthly data'!L126:L128)=3,'Monthly data'!L128-2*'Monthly data'!L127+'Monthly data'!L126,"")</x:f>
        <x:v>0.6900000000000004</x:v>
      </x:c>
      <x:c r="R128" s="8" t="n">
        <x:f>IF(COUNT('Monthly data'!M126:M128)=3,'Monthly data'!M128-2*'Monthly data'!M127+'Monthly data'!M126,"")</x:f>
        <x:v>0.002400000000000291</x:v>
      </x:c>
      <x:c r="S128" s="8" t="n">
        <x:f>IF(COUNT('Monthly data'!N126:N128)=3,'Monthly data'!N128-2*'Monthly data'!N127+'Monthly data'!N126,"")</x:f>
        <x:v>-3.8725000000000014</x:v>
      </x:c>
      <x:c r="T128" s="8" t="n">
        <x:f>IF(COUNT('Monthly data'!E127:E128)=2,'Monthly data'!E128-'Monthly data'!E127,"")</x:f>
        <x:v>0.010864820000000108</x:v>
      </x:c>
    </x:row>
    <x:row r="129" ht="19" customHeight="1">
      <x:c r="A129" s="7" t="n">
        <x:f>'Monthly data'!A129</x:f>
        <x:v>36739</x:v>
      </x:c>
      <x:c r="B129" s="8" t="n">
        <x:f>IF(ISNUMBER('Monthly data'!F129),LN(1+'Monthly data'!F129),"")</x:f>
        <x:v>4.020698022053802</x:v>
      </x:c>
      <x:c r="C129" s="8" t="n">
        <x:f>IF(ISNUMBER('Monthly data'!G129),LN(1+'Monthly data'!G129),"")</x:f>
        <x:v>2.2761487109210075</x:v>
      </x:c>
      <x:c r="D129" s="8" t="n">
        <x:f>IF(ISNUMBER('Monthly data'!H129),LN(1+'Monthly data'!H129),"")</x:f>
        <x:v>3.0194195028671453</x:v>
      </x:c>
      <x:c r="E129" s="8" t="n">
        <x:f>IF(ISNUMBER('Monthly data'!I129),LN(1+'Monthly data'!I129),"")</x:f>
        <x:v>2.1398190741486824</x:v>
      </x:c>
      <x:c r="F129" s="8" t="n">
        <x:f>IF(ISNUMBER('Monthly data'!J129),LN(1+'Monthly data'!J129),"")</x:f>
        <x:v>1.673651380747726</x:v>
      </x:c>
      <x:c r="G129" s="8" t="n">
        <x:f>IF(ISNUMBER('Monthly data'!K129),LN(1+'Monthly data'!K129),"")</x:f>
        <x:v>1.3447168729528323</x:v>
      </x:c>
      <x:c r="H129" s="8" t="n">
        <x:f>IF(ISNUMBER('Monthly data'!L129),LN(1+'Monthly data'!L129),"")</x:f>
        <x:v>0.6212214409883564</x:v>
      </x:c>
      <x:c r="I129" s="8" t="n">
        <x:f>IF(ISNUMBER('Monthly data'!M129),LN(1+'Monthly data'!M129),"")</x:f>
        <x:v>0.784175478907509</x:v>
      </x:c>
      <x:c r="J129" s="8" t="n">
        <x:f>IF(ISNUMBER('Monthly data'!N129),LN(1+'Monthly data'!N129),"")</x:f>
        <x:v>2.379823873334848</x:v>
      </x:c>
      <x:c r="K129" s="8" t="n">
        <x:f>IF(COUNT('Monthly data'!F127:F129)=3,'Monthly data'!F129-2*'Monthly data'!F128+'Monthly data'!F127,"")</x:f>
        <x:v>3.710000000000022</x:v>
      </x:c>
      <x:c r="L129" s="8" t="n">
        <x:f>IF(COUNT('Monthly data'!G127:G129)=3,'Monthly data'!G129-2*'Monthly data'!G128+'Monthly data'!G127,"")</x:f>
        <x:v>10.068700000000002</x:v>
      </x:c>
      <x:c r="M129" s="8" t="n">
        <x:f>IF(COUNT('Monthly data'!H127:H129)=3,'Monthly data'!H129-2*'Monthly data'!H128+'Monthly data'!H127,"")</x:f>
        <x:v>-11.584400000000002</x:v>
      </x:c>
      <x:c r="N129" s="8" t="n">
        <x:f>IF(COUNT('Monthly data'!I127:I129)=3,'Monthly data'!I129-2*'Monthly data'!I128+'Monthly data'!I127,"")</x:f>
        <x:v>1.8740999999999994</x:v>
      </x:c>
      <x:c r="O129" s="8" t="n">
        <x:f>IF(COUNT('Monthly data'!J127:J129)=3,'Monthly data'!J129-2*'Monthly data'!J128+'Monthly data'!J127,"")</x:f>
        <x:v>-1.2756999999999996</x:v>
      </x:c>
      <x:c r="P129" s="8" t="n">
        <x:f>IF(COUNT('Monthly data'!K127:K129)=3,'Monthly data'!K129-2*'Monthly data'!K128+'Monthly data'!K127,"")</x:f>
        <x:v>3.39</x:v>
      </x:c>
      <x:c r="Q129" s="8" t="n">
        <x:f>IF(COUNT('Monthly data'!L127:L129)=3,'Monthly data'!L129-2*'Monthly data'!L128+'Monthly data'!L127,"")</x:f>
        <x:v>-2.0654</x:v>
      </x:c>
      <x:c r="R129" s="8" t="n">
        <x:f>IF(COUNT('Monthly data'!M127:M129)=3,'Monthly data'!M129-2*'Monthly data'!M128+'Monthly data'!M127,"")</x:f>
        <x:v>-1.2081</x:v>
      </x:c>
      <x:c r="S129" s="8" t="n">
        <x:f>IF(COUNT('Monthly data'!N127:N129)=3,'Monthly data'!N129-2*'Monthly data'!N128+'Monthly data'!N127,"")</x:f>
        <x:v>4.5108000000000015</x:v>
      </x:c>
      <x:c r="T129" s="8" t="n">
        <x:f>IF(COUNT('Monthly data'!E128:E129)=2,'Monthly data'!E129-'Monthly data'!E128,"")</x:f>
        <x:v>0.008054361200001026</x:v>
      </x:c>
    </x:row>
    <x:row r="130" ht="19" customHeight="1">
      <x:c r="A130" s="7" t="n">
        <x:f>'Monthly data'!A130</x:f>
        <x:v>36770</x:v>
      </x:c>
      <x:c r="B130" s="8" t="n">
        <x:f>IF(ISNUMBER('Monthly data'!F130),LN(1+'Monthly data'!F130),"")</x:f>
        <x:v>4.056988775678332</x:v>
      </x:c>
      <x:c r="C130" s="8" t="n">
        <x:f>IF(ISNUMBER('Monthly data'!G130),LN(1+'Monthly data'!G130),"")</x:f>
        <x:v>2.0878684354640864</x:v>
      </x:c>
      <x:c r="D130" s="8" t="n">
        <x:f>IF(ISNUMBER('Monthly data'!H130),LN(1+'Monthly data'!H130),"")</x:f>
        <x:v>3.262176664511694</x:v>
      </x:c>
      <x:c r="E130" s="8" t="n">
        <x:f>IF(ISNUMBER('Monthly data'!I130),LN(1+'Monthly data'!I130),"")</x:f>
        <x:v>2.008482452739342</x:v>
      </x:c>
      <x:c r="F130" s="8" t="n">
        <x:f>IF(ISNUMBER('Monthly data'!J130),LN(1+'Monthly data'!J130),"")</x:f>
        <x:v>1.5410091675121185</x:v>
      </x:c>
      <x:c r="G130" s="8" t="n">
        <x:f>IF(ISNUMBER('Monthly data'!K130),LN(1+'Monthly data'!K130),"")</x:f>
        <x:v>1.1371276248964435</x:v>
      </x:c>
      <x:c r="H130" s="8" t="n">
        <x:f>IF(ISNUMBER('Monthly data'!L130),LN(1+'Monthly data'!L130),"")</x:f>
        <x:v>0.7802877158749462</x:v>
      </x:c>
      <x:c r="I130" s="8" t="n">
        <x:f>IF(ISNUMBER('Monthly data'!M130),LN(1+'Monthly data'!M130),"")</x:f>
        <x:v>1.1131724399994394</x:v>
      </x:c>
      <x:c r="J130" s="8" t="n">
        <x:f>IF(ISNUMBER('Monthly data'!N130),LN(1+'Monthly data'!N130),"")</x:f>
        <x:v>2.3185470209042873</x:v>
      </x:c>
      <x:c r="K130" s="8" t="n">
        <x:f>IF(COUNT('Monthly data'!F128:F130)=3,'Monthly data'!F130-2*'Monthly data'!F129+'Monthly data'!F128,"")</x:f>
        <x:v>8.47999999999999</x:v>
      </x:c>
      <x:c r="L130" s="8" t="n">
        <x:f>IF(COUNT('Monthly data'!G128:G130)=3,'Monthly data'!G130-2*'Monthly data'!G129+'Monthly data'!G128,"")</x:f>
        <x:v>-5.133300000000001</x:v>
      </x:c>
      <x:c r="M130" s="8" t="n">
        <x:f>IF(COUNT('Monthly data'!H128:H130)=3,'Monthly data'!H130-2*'Monthly data'!H129+'Monthly data'!H128,"")</x:f>
        <x:v>17.377300000000005</x:v>
      </x:c>
      <x:c r="N130" s="8" t="n">
        <x:f>IF(COUNT('Monthly data'!I128:I130)=3,'Monthly data'!I130-2*'Monthly data'!I129+'Monthly data'!I128,"")</x:f>
        <x:v>-2.899099999999999</x:v>
      </x:c>
      <x:c r="O130" s="8" t="n">
        <x:f>IF(COUNT('Monthly data'!J128:J130)=3,'Monthly data'!J130-2*'Monthly data'!J129+'Monthly data'!J128,"")</x:f>
        <x:v>0.8083999999999998</x:v>
      </x:c>
      <x:c r="P130" s="8" t="n">
        <x:f>IF(COUNT('Monthly data'!K128:K130)=3,'Monthly data'!K130-2*'Monthly data'!K129+'Monthly data'!K128,"")</x:f>
        <x:v>-1.7186</x:v>
      </x:c>
      <x:c r="Q130" s="8" t="n">
        <x:f>IF(COUNT('Monthly data'!L128:L130)=3,'Monthly data'!L130-2*'Monthly data'!L129+'Monthly data'!L128,"")</x:f>
        <x:v>2.1113999999999997</x:v>
      </x:c>
      <x:c r="R130" s="8" t="n">
        <x:f>IF(COUNT('Monthly data'!M128:M130)=3,'Monthly data'!M130-2*'Monthly data'!M129+'Monthly data'!M128,"")</x:f>
        <x:v>1.5531</x:v>
      </x:c>
      <x:c r="S130" s="8" t="n">
        <x:f>IF(COUNT('Monthly data'!N128:N130)=3,'Monthly data'!N130-2*'Monthly data'!N129+'Monthly data'!N128,"")</x:f>
        <x:v>-3.618900000000002</x:v>
      </x:c>
      <x:c r="T130" s="8" t="n">
        <x:f>IF(COUNT('Monthly data'!E129:E130)=2,'Monthly data'!E130-'Monthly data'!E129,"")</x:f>
        <x:v>-0.0008883504000003484</x:v>
      </x:c>
    </x:row>
    <x:row r="131" ht="19" customHeight="1">
      <x:c r="A131" s="7" t="n">
        <x:f>'Monthly data'!A131</x:f>
        <x:v>36800</x:v>
      </x:c>
      <x:c r="B131" s="8" t="n">
        <x:f>IF(ISNUMBER('Monthly data'!F131),LN(1+'Monthly data'!F131),"")</x:f>
        <x:v>4.458061320949879</x:v>
      </x:c>
      <x:c r="C131" s="8" t="n">
        <x:f>IF(ISNUMBER('Monthly data'!G131),LN(1+'Monthly data'!G131),"")</x:f>
        <x:v>3.2577003056856633</x:v>
      </x:c>
      <x:c r="D131" s="8" t="n">
        <x:f>IF(ISNUMBER('Monthly data'!H131),LN(1+'Monthly data'!H131),"")</x:f>
        <x:v>3.2887040806578343</x:v>
      </x:c>
      <x:c r="E131" s="8" t="n">
        <x:f>IF(ISNUMBER('Monthly data'!I131),LN(1+'Monthly data'!I131),"")</x:f>
        <x:v>2.8981249573509578</x:v>
      </x:c>
      <x:c r="F131" s="8" t="n">
        <x:f>IF(ISNUMBER('Monthly data'!J131),LN(1+'Monthly data'!J131),"")</x:f>
        <x:v>1.880350154009908</x:v>
      </x:c>
      <x:c r="G131" s="8" t="n">
        <x:f>IF(ISNUMBER('Monthly data'!K131),LN(1+'Monthly data'!K131),"")</x:f>
        <x:v>0.5119250192092916</x:v>
      </x:c>
      <x:c r="H131" s="8" t="n">
        <x:f>IF(ISNUMBER('Monthly data'!L131),LN(1+'Monthly data'!L131),"")</x:f>
        <x:v>1.473801448558125</x:v>
      </x:c>
      <x:c r="I131" s="8" t="n">
        <x:f>IF(ISNUMBER('Monthly data'!M131),LN(1+'Monthly data'!M131),"")</x:f>
        <x:v>1.0533708204224208</x:v>
      </x:c>
      <x:c r="J131" s="8" t="n">
        <x:f>IF(ISNUMBER('Monthly data'!N131),LN(1+'Monthly data'!N131),"")</x:f>
        <x:v>1.9350947298353685</x:v>
      </x:c>
      <x:c r="K131" s="8" t="n">
        <x:f>IF(COUNT('Monthly data'!F129:F131)=3,'Monthly data'!F131-2*'Monthly data'!F130+'Monthly data'!F129,"")</x:f>
        <x:v>26.46</x:v>
      </x:c>
      <x:c r="L131" s="8" t="n">
        <x:f>IF(COUNT('Monthly data'!G129:G131)=3,'Monthly data'!G131-2*'Monthly data'!G130+'Monthly data'!G129,"")</x:f>
        <x:v>19.5934</x:v>
      </x:c>
      <x:c r="M131" s="8" t="n">
        <x:f>IF(COUNT('Monthly data'!H129:H131)=3,'Monthly data'!H131-2*'Monthly data'!H130+'Monthly data'!H129,"")</x:f>
        <x:v>-4.925100000000004</x:v>
      </x:c>
      <x:c r="N131" s="8" t="n">
        <x:f>IF(COUNT('Monthly data'!I129:I131)=3,'Monthly data'!I131-2*'Monthly data'!I130+'Monthly data'!I129,"")</x:f>
        <x:v>11.734</x:v>
      </x:c>
      <x:c r="O131" s="8" t="n">
        <x:f>IF(COUNT('Monthly data'!J129:J131)=3,'Monthly data'!J131-2*'Monthly data'!J130+'Monthly data'!J129,"")</x:f>
        <x:v>2.5488</x:v>
      </x:c>
      <x:c r="P131" s="8" t="n">
        <x:f>IF(COUNT('Monthly data'!K129:K131)=3,'Monthly data'!K131-2*'Monthly data'!K130+'Monthly data'!K129,"")</x:f>
        <x:v>-0.73</x:v>
      </x:c>
      <x:c r="Q131" s="8" t="n">
        <x:f>IF(COUNT('Monthly data'!L129:L131)=3,'Monthly data'!L131-2*'Monthly data'!L130+'Monthly data'!L129,"")</x:f>
        <x:v>1.8628000000000002</x:v>
      </x:c>
      <x:c r="R131" s="8" t="n">
        <x:f>IF(COUNT('Monthly data'!M129:M131)=3,'Monthly data'!M131-2*'Monthly data'!M130+'Monthly data'!M129,"")</x:f>
        <x:v>-1.0300999999999998</x:v>
      </x:c>
      <x:c r="S131" s="8" t="n">
        <x:f>IF(COUNT('Monthly data'!N129:N131)=3,'Monthly data'!N131-2*'Monthly data'!N130+'Monthly data'!N129,"")</x:f>
        <x:v>-2.594099999999999</x:v>
      </x:c>
      <x:c r="T131" s="8" t="n">
        <x:f>IF(COUNT('Monthly data'!E130:E131)=2,'Monthly data'!E131-'Monthly data'!E130,"")</x:f>
        <x:v>0.011193338800000063</x:v>
      </x:c>
    </x:row>
    <x:row r="132" ht="19" customHeight="1">
      <x:c r="A132" s="7" t="n">
        <x:f>'Monthly data'!A132</x:f>
        <x:v>36831</x:v>
      </x:c>
      <x:c r="B132" s="8" t="n">
        <x:f>IF(ISNUMBER('Monthly data'!F132),LN(1+'Monthly data'!F132),"")</x:f>
        <x:v>3.9444901955656477</x:v>
      </x:c>
      <x:c r="C132" s="8" t="n">
        <x:f>IF(ISNUMBER('Monthly data'!G132),LN(1+'Monthly data'!G132),"")</x:f>
        <x:v>2.7225315056984107</x:v>
      </x:c>
      <x:c r="D132" s="8" t="n">
        <x:f>IF(ISNUMBER('Monthly data'!H132),LN(1+'Monthly data'!H132),"")</x:f>
        <x:v>2.8656634507381895</x:v>
      </x:c>
      <x:c r="E132" s="8" t="n">
        <x:f>IF(ISNUMBER('Monthly data'!I132),LN(1+'Monthly data'!I132),"")</x:f>
        <x:v>2.1844882581078333</x:v>
      </x:c>
      <x:c r="F132" s="8" t="n">
        <x:f>IF(ISNUMBER('Monthly data'!J132),LN(1+'Monthly data'!J132),"")</x:f>
        <x:v>1.477368308019262</x:v>
      </x:c>
      <x:c r="G132" s="8" t="n">
        <x:f>IF(ISNUMBER('Monthly data'!K132),LN(1+'Monthly data'!K132),"")</x:f>
        <x:v>0.5543447776794865</x:v>
      </x:c>
      <x:c r="H132" s="8" t="n">
        <x:f>IF(ISNUMBER('Monthly data'!L132),LN(1+'Monthly data'!L132),"")</x:f>
        <x:v>0.3906221612383899</x:v>
      </x:c>
      <x:c r="I132" s="8" t="n">
        <x:f>IF(ISNUMBER('Monthly data'!M132),LN(1+'Monthly data'!M132),"")</x:f>
        <x:v>0.8795852528657395</x:v>
      </x:c>
      <x:c r="J132" s="8" t="n">
        <x:f>IF(ISNUMBER('Monthly data'!N132),LN(1+'Monthly data'!N132),"")</x:f>
        <x:v>1.9422319642482468</x:v>
      </x:c>
      <x:c r="K132" s="8" t="n">
        <x:f>IF(COUNT('Monthly data'!F130:F132)=3,'Monthly data'!F132-2*'Monthly data'!F131+'Monthly data'!F130,"")</x:f>
        <x:v>-63.18999999999998</x:v>
      </x:c>
      <x:c r="L132" s="8" t="n">
        <x:f>IF(COUNT('Monthly data'!G130:G132)=3,'Monthly data'!G132-2*'Monthly data'!G131+'Monthly data'!G130,"")</x:f>
        <x:v>-28.692899999999995</x:v>
      </x:c>
      <x:c r="M132" s="8" t="n">
        <x:f>IF(COUNT('Monthly data'!H130:H132)=3,'Monthly data'!H132-2*'Monthly data'!H131+'Monthly data'!H130,"")</x:f>
        <x:v>-9.949199999999994</x:v>
      </x:c>
      <x:c r="N132" s="8" t="n">
        <x:f>IF(COUNT('Monthly data'!I130:I132)=3,'Monthly data'!I132-2*'Monthly data'!I131+'Monthly data'!I130,"")</x:f>
        <x:v>-19.942100000000003</x:v>
      </x:c>
      <x:c r="O132" s="8" t="n">
        <x:f>IF(COUNT('Monthly data'!J130:J132)=3,'Monthly data'!J132-2*'Monthly data'!J131+'Monthly data'!J130,"")</x:f>
        <x:v>-4.060899999999999</x:v>
      </x:c>
      <x:c r="P132" s="8" t="n">
        <x:f>IF(COUNT('Monthly data'!K130:K132)=3,'Monthly data'!K132-2*'Monthly data'!K131+'Monthly data'!K130,"")</x:f>
        <x:v>1.5215999999999998</x:v>
      </x:c>
      <x:c r="Q132" s="8" t="n">
        <x:f>IF(COUNT('Monthly data'!L130:L132)=3,'Monthly data'!L132-2*'Monthly data'!L131+'Monthly data'!L130,"")</x:f>
        <x:v>-5.0716</x:v>
      </x:c>
      <x:c r="R132" s="8" t="n">
        <x:f>IF(COUNT('Monthly data'!M130:M132)=3,'Monthly data'!M132-2*'Monthly data'!M131+'Monthly data'!M130,"")</x:f>
        <x:v>-0.28069999999999995</x:v>
      </x:c>
      <x:c r="S132" s="8" t="n">
        <x:f>IF(COUNT('Monthly data'!N130:N132)=3,'Monthly data'!N132-2*'Monthly data'!N131+'Monthly data'!N130,"")</x:f>
        <x:v>3.285800000000001</x:v>
      </x:c>
      <x:c r="T132" s="8" t="n">
        <x:f>IF(COUNT('Monthly data'!E131:E132)=2,'Monthly data'!E132-'Monthly data'!E131,"")</x:f>
        <x:v>0.012551284899998905</x:v>
      </x:c>
    </x:row>
    <x:row r="133" ht="19" customHeight="1">
      <x:c r="A133" s="7" t="n">
        <x:f>'Monthly data'!A133</x:f>
        <x:v>36861</x:v>
      </x:c>
      <x:c r="B133" s="8" t="n">
        <x:f>IF(ISNUMBER('Monthly data'!F133),LN(1+'Monthly data'!F133),"")</x:f>
        <x:v>4.037597828336212</x:v>
      </x:c>
      <x:c r="C133" s="8" t="n">
        <x:f>IF(ISNUMBER('Monthly data'!G133),LN(1+'Monthly data'!G133),"")</x:f>
        <x:v>2.5010834305945395</x:v>
      </x:c>
      <x:c r="D133" s="8" t="n">
        <x:f>IF(ISNUMBER('Monthly data'!H133),LN(1+'Monthly data'!H133),"")</x:f>
        <x:v>3.0754395403581447</x:v>
      </x:c>
      <x:c r="E133" s="8" t="n">
        <x:f>IF(ISNUMBER('Monthly data'!I133),LN(1+'Monthly data'!I133),"")</x:f>
        <x:v>2.2443731832456315</x:v>
      </x:c>
      <x:c r="F133" s="8" t="n">
        <x:f>IF(ISNUMBER('Monthly data'!J133),LN(1+'Monthly data'!J133),"")</x:f>
        <x:v>1.651960859513991</x:v>
      </x:c>
      <x:c r="G133" s="8" t="n">
        <x:f>IF(ISNUMBER('Monthly data'!K133),LN(1+'Monthly data'!K133),"")</x:f>
        <x:v>0.8242631584174822</x:v>
      </x:c>
      <x:c r="H133" s="8" t="n">
        <x:f>IF(ISNUMBER('Monthly data'!L133),LN(1+'Monthly data'!L133),"")</x:f>
        <x:v>0.3011410921359371</x:v>
      </x:c>
      <x:c r="I133" s="8" t="n">
        <x:f>IF(ISNUMBER('Monthly data'!M133),LN(1+'Monthly data'!M133),"")</x:f>
        <x:v>1.3180690521243243</x:v>
      </x:c>
      <x:c r="J133" s="8" t="n">
        <x:f>IF(ISNUMBER('Monthly data'!N133),LN(1+'Monthly data'!N133),"")</x:f>
        <x:v>2.0560833508525813</x:v>
      </x:c>
      <x:c r="K133" s="8" t="n">
        <x:f>IF(COUNT('Monthly data'!F131:F133)=3,'Monthly data'!F133-2*'Monthly data'!F132+'Monthly data'!F131,"")</x:f>
        <x:v>39.709999999999994</x:v>
      </x:c>
      <x:c r="L133" s="8" t="n">
        <x:f>IF(COUNT('Monthly data'!G131:G133)=3,'Monthly data'!G133-2*'Monthly data'!G132+'Monthly data'!G131,"")</x:f>
        <x:v>7.747799999999998</x:v>
      </x:c>
      <x:c r="M133" s="8" t="n">
        <x:f>IF(COUNT('Monthly data'!H131:H133)=3,'Monthly data'!H133-2*'Monthly data'!H132+'Monthly data'!H131,"")</x:f>
        <x:v>13.3461</x:v>
      </x:c>
      <x:c r="N133" s="8" t="n">
        <x:f>IF(COUNT('Monthly data'!I131:I133)=3,'Monthly data'!I133-2*'Monthly data'!I132+'Monthly data'!I131,"")</x:f>
        <x:v>9.8024</x:v>
      </x:c>
      <x:c r="O133" s="8" t="n">
        <x:f>IF(COUNT('Monthly data'!J131:J133)=3,'Monthly data'!J133-2*'Monthly data'!J132+'Monthly data'!J131,"")</x:f>
        <x:v>3.0101999999999993</x:v>
      </x:c>
      <x:c r="P133" s="8" t="n">
        <x:f>IF(COUNT('Monthly data'!K131:K133)=3,'Monthly data'!K133-2*'Monthly data'!K132+'Monthly data'!K131,"")</x:f>
        <x:v>0.46709999999999996</x:v>
      </x:c>
      <x:c r="Q133" s="8" t="n">
        <x:f>IF(COUNT('Monthly data'!L131:L133)=3,'Monthly data'!L133-2*'Monthly data'!L132+'Monthly data'!L131,"")</x:f>
        <x:v>2.7614</x:v>
      </x:c>
      <x:c r="R133" s="8" t="n">
        <x:f>IF(COUNT('Monthly data'!M131:M133)=3,'Monthly data'!M133-2*'Monthly data'!M132+'Monthly data'!M131,"")</x:f>
        <x:v>1.7837000000000003</x:v>
      </x:c>
      <x:c r="S133" s="8" t="n">
        <x:f>IF(COUNT('Monthly data'!N131:N133)=3,'Monthly data'!N133-2*'Monthly data'!N132+'Monthly data'!N131,"")</x:f>
        <x:v>0.7913999999999985</x:v>
      </x:c>
      <x:c r="T133" s="8" t="n">
        <x:f>IF(COUNT('Monthly data'!E132:E133)=2,'Monthly data'!E133-'Monthly data'!E132,"")</x:f>
        <x:v>-0.021797567999998435</x:v>
      </x:c>
    </x:row>
    <x:row r="134" ht="19" customHeight="1">
      <x:c r="A134" s="7" t="n">
        <x:f>'Monthly data'!A134</x:f>
        <x:v>36892</x:v>
      </x:c>
      <x:c r="B134" s="8" t="n">
        <x:f>IF(ISNUMBER('Monthly data'!F134),LN(1+'Monthly data'!F134),"")</x:f>
        <x:v>3.9917579734469997</x:v>
      </x:c>
      <x:c r="C134" s="8" t="n">
        <x:f>IF(ISNUMBER('Monthly data'!G134),LN(1+'Monthly data'!G134),"")</x:f>
        <x:v>2.0610356884404357</x:v>
      </x:c>
      <x:c r="D134" s="8" t="n">
        <x:f>IF(ISNUMBER('Monthly data'!H134),LN(1+'Monthly data'!H134),"")</x:f>
        <x:v>3.124560749782903</x:v>
      </x:c>
      <x:c r="E134" s="8" t="n">
        <x:f>IF(ISNUMBER('Monthly data'!I134),LN(1+'Monthly data'!I134),"")</x:f>
        <x:v>2.128041211515898</x:v>
      </x:c>
      <x:c r="F134" s="8" t="n">
        <x:f>IF(ISNUMBER('Monthly data'!J134),LN(1+'Monthly data'!J134),"")</x:f>
        <x:v>1.6826326105371459</x:v>
      </x:c>
      <x:c r="G134" s="8" t="n">
        <x:f>IF(ISNUMBER('Monthly data'!K134),LN(1+'Monthly data'!K134),"")</x:f>
        <x:v>1.1244424653691278</x:v>
      </x:c>
      <x:c r="H134" s="8" t="n">
        <x:f>IF(ISNUMBER('Monthly data'!L134),LN(1+'Monthly data'!L134),"")</x:f>
        <x:v>1.3660406320926226</x:v>
      </x:c>
      <x:c r="I134" s="8" t="n">
        <x:f>IF(ISNUMBER('Monthly data'!M134),LN(1+'Monthly data'!M134),"")</x:f>
        <x:v>0.9491837751761805</x:v>
      </x:c>
      <x:c r="J134" s="8" t="n">
        <x:f>IF(ISNUMBER('Monthly data'!N134),LN(1+'Monthly data'!N134),"")</x:f>
        <x:v>1.972134688691327</x:v>
      </x:c>
      <x:c r="K134" s="8" t="n">
        <x:f>IF(COUNT('Monthly data'!F132:F134)=3,'Monthly data'!F134-2*'Monthly data'!F133+'Monthly data'!F132,"")</x:f>
        <x:v>-7.579999999999998</x:v>
      </x:c>
      <x:c r="L134" s="8" t="n">
        <x:f>IF(COUNT('Monthly data'!G132:G134)=3,'Monthly data'!G134-2*'Monthly data'!G133+'Monthly data'!G132,"")</x:f>
        <x:v>-1.318500000000002</x:v>
      </x:c>
      <x:c r="M134" s="8" t="n">
        <x:f>IF(COUNT('Monthly data'!H132:H134)=3,'Monthly data'!H134-2*'Monthly data'!H133+'Monthly data'!H132,"")</x:f>
        <x:v>-3.008200000000002</x:v>
      </x:c>
      <x:c r="N134" s="8" t="n">
        <x:f>IF(COUNT('Monthly data'!I132:I134)=3,'Monthly data'!I134-2*'Monthly data'!I133+'Monthly data'!I132,"")</x:f>
        <x:v>-1.5845000000000011</x:v>
      </x:c>
      <x:c r="O134" s="8" t="n">
        <x:f>IF(COUNT('Monthly data'!J132:J134)=3,'Monthly data'!J134-2*'Monthly data'!J133+'Monthly data'!J132,"")</x:f>
        <x:v>-0.6733000000000002</x:v>
      </x:c>
      <x:c r="P134" s="8" t="n">
        <x:f>IF(COUNT('Monthly data'!K132:K134)=3,'Monthly data'!K134-2*'Monthly data'!K133+'Monthly data'!K132,"")</x:f>
        <x:v>0.2589</x:v>
      </x:c>
      <x:c r="Q134" s="8" t="n">
        <x:f>IF(COUNT('Monthly data'!L132:L134)=3,'Monthly data'!L134-2*'Monthly data'!L133+'Monthly data'!L132,"")</x:f>
        <x:v>2.6949</x:v>
      </x:c>
      <x:c r="R134" s="8" t="n">
        <x:f>IF(COUNT('Monthly data'!M132:M134)=3,'Monthly data'!M134-2*'Monthly data'!M133+'Monthly data'!M132,"")</x:f>
        <x:v>-2.4789000000000008</x:v>
      </x:c>
      <x:c r="S134" s="8" t="n">
        <x:f>IF(COUNT('Monthly data'!N132:N134)=3,'Monthly data'!N134-2*'Monthly data'!N133+'Monthly data'!N132,"")</x:f>
        <x:v>-1.470299999999999</x:v>
      </x:c>
      <x:c r="T134" s="8" t="n">
        <x:f>IF(COUNT('Monthly data'!E133:E134)=2,'Monthly data'!E134-'Monthly data'!E133,"")</x:f>
        <x:v>0.00511715699999904</x:v>
      </x:c>
    </x:row>
    <x:row r="135" ht="19" customHeight="1">
      <x:c r="A135" s="7" t="n">
        <x:f>'Monthly data'!A135</x:f>
        <x:v>36923</x:v>
      </x:c>
      <x:c r="B135" s="8" t="n">
        <x:f>IF(ISNUMBER('Monthly data'!F135),LN(1+'Monthly data'!F135),"")</x:f>
        <x:v>4.128262780425561</x:v>
      </x:c>
      <x:c r="C135" s="8" t="n">
        <x:f>IF(ISNUMBER('Monthly data'!G135),LN(1+'Monthly data'!G135),"")</x:f>
        <x:v>2.62960566012413</x:v>
      </x:c>
      <x:c r="D135" s="8" t="n">
        <x:f>IF(ISNUMBER('Monthly data'!H135),LN(1+'Monthly data'!H135),"")</x:f>
        <x:v>3.145001056289642</x:v>
      </x:c>
      <x:c r="E135" s="8" t="n">
        <x:f>IF(ISNUMBER('Monthly data'!I135),LN(1+'Monthly data'!I135),"")</x:f>
        <x:v>2.2433020708302065</x:v>
      </x:c>
      <x:c r="F135" s="8" t="n">
        <x:f>IF(ISNUMBER('Monthly data'!J135),LN(1+'Monthly data'!J135),"")</x:f>
        <x:v>1.9838388190890426</x:v>
      </x:c>
      <x:c r="G135" s="8" t="n">
        <x:f>IF(ISNUMBER('Monthly data'!K135),LN(1+'Monthly data'!K135),"")</x:f>
        <x:v>0.8600166327949783</x:v>
      </x:c>
      <x:c r="H135" s="8" t="n">
        <x:f>IF(ISNUMBER('Monthly data'!L135),LN(1+'Monthly data'!L135),"")</x:f>
        <x:v>0.17462535015948433</x:v>
      </x:c>
      <x:c r="I135" s="8" t="n">
        <x:f>IF(ISNUMBER('Monthly data'!M135),LN(1+'Monthly data'!M135),"")</x:f>
        <x:v>1.0486864798983841</x:v>
      </x:c>
      <x:c r="J135" s="8" t="n">
        <x:f>IF(ISNUMBER('Monthly data'!N135),LN(1+'Monthly data'!N135),"")</x:f>
        <x:v>2.1837002005163324</x:v>
      </x:c>
      <x:c r="K135" s="8" t="n">
        <x:f>IF(COUNT('Monthly data'!F133:F135)=3,'Monthly data'!F135-2*'Monthly data'!F134+'Monthly data'!F133,"")</x:f>
        <x:v>10.46</x:v>
      </x:c>
      <x:c r="L135" s="8" t="n">
        <x:f>IF(COUNT('Monthly data'!G133:G135)=3,'Monthly data'!G135-2*'Monthly data'!G134+'Monthly data'!G133,"")</x:f>
        <x:v>10.3558</x:v>
      </x:c>
      <x:c r="M135" s="8" t="n">
        <x:f>IF(COUNT('Monthly data'!H133:H135)=3,'Monthly data'!H135-2*'Monthly data'!H134+'Monthly data'!H133,"")</x:f>
        <x:v>-0.6206999999999994</x:v>
      </x:c>
      <x:c r="N135" s="8" t="n">
        <x:f>IF(COUNT('Monthly data'!I133:I135)=3,'Monthly data'!I135-2*'Monthly data'!I134+'Monthly data'!I133,"")</x:f>
        <x:v>2.062100000000001</x:v>
      </x:c>
      <x:c r="O135" s="8" t="n">
        <x:f>IF(COUNT('Monthly data'!J133:J135)=3,'Monthly data'!J135-2*'Monthly data'!J134+'Monthly data'!J133,"")</x:f>
        <x:v>1.7284000000000006</x:v>
      </x:c>
      <x:c r="P135" s="8" t="n">
        <x:f>IF(COUNT('Monthly data'!K133:K135)=3,'Monthly data'!K135-2*'Monthly data'!K134+'Monthly data'!K133,"")</x:f>
        <x:v>-1.5136</x:v>
      </x:c>
      <x:c r="Q135" s="8" t="n">
        <x:f>IF(COUNT('Monthly data'!L133:L135)=3,'Monthly data'!L135-2*'Monthly data'!L134+'Monthly data'!L133,"")</x:f>
        <x:v>-5.2974</x:v>
      </x:c>
      <x:c r="R135" s="8" t="n">
        <x:f>IF(COUNT('Monthly data'!M133:M135)=3,'Monthly data'!M135-2*'Monthly data'!M134+'Monthly data'!M133,"")</x:f>
        <x:v>1.4229000000000005</x:v>
      </x:c>
      <x:c r="S135" s="8" t="n">
        <x:f>IF(COUNT('Monthly data'!N133:N135)=3,'Monthly data'!N135-2*'Monthly data'!N134+'Monthly data'!N133,"")</x:f>
        <x:v>2.3224</x:v>
      </x:c>
      <x:c r="T135" s="8" t="n">
        <x:f>IF(COUNT('Monthly data'!E134:E135)=2,'Monthly data'!E135-'Monthly data'!E134,"")</x:f>
        <x:v>-0.00883731669999932</x:v>
      </x:c>
    </x:row>
    <x:row r="136" ht="19" customHeight="1">
      <x:c r="A136" s="7" t="n">
        <x:f>'Monthly data'!A136</x:f>
        <x:v>36951</x:v>
      </x:c>
      <x:c r="B136" s="8" t="n">
        <x:f>IF(ISNUMBER('Monthly data'!F136),LN(1+'Monthly data'!F136),"")</x:f>
        <x:v>4.135806352029695</x:v>
      </x:c>
      <x:c r="C136" s="8" t="n">
        <x:f>IF(ISNUMBER('Monthly data'!G136),LN(1+'Monthly data'!G136),"")</x:f>
        <x:v>2.833636783804715</x:v>
      </x:c>
      <x:c r="D136" s="8" t="n">
        <x:f>IF(ISNUMBER('Monthly data'!H136),LN(1+'Monthly data'!H136),"")</x:f>
        <x:v>3.1865840113513206</x:v>
      </x:c>
      <x:c r="E136" s="8" t="n">
        <x:f>IF(ISNUMBER('Monthly data'!I136),LN(1+'Monthly data'!I136),"")</x:f>
        <x:v>2.0675713691093485</x:v>
      </x:c>
      <x:c r="F136" s="8" t="n">
        <x:f>IF(ISNUMBER('Monthly data'!J136),LN(1+'Monthly data'!J136),"")</x:f>
        <x:v>1.6804181411511476</x:v>
      </x:c>
      <x:c r="G136" s="8" t="n">
        <x:f>IF(ISNUMBER('Monthly data'!K136),LN(1+'Monthly data'!K136),"")</x:f>
        <x:v>0.7525946392033653</x:v>
      </x:c>
      <x:c r="H136" s="8" t="n">
        <x:f>IF(ISNUMBER('Monthly data'!L136),LN(1+'Monthly data'!L136),"")</x:f>
        <x:v>0.31188676114859837</x:v>
      </x:c>
      <x:c r="I136" s="8" t="n">
        <x:f>IF(ISNUMBER('Monthly data'!M136),LN(1+'Monthly data'!M136),"")</x:f>
        <x:v>1.0316530622083495</x:v>
      </x:c>
      <x:c r="J136" s="8" t="n">
        <x:f>IF(ISNUMBER('Monthly data'!N136),LN(1+'Monthly data'!N136),"")</x:f>
        <x:v>2.170150241805298</x:v>
      </x:c>
      <x:c r="K136" s="8" t="n">
        <x:f>IF(COUNT('Monthly data'!F134:F136)=3,'Monthly data'!F136-2*'Monthly data'!F135+'Monthly data'!F134,"")</x:f>
        <x:v>-7.450000000000003</x:v>
      </x:c>
      <x:c r="L136" s="8" t="n">
        <x:f>IF(COUNT('Monthly data'!G134:G136)=3,'Monthly data'!G136-2*'Monthly data'!G135+'Monthly data'!G134,"")</x:f>
        <x:v>-2.8752999999999984</x:v>
      </x:c>
      <x:c r="M136" s="8" t="n">
        <x:f>IF(COUNT('Monthly data'!H134:H136)=3,'Monthly data'!H136-2*'Monthly data'!H135+'Monthly data'!H134,"")</x:f>
        <x:v>0.5161000000000016</x:v>
      </x:c>
      <x:c r="N136" s="8" t="n">
        <x:f>IF(COUNT('Monthly data'!I134:I136)=3,'Monthly data'!I136-2*'Monthly data'!I135+'Monthly data'!I134,"")</x:f>
        <x:v>-2.5448000000000013</x:v>
      </x:c>
      <x:c r="O136" s="8" t="n">
        <x:f>IF(COUNT('Monthly data'!J134:J136)=3,'Monthly data'!J136-2*'Monthly data'!J135+'Monthly data'!J134,"")</x:f>
        <x:v>-3.793700000000001</x:v>
      </x:c>
      <x:c r="P136" s="8" t="n">
        <x:f>IF(COUNT('Monthly data'!K134:K136)=3,'Monthly data'!K136-2*'Monthly data'!K135+'Monthly data'!K134,"")</x:f>
        <x:v>0.47460000000000013</x:v>
      </x:c>
      <x:c r="Q136" s="8" t="n">
        <x:f>IF(COUNT('Monthly data'!L134:L136)=3,'Monthly data'!L136-2*'Monthly data'!L135+'Monthly data'!L134,"")</x:f>
        <x:v>2.9042</x:v>
      </x:c>
      <x:c r="R136" s="8" t="n">
        <x:f>IF(COUNT('Monthly data'!M134:M136)=3,'Monthly data'!M136-2*'Monthly data'!M135+'Monthly data'!M134,"")</x:f>
        <x:v>-0.3185000000000002</x:v>
      </x:c>
      <x:c r="S136" s="8" t="n">
        <x:f>IF(COUNT('Monthly data'!N134:N136)=3,'Monthly data'!N136-2*'Monthly data'!N135+'Monthly data'!N134,"")</x:f>
        <x:v>-1.8126000000000007</x:v>
      </x:c>
      <x:c r="T136" s="8" t="n">
        <x:f>IF(COUNT('Monthly data'!E135:E136)=2,'Monthly data'!E136-'Monthly data'!E135,"")</x:f>
        <x:v>0.007939304499998912</x:v>
      </x:c>
    </x:row>
    <x:row r="137" ht="19" customHeight="1">
      <x:c r="A137" s="7" t="n">
        <x:f>'Monthly data'!A137</x:f>
        <x:v>36982</x:v>
      </x:c>
      <x:c r="B137" s="8" t="n">
        <x:f>IF(ISNUMBER('Monthly data'!F137),LN(1+'Monthly data'!F137),"")</x:f>
        <x:v>4.326249619204884</x:v>
      </x:c>
      <x:c r="C137" s="8" t="n">
        <x:f>IF(ISNUMBER('Monthly data'!G137),LN(1+'Monthly data'!G137),"")</x:f>
        <x:v>2.9216389166780807</x:v>
      </x:c>
      <x:c r="D137" s="8" t="n">
        <x:f>IF(ISNUMBER('Monthly data'!H137),LN(1+'Monthly data'!H137),"")</x:f>
        <x:v>3.6593373517329484</x:v>
      </x:c>
      <x:c r="E137" s="8" t="n">
        <x:f>IF(ISNUMBER('Monthly data'!I137),LN(1+'Monthly data'!I137),"")</x:f>
        <x:v>1.8161430909962482</x:v>
      </x:c>
      <x:c r="F137" s="8" t="n">
        <x:f>IF(ISNUMBER('Monthly data'!J137),LN(1+'Monthly data'!J137),"")</x:f>
        <x:v>1.7453315128476425</x:v>
      </x:c>
      <x:c r="G137" s="8" t="n">
        <x:f>IF(ISNUMBER('Monthly data'!K137),LN(1+'Monthly data'!K137),"")</x:f>
        <x:v>0.7434599944335345</x:v>
      </x:c>
      <x:c r="H137" s="8" t="n">
        <x:f>IF(ISNUMBER('Monthly data'!L137),LN(1+'Monthly data'!L137),"")</x:f>
        <x:v>0.5512379343772523</x:v>
      </x:c>
      <x:c r="I137" s="8" t="n">
        <x:f>IF(ISNUMBER('Monthly data'!M137),LN(1+'Monthly data'!M137),"")</x:f>
        <x:v>0.6100372738369388</x:v>
      </x:c>
      <x:c r="J137" s="8" t="n">
        <x:f>IF(ISNUMBER('Monthly data'!N137),LN(1+'Monthly data'!N137),"")</x:f>
        <x:v>2.0409215829408183</x:v>
      </x:c>
      <x:c r="K137" s="8" t="n">
        <x:f>IF(COUNT('Monthly data'!F135:F137)=3,'Monthly data'!F137-2*'Monthly data'!F136+'Monthly data'!F135,"")</x:f>
        <x:v>12.649999999999999</x:v>
      </x:c>
      <x:c r="L137" s="8" t="n">
        <x:f>IF(COUNT('Monthly data'!G135:G137)=3,'Monthly data'!G137-2*'Monthly data'!G136+'Monthly data'!G135,"")</x:f>
        <x:v>-1.5744000000000025</x:v>
      </x:c>
      <x:c r="M137" s="8" t="n">
        <x:f>IF(COUNT('Monthly data'!H135:H137)=3,'Monthly data'!H137-2*'Monthly data'!H136+'Monthly data'!H135,"")</x:f>
        <x:v>13.644099999999998</x:v>
      </x:c>
      <x:c r="N137" s="8" t="n">
        <x:f>IF(COUNT('Monthly data'!I135:I137)=3,'Monthly data'!I137-2*'Monthly data'!I136+'Monthly data'!I135,"")</x:f>
        <x:v>-0.2386999999999997</x:v>
      </x:c>
      <x:c r="O137" s="8" t="n">
        <x:f>IF(COUNT('Monthly data'!J135:J137)=3,'Monthly data'!J137-2*'Monthly data'!J136+'Monthly data'!J135,"")</x:f>
        <x:v>2.2628000000000004</x:v>
      </x:c>
      <x:c r="P137" s="8" t="n">
        <x:f>IF(COUNT('Monthly data'!K135:K137)=3,'Monthly data'!K137-2*'Monthly data'!K136+'Monthly data'!K135,"")</x:f>
        <x:v>0.22139999999999982</x:v>
      </x:c>
      <x:c r="Q137" s="8" t="n">
        <x:f>IF(COUNT('Monthly data'!L135:L137)=3,'Monthly data'!L137-2*'Monthly data'!L136+'Monthly data'!L135,"")</x:f>
        <x:v>0.19420000000000007</x:v>
      </x:c>
      <x:c r="R137" s="8" t="n">
        <x:f>IF(COUNT('Monthly data'!M135:M137)=3,'Monthly data'!M137-2*'Monthly data'!M136+'Monthly data'!M135,"")</x:f>
        <x:v>-0.917</x:v>
      </x:c>
      <x:c r="S137" s="8" t="n">
        <x:f>IF(COUNT('Monthly data'!N135:N137)=3,'Monthly data'!N137-2*'Monthly data'!N136+'Monthly data'!N135,"")</x:f>
        <x:v>-0.9424000000000001</x:v>
      </x:c>
      <x:c r="T137" s="8" t="n">
        <x:f>IF(COUNT('Monthly data'!E136:E137)=2,'Monthly data'!E137-'Monthly data'!E136,"")</x:f>
        <x:v>-0.01039356369999922</x:v>
      </x:c>
    </x:row>
    <x:row r="138" ht="19" customHeight="1">
      <x:c r="A138" s="7" t="n">
        <x:f>'Monthly data'!A138</x:f>
        <x:v>37012</x:v>
      </x:c>
      <x:c r="B138" s="8" t="n">
        <x:f>IF(ISNUMBER('Monthly data'!F138),LN(1+'Monthly data'!F138),"")</x:f>
        <x:v>4.273884476054178</x:v>
      </x:c>
      <x:c r="C138" s="8" t="n">
        <x:f>IF(ISNUMBER('Monthly data'!G138),LN(1+'Monthly data'!G138),"")</x:f>
        <x:v>2.8900994986147475</x:v>
      </x:c>
      <x:c r="D138" s="8" t="n">
        <x:f>IF(ISNUMBER('Monthly data'!H138),LN(1+'Monthly data'!H138),"")</x:f>
        <x:v>3.2956442548634017</x:v>
      </x:c>
      <x:c r="E138" s="8" t="n">
        <x:f>IF(ISNUMBER('Monthly data'!I138),LN(1+'Monthly data'!I138),"")</x:f>
        <x:v>2.3970858543985716</x:v>
      </x:c>
      <x:c r="F138" s="8" t="n">
        <x:f>IF(ISNUMBER('Monthly data'!J138),LN(1+'Monthly data'!J138),"")</x:f>
        <x:v>2.0237041764953334</x:v>
      </x:c>
      <x:c r="G138" s="8" t="n">
        <x:f>IF(ISNUMBER('Monthly data'!K138),LN(1+'Monthly data'!K138),"")</x:f>
        <x:v>1.1515209443235117</x:v>
      </x:c>
      <x:c r="H138" s="8" t="n">
        <x:f>IF(ISNUMBER('Monthly data'!L138),LN(1+'Monthly data'!L138),"")</x:f>
        <x:v>0.8822374445492711</x:v>
      </x:c>
      <x:c r="I138" s="8" t="n">
        <x:f>IF(ISNUMBER('Monthly data'!M138),LN(1+'Monthly data'!M138),"")</x:f>
        <x:v>1.057720847292033</x:v>
      </x:c>
      <x:c r="J138" s="8" t="n">
        <x:f>IF(ISNUMBER('Monthly data'!N138),LN(1+'Monthly data'!N138),"")</x:f>
        <x:v>1.9160104315659119</x:v>
      </x:c>
      <x:c r="K138" s="8" t="n">
        <x:f>IF(COUNT('Monthly data'!F136:F138)=3,'Monthly data'!F138-2*'Monthly data'!F137+'Monthly data'!F136,"")</x:f>
        <x:v>-16.979999999999997</x:v>
      </x:c>
      <x:c r="L138" s="8" t="n">
        <x:f>IF(COUNT('Monthly data'!G136:G138)=3,'Monthly data'!G138-2*'Monthly data'!G137+'Monthly data'!G136,"")</x:f>
        <x:v>-2.141099999999998</x:v>
      </x:c>
      <x:c r="M138" s="8" t="n">
        <x:f>IF(COUNT('Monthly data'!H136:H138)=3,'Monthly data'!H138-2*'Monthly data'!H137+'Monthly data'!H136,"")</x:f>
        <x:v>-26.4708</x:v>
      </x:c>
      <x:c r="N138" s="8" t="n">
        <x:f>IF(COUNT('Monthly data'!I136:I138)=3,'Monthly data'!I138-2*'Monthly data'!I137+'Monthly data'!I136,"")</x:f>
        <x:v>6.6004999999999985</x:v>
      </x:c>
      <x:c r="O138" s="8" t="n">
        <x:f>IF(COUNT('Monthly data'!J136:J138)=3,'Monthly data'!J138-2*'Monthly data'!J137+'Monthly data'!J136,"")</x:f>
        <x:v>1.4784999999999995</x:v>
      </x:c>
      <x:c r="P138" s="8" t="n">
        <x:f>IF(COUNT('Monthly data'!K136:K138)=3,'Monthly data'!K138-2*'Monthly data'!K137+'Monthly data'!K136,"")</x:f>
        <x:v>1.0791</x:v>
      </x:c>
      <x:c r="Q138" s="8" t="n">
        <x:f>IF(COUNT('Monthly data'!L136:L138)=3,'Monthly data'!L138-2*'Monthly data'!L137+'Monthly data'!L136,"")</x:f>
        <x:v>0.3114999999999998</x:v>
      </x:c>
      <x:c r="R138" s="8" t="n">
        <x:f>IF(COUNT('Monthly data'!M136:M138)=3,'Monthly data'!M138-2*'Monthly data'!M137+'Monthly data'!M136,"")</x:f>
        <x:v>2.0045</x:v>
      </x:c>
      <x:c r="S138" s="8" t="n">
        <x:f>IF(COUNT('Monthly data'!N136:N138)=3,'Monthly data'!N138-2*'Monthly data'!N137+'Monthly data'!N136,"")</x:f>
        <x:v>0.15799999999999947</x:v>
      </x:c>
      <x:c r="T138" s="8" t="n">
        <x:f>IF(COUNT('Monthly data'!E137:E138)=2,'Monthly data'!E138-'Monthly data'!E137,"")</x:f>
        <x:v>-0.012151955100000222</x:v>
      </x:c>
    </x:row>
    <x:row r="139" ht="19" customHeight="1">
      <x:c r="A139" s="7" t="n">
        <x:f>'Monthly data'!A139</x:f>
        <x:v>37043</x:v>
      </x:c>
      <x:c r="B139" s="8" t="n">
        <x:f>IF(ISNUMBER('Monthly data'!F139),LN(1+'Monthly data'!F139),"")</x:f>
        <x:v>4.345103280569283</x:v>
      </x:c>
      <x:c r="C139" s="8" t="n">
        <x:f>IF(ISNUMBER('Monthly data'!G139),LN(1+'Monthly data'!G139),"")</x:f>
        <x:v>2.764789638294811</x:v>
      </x:c>
      <x:c r="D139" s="8" t="n">
        <x:f>IF(ISNUMBER('Monthly data'!H139),LN(1+'Monthly data'!H139),"")</x:f>
        <x:v>3.433961397700541</x:v>
      </x:c>
      <x:c r="E139" s="8" t="n">
        <x:f>IF(ISNUMBER('Monthly data'!I139),LN(1+'Monthly data'!I139),"")</x:f>
        <x:v>2.4371596912902658</x:v>
      </x:c>
      <x:c r="F139" s="8" t="n">
        <x:f>IF(ISNUMBER('Monthly data'!J139),LN(1+'Monthly data'!J139),"")</x:f>
        <x:v>2.1805304469867397</x:v>
      </x:c>
      <x:c r="G139" s="8" t="n">
        <x:f>IF(ISNUMBER('Monthly data'!K139),LN(1+'Monthly data'!K139),"")</x:f>
        <x:v>1.0506467843732337</x:v>
      </x:c>
      <x:c r="H139" s="8" t="n">
        <x:f>IF(ISNUMBER('Monthly data'!L139),LN(1+'Monthly data'!L139),"")</x:f>
        <x:v>0.8889195350780231</x:v>
      </x:c>
      <x:c r="I139" s="8" t="n">
        <x:f>IF(ISNUMBER('Monthly data'!M139),LN(1+'Monthly data'!M139),"")</x:f>
        <x:v>1.1728845330426971</x:v>
      </x:c>
      <x:c r="J139" s="8" t="n">
        <x:f>IF(ISNUMBER('Monthly data'!N139),LN(1+'Monthly data'!N139),"")</x:f>
        <x:v>2.129457145167895</x:v>
      </x:c>
      <x:c r="K139" s="8" t="n">
        <x:f>IF(COUNT('Monthly data'!F137:F139)=3,'Monthly data'!F139-2*'Monthly data'!F138+'Monthly data'!F137,"")</x:f>
        <x:v>9.159999999999997</x:v>
      </x:c>
      <x:c r="L139" s="8" t="n">
        <x:f>IF(COUNT('Monthly data'!G137:G139)=3,'Monthly data'!G139-2*'Monthly data'!G138+'Monthly data'!G137,"")</x:f>
        <x:v>-1.5427999999999997</x:v>
      </x:c>
      <x:c r="M139" s="8" t="n">
        <x:f>IF(COUNT('Monthly data'!H137:H139)=3,'Monthly data'!H139-2*'Monthly data'!H138+'Monthly data'!H137,"")</x:f>
        <x:v>15.845199999999995</x:v>
      </x:c>
      <x:c r="N139" s="8" t="n">
        <x:f>IF(COUNT('Monthly data'!I137:I139)=3,'Monthly data'!I139-2*'Monthly data'!I138+'Monthly data'!I137,"")</x:f>
        <x:v>-4.393599999999998</x:v>
      </x:c>
      <x:c r="O139" s="8" t="n">
        <x:f>IF(COUNT('Monthly data'!J137:J139)=3,'Monthly data'!J139-2*'Monthly data'!J138+'Monthly data'!J137,"")</x:f>
        <x:v>-0.5537999999999998</x:v>
      </x:c>
      <x:c r="P139" s="8" t="n">
        <x:f>IF(COUNT('Monthly data'!K137:K139)=3,'Monthly data'!K139-2*'Monthly data'!K138+'Monthly data'!K137,"")</x:f>
        <x:v>-1.3633</x:v>
      </x:c>
      <x:c r="Q139" s="8" t="n">
        <x:f>IF(COUNT('Monthly data'!L137:L139)=3,'Monthly data'!L139-2*'Monthly data'!L138+'Monthly data'!L137,"")</x:f>
        <x:v>-0.6646999999999996</x:v>
      </x:c>
      <x:c r="R139" s="8" t="n">
        <x:f>IF(COUNT('Monthly data'!M137:M139)=3,'Monthly data'!M139-2*'Monthly data'!M138+'Monthly data'!M137,"")</x:f>
        <x:v>-0.6877999999999997</x:v>
      </x:c>
      <x:c r="S139" s="8" t="n">
        <x:f>IF(COUNT('Monthly data'!N137:N139)=3,'Monthly data'!N139-2*'Monthly data'!N138+'Monthly data'!N137,"")</x:f>
        <x:v>2.5204000000000004</x:v>
      </x:c>
      <x:c r="T139" s="8" t="n">
        <x:f>IF(COUNT('Monthly data'!E138:E139)=2,'Monthly data'!E139-'Monthly data'!E138,"")</x:f>
        <x:v>-0.02441782840000073</x:v>
      </x:c>
    </x:row>
    <x:row r="140" ht="19" customHeight="1">
      <x:c r="A140" s="7" t="n">
        <x:f>'Monthly data'!A140</x:f>
        <x:v>37073</x:v>
      </x:c>
      <x:c r="B140" s="8" t="n">
        <x:f>IF(ISNUMBER('Monthly data'!F140),LN(1+'Monthly data'!F140),"")</x:f>
        <x:v>4.3633533694082605</x:v>
      </x:c>
      <x:c r="C140" s="8" t="n">
        <x:f>IF(ISNUMBER('Monthly data'!G140),LN(1+'Monthly data'!G140),"")</x:f>
        <x:v>2.722452652745984</x:v>
      </x:c>
      <x:c r="D140" s="8" t="n">
        <x:f>IF(ISNUMBER('Monthly data'!H140),LN(1+'Monthly data'!H140),"")</x:f>
        <x:v>3.569955142449773</x:v>
      </x:c>
      <x:c r="E140" s="8" t="n">
        <x:f>IF(ISNUMBER('Monthly data'!I140),LN(1+'Monthly data'!I140),"")</x:f>
        <x:v>1.9553228530934208</x:v>
      </x:c>
      <x:c r="F140" s="8" t="n">
        <x:f>IF(ISNUMBER('Monthly data'!J140),LN(1+'Monthly data'!J140),"")</x:f>
        <x:v>2.2079776662009696</x:v>
      </x:c>
      <x:c r="G140" s="8" t="n">
        <x:f>IF(ISNUMBER('Monthly data'!K140),LN(1+'Monthly data'!K140),"")</x:f>
        <x:v>1.1178265075919138</x:v>
      </x:c>
      <x:c r="H140" s="8" t="n">
        <x:f>IF(ISNUMBER('Monthly data'!L140),LN(1+'Monthly data'!L140),"")</x:f>
        <x:v>0.5643474331683562</x:v>
      </x:c>
      <x:c r="I140" s="8" t="n">
        <x:f>IF(ISNUMBER('Monthly data'!M140),LN(1+'Monthly data'!M140),"")</x:f>
        <x:v>1.0725420609349257</x:v>
      </x:c>
      <x:c r="J140" s="8" t="n">
        <x:f>IF(ISNUMBER('Monthly data'!N140),LN(1+'Monthly data'!N140),"")</x:f>
        <x:v>2.387348946193195</x:v>
      </x:c>
      <x:c r="K140" s="8" t="n">
        <x:f>IF(COUNT('Monthly data'!F138:F140)=3,'Monthly data'!F140-2*'Monthly data'!F139+'Monthly data'!F138,"")</x:f>
        <x:v>-3.8799999999999955</x:v>
      </x:c>
      <x:c r="L140" s="8" t="n">
        <x:f>IF(COUNT('Monthly data'!G138:G140)=3,'Monthly data'!G140-2*'Monthly data'!G139+'Monthly data'!G138,"")</x:f>
        <x:v>1.4612999999999996</x:v>
      </x:c>
      <x:c r="M140" s="8" t="n">
        <x:f>IF(COUNT('Monthly data'!H138:H140)=3,'Monthly data'!H140-2*'Monthly data'!H139+'Monthly data'!H138,"")</x:f>
        <x:v>0.5114000000000054</x:v>
      </x:c>
      <x:c r="N140" s="8" t="n">
        <x:f>IF(COUNT('Monthly data'!I138:I140)=3,'Monthly data'!I140-2*'Monthly data'!I139+'Monthly data'!I138,"")</x:f>
        <x:v>-4.8237000000000005</x:v>
      </x:c>
      <x:c r="O140" s="8" t="n">
        <x:f>IF(COUNT('Monthly data'!J138:J140)=3,'Monthly data'!J140-2*'Monthly data'!J139+'Monthly data'!J138,"")</x:f>
        <x:v>-1.0383999999999993</x:v>
      </x:c>
      <x:c r="P140" s="8" t="n">
        <x:f>IF(COUNT('Monthly data'!K138:K140)=3,'Monthly data'!K140-2*'Monthly data'!K139+'Monthly data'!K138,"")</x:f>
        <x:v>0.5021999999999998</x:v>
      </x:c>
      <x:c r="Q140" s="8" t="n">
        <x:f>IF(COUNT('Monthly data'!L138:L140)=3,'Monthly data'!L140-2*'Monthly data'!L139+'Monthly data'!L138,"")</x:f>
        <x:v>-0.6904000000000001</x:v>
      </x:c>
      <x:c r="R140" s="8" t="n">
        <x:f>IF(COUNT('Monthly data'!M138:M140)=3,'Monthly data'!M140-2*'Monthly data'!M139+'Monthly data'!M138,"")</x:f>
        <x:v>-0.6600000000000001</x:v>
      </x:c>
      <x:c r="S140" s="8" t="n">
        <x:f>IF(COUNT('Monthly data'!N138:N140)=3,'Monthly data'!N140-2*'Monthly data'!N139+'Monthly data'!N138,"")</x:f>
        <x:v>0.8578000000000001</x:v>
      </x:c>
      <x:c r="T140" s="8" t="n">
        <x:f>IF(COUNT('Monthly data'!E139:E140)=2,'Monthly data'!E140-'Monthly data'!E139,"")</x:f>
        <x:v>0.03537643579999994</x:v>
      </x:c>
    </x:row>
    <x:row r="141" ht="19" customHeight="1">
      <x:c r="A141" s="7" t="n">
        <x:f>'Monthly data'!A141</x:f>
        <x:v>37104</x:v>
      </x:c>
      <x:c r="B141" s="8" t="n">
        <x:f>IF(ISNUMBER('Monthly data'!F141),LN(1+'Monthly data'!F141),"")</x:f>
        <x:v>4.26633516017769</x:v>
      </x:c>
      <x:c r="C141" s="8" t="n">
        <x:f>IF(ISNUMBER('Monthly data'!G141),LN(1+'Monthly data'!G141),"")</x:f>
        <x:v>3.0936844148480183</x:v>
      </x:c>
      <x:c r="D141" s="8" t="n">
        <x:f>IF(ISNUMBER('Monthly data'!H141),LN(1+'Monthly data'!H141),"")</x:f>
        <x:v>3.258223453044353</x:v>
      </x:c>
      <x:c r="E141" s="8" t="n">
        <x:f>IF(ISNUMBER('Monthly data'!I141),LN(1+'Monthly data'!I141),"")</x:f>
        <x:v>2.1174235071326644</x:v>
      </x:c>
      <x:c r="F141" s="8" t="n">
        <x:f>IF(ISNUMBER('Monthly data'!J141),LN(1+'Monthly data'!J141),"")</x:f>
        <x:v>2.0916912072337515</x:v>
      </x:c>
      <x:c r="G141" s="8" t="n">
        <x:f>IF(ISNUMBER('Monthly data'!K141),LN(1+'Monthly data'!K141),"")</x:f>
        <x:v>0.7332809382995908</x:v>
      </x:c>
      <x:c r="H141" s="8" t="n">
        <x:f>IF(ISNUMBER('Monthly data'!L141),LN(1+'Monthly data'!L141),"")</x:f>
        <x:v>0.16948957797857644</x:v>
      </x:c>
      <x:c r="I141" s="8" t="n">
        <x:f>IF(ISNUMBER('Monthly data'!M141),LN(1+'Monthly data'!M141),"")</x:f>
        <x:v>0.7332809382995908</x:v>
      </x:c>
      <x:c r="J141" s="8" t="n">
        <x:f>IF(ISNUMBER('Monthly data'!N141),LN(1+'Monthly data'!N141),"")</x:f>
        <x:v>2.1331718641008037</x:v>
      </x:c>
      <x:c r="K141" s="8" t="n">
        <x:f>IF(COUNT('Monthly data'!F139:F141)=3,'Monthly data'!F141-2*'Monthly data'!F140+'Monthly data'!F139,"")</x:f>
        <x:v>-8.679999999999993</x:v>
      </x:c>
      <x:c r="L141" s="8" t="n">
        <x:f>IF(COUNT('Monthly data'!G139:G141)=3,'Monthly data'!G141-2*'Monthly data'!G140+'Monthly data'!G139,"")</x:f>
        <x:v>7.498700000000001</x:v>
      </x:c>
      <x:c r="M141" s="8" t="n">
        <x:f>IF(COUNT('Monthly data'!H139:H141)=3,'Monthly data'!H141-2*'Monthly data'!H140+'Monthly data'!H139,"")</x:f>
        <x:v>-14.027500000000007</x:v>
      </x:c>
      <x:c r="N141" s="8" t="n">
        <x:f>IF(COUNT('Monthly data'!I139:I141)=3,'Monthly data'!I141-2*'Monthly data'!I140+'Monthly data'!I139,"")</x:f>
        <x:v>5.6178</x:v>
      </x:c>
      <x:c r="O141" s="8" t="n">
        <x:f>IF(COUNT('Monthly data'!J139:J141)=3,'Monthly data'!J141-2*'Monthly data'!J140+'Monthly data'!J139,"")</x:f>
        <x:v>-1.245</x:v>
      </x:c>
      <x:c r="P141" s="8" t="n">
        <x:f>IF(COUNT('Monthly data'!K139:K141)=3,'Monthly data'!K141-2*'Monthly data'!K140+'Monthly data'!K139,"")</x:f>
        <x:v>-1.1749999999999996</x:v>
      </x:c>
      <x:c r="Q141" s="8" t="n">
        <x:f>IF(COUNT('Monthly data'!L139:L141)=3,'Monthly data'!L141-2*'Monthly data'!L140+'Monthly data'!L139,"")</x:f>
        <x:v>0.10060000000000024</x:v>
      </x:c>
      <x:c r="R141" s="8" t="n">
        <x:f>IF(COUNT('Monthly data'!M139:M141)=3,'Monthly data'!M141-2*'Monthly data'!M140+'Monthly data'!M139,"")</x:f>
        <x:v>-0.5324</x:v>
      </x:c>
      <x:c r="S141" s="8" t="n">
        <x:f>IF(COUNT('Monthly data'!N139:N141)=3,'Monthly data'!N141-2*'Monthly data'!N140+'Monthly data'!N139,"")</x:f>
        <x:v>-4.9173</x:v>
      </x:c>
      <x:c r="T141" s="8" t="n">
        <x:f>IF(COUNT('Monthly data'!E140:E141)=2,'Monthly data'!E141-'Monthly data'!E140,"")</x:f>
        <x:v>0.001684865300001448</x:v>
      </x:c>
    </x:row>
    <x:row r="142" ht="19" customHeight="1">
      <x:c r="A142" s="7" t="n">
        <x:f>'Monthly data'!A142</x:f>
        <x:v>37135</x:v>
      </x:c>
      <x:c r="B142" s="8" t="n">
        <x:f>IF(ISNUMBER('Monthly data'!F142),LN(1+'Monthly data'!F142),"")</x:f>
        <x:v>5.574394865641683</x:v>
      </x:c>
      <x:c r="C142" s="8" t="n">
        <x:f>IF(ISNUMBER('Monthly data'!G142),LN(1+'Monthly data'!G142),"")</x:f>
        <x:v>3.6336494737679272</x:v>
      </x:c>
      <x:c r="D142" s="8" t="n">
        <x:f>IF(ISNUMBER('Monthly data'!H142),LN(1+'Monthly data'!H142),"")</x:f>
        <x:v>3.245264559206104</x:v>
      </x:c>
      <x:c r="E142" s="8" t="n">
        <x:f>IF(ISNUMBER('Monthly data'!I142),LN(1+'Monthly data'!I142),"")</x:f>
        <x:v>5.210728550145081</x:v>
      </x:c>
      <x:c r="F142" s="8" t="n">
        <x:f>IF(ISNUMBER('Monthly data'!J142),LN(1+'Monthly data'!J142),"")</x:f>
        <x:v>1.6735200794579712</x:v>
      </x:c>
      <x:c r="G142" s="8" t="n">
        <x:f>IF(ISNUMBER('Monthly data'!K142),LN(1+'Monthly data'!K142),"")</x:f>
        <x:v>0.9635177702368368</x:v>
      </x:c>
      <x:c r="H142" s="8" t="n">
        <x:f>IF(ISNUMBER('Monthly data'!L142),LN(1+'Monthly data'!L142),"")</x:f>
        <x:v>0.22578007263533958</x:v>
      </x:c>
      <x:c r="I142" s="8" t="n">
        <x:f>IF(ISNUMBER('Monthly data'!M142),LN(1+'Monthly data'!M142),"")</x:f>
        <x:v>1.1562835339504955</x:v>
      </x:c>
      <x:c r="J142" s="8" t="n">
        <x:f>IF(ISNUMBER('Monthly data'!N142),LN(1+'Monthly data'!N142),"")</x:f>
        <x:v>2.4388627112865935</x:v>
      </x:c>
      <x:c r="K142" s="8" t="n">
        <x:f>IF(COUNT('Monthly data'!F140:F142)=3,'Monthly data'!F142-2*'Monthly data'!F141+'Monthly data'!F140,"")</x:f>
        <x:v>199.58999999999997</x:v>
      </x:c>
      <x:c r="L142" s="8" t="n">
        <x:f>IF(COUNT('Monthly data'!G140:G142)=3,'Monthly data'!G142-2*'Monthly data'!G141+'Monthly data'!G140,"")</x:f>
        <x:v>8.951900000000004</x:v>
      </x:c>
      <x:c r="M142" s="8" t="n">
        <x:f>IF(COUNT('Monthly data'!H140:H142)=3,'Monthly data'!H142-2*'Monthly data'!H141+'Monthly data'!H140,"")</x:f>
        <x:v>9.176900000000003</x:v>
      </x:c>
      <x:c r="N142" s="8" t="n">
        <x:f>IF(COUNT('Monthly data'!I140:I142)=3,'Monthly data'!I142-2*'Monthly data'!I141+'Monthly data'!I140,"")</x:f>
        <x:v>173.6743</x:v>
      </x:c>
      <x:c r="O142" s="8" t="n">
        <x:f>IF(COUNT('Monthly data'!J140:J142)=3,'Monthly data'!J142-2*'Monthly data'!J141+'Monthly data'!J140,"")</x:f>
        <x:v>-1.7690000000000001</x:v>
      </x:c>
      <x:c r="P142" s="8" t="n">
        <x:f>IF(COUNT('Monthly data'!K140:K142)=3,'Monthly data'!K142-2*'Monthly data'!K141+'Monthly data'!K140,"")</x:f>
        <x:v>1.5152999999999996</x:v>
      </x:c>
      <x:c r="Q142" s="8" t="n">
        <x:f>IF(COUNT('Monthly data'!L140:L142)=3,'Monthly data'!L142-2*'Monthly data'!L141+'Monthly data'!L140,"")</x:f>
        <x:v>0.6422</x:v>
      </x:c>
      <x:c r="R142" s="8" t="n">
        <x:f>IF(COUNT('Monthly data'!M140:M142)=3,'Monthly data'!M142-2*'Monthly data'!M141+'Monthly data'!M140,"")</x:f>
        <x:v>1.9371</x:v>
      </x:c>
      <x:c r="S142" s="8" t="n">
        <x:f>IF(COUNT('Monthly data'!N140:N142)=3,'Monthly data'!N142-2*'Monthly data'!N141+'Monthly data'!N140,"")</x:f>
        <x:v>5.461400000000001</x:v>
      </x:c>
      <x:c r="T142" s="8" t="n">
        <x:f>IF(COUNT('Monthly data'!E141:E142)=2,'Monthly data'!E142-'Monthly data'!E141,"")</x:f>
        <x:v>-0.010209976800000575</x:v>
      </x:c>
    </x:row>
    <x:row r="143" ht="19" customHeight="1">
      <x:c r="A143" s="7" t="n">
        <x:f>'Monthly data'!A143</x:f>
        <x:v>37165</x:v>
      </x:c>
      <x:c r="B143" s="8" t="n">
        <x:f>IF(ISNUMBER('Monthly data'!F143),LN(1+'Monthly data'!F143),"")</x:f>
        <x:v>5.497823748096092</x:v>
      </x:c>
      <x:c r="C143" s="8" t="n">
        <x:f>IF(ISNUMBER('Monthly data'!G143),LN(1+'Monthly data'!G143),"")</x:f>
        <x:v>4.469243927961295</x:v>
      </x:c>
      <x:c r="D143" s="8" t="n">
        <x:f>IF(ISNUMBER('Monthly data'!H143),LN(1+'Monthly data'!H143),"")</x:f>
        <x:v>3.1163601477062355</x:v>
      </x:c>
      <x:c r="E143" s="8" t="n">
        <x:f>IF(ISNUMBER('Monthly data'!I143),LN(1+'Monthly data'!I143),"")</x:f>
        <x:v>4.718981790385184</x:v>
      </x:c>
      <x:c r="F143" s="8" t="n">
        <x:f>IF(ISNUMBER('Monthly data'!J143),LN(1+'Monthly data'!J143),"")</x:f>
        <x:v>1.4851437251620594</x:v>
      </x:c>
      <x:c r="G143" s="8" t="n">
        <x:f>IF(ISNUMBER('Monthly data'!K143),LN(1+'Monthly data'!K143),"")</x:f>
        <x:v>0.9174500595940014</x:v>
      </x:c>
      <x:c r="H143" s="8" t="n">
        <x:f>IF(ISNUMBER('Monthly data'!L143),LN(1+'Monthly data'!L143),"")</x:f>
        <x:v>0.20514250020465719</x:v>
      </x:c>
      <x:c r="I143" s="8" t="n">
        <x:f>IF(ISNUMBER('Monthly data'!M143),LN(1+'Monthly data'!M143),"")</x:f>
        <x:v>1.004521365268514</x:v>
      </x:c>
      <x:c r="J143" s="8" t="n">
        <x:f>IF(ISNUMBER('Monthly data'!N143),LN(1+'Monthly data'!N143),"")</x:f>
        <x:v>2.9109529491351633</x:v>
      </x:c>
      <x:c r="K143" s="8" t="n">
        <x:f>IF(COUNT('Monthly data'!F141:F143)=3,'Monthly data'!F143-2*'Monthly data'!F142+'Monthly data'!F141,"")</x:f>
        <x:v>-211.76</x:v>
      </x:c>
      <x:c r="L143" s="8" t="n">
        <x:f>IF(COUNT('Monthly data'!G141:G143)=3,'Monthly data'!G143-2*'Monthly data'!G142+'Monthly data'!G141,"")</x:f>
        <x:v>33.647499999999994</x:v>
      </x:c>
      <x:c r="M143" s="8" t="n">
        <x:f>IF(COUNT('Monthly data'!H141:H143)=3,'Monthly data'!H143-2*'Monthly data'!H142+'Monthly data'!H141,"")</x:f>
        <x:v>-2.769600000000004</x:v>
      </x:c>
      <x:c r="N143" s="8" t="n">
        <x:f>IF(COUNT('Monthly data'!I141:I143)=3,'Monthly data'!I143-2*'Monthly data'!I142+'Monthly data'!I141,"")</x:f>
        <x:v>-246.0912</x:v>
      </x:c>
      <x:c r="O143" s="8" t="n">
        <x:f>IF(COUNT('Monthly data'!J141:J143)=3,'Monthly data'!J143-2*'Monthly data'!J142+'Monthly data'!J141,"")</x:f>
        <x:v>1.8524000000000003</x:v>
      </x:c>
      <x:c r="P143" s="8" t="n">
        <x:f>IF(COUNT('Monthly data'!K141:K143)=3,'Monthly data'!K143-2*'Monthly data'!K142+'Monthly data'!K141,"")</x:f>
        <x:v>-0.657</x:v>
      </x:c>
      <x:c r="Q143" s="8" t="n">
        <x:f>IF(COUNT('Monthly data'!L141:L143)=3,'Monthly data'!L143-2*'Monthly data'!L142+'Monthly data'!L141,"")</x:f>
        <x:v>-0.09420000000000003</x:v>
      </x:c>
      <x:c r="R143" s="8" t="n">
        <x:f>IF(COUNT('Monthly data'!M141:M143)=3,'Monthly data'!M143-2*'Monthly data'!M142+'Monthly data'!M141,"")</x:f>
        <x:v>-1.5437000000000003</x:v>
      </x:c>
      <x:c r="S143" s="8" t="n">
        <x:f>IF(COUNT('Monthly data'!N141:N143)=3,'Monthly data'!N143-2*'Monthly data'!N142+'Monthly data'!N141,"")</x:f>
        <x:v>3.8959</x:v>
      </x:c>
      <x:c r="T143" s="8" t="n">
        <x:f>IF(COUNT('Monthly data'!E142:E143)=2,'Monthly data'!E143-'Monthly data'!E142,"")</x:f>
        <x:v>-0.0005792091999996529</x:v>
      </x:c>
    </x:row>
    <x:row r="144" ht="19" customHeight="1">
      <x:c r="A144" s="7" t="n">
        <x:f>'Monthly data'!A144</x:f>
        <x:v>37196</x:v>
      </x:c>
      <x:c r="B144" s="8" t="n">
        <x:f>IF(ISNUMBER('Monthly data'!F144),LN(1+'Monthly data'!F144),"")</x:f>
        <x:v>5.238832719713145</x:v>
      </x:c>
      <x:c r="C144" s="8" t="n">
        <x:f>IF(ISNUMBER('Monthly data'!G144),LN(1+'Monthly data'!G144),"")</x:f>
        <x:v>4.207710449218065</x:v>
      </x:c>
      <x:c r="D144" s="8" t="n">
        <x:f>IF(ISNUMBER('Monthly data'!H144),LN(1+'Monthly data'!H144),"")</x:f>
        <x:v>3.3625951438802133</x:v>
      </x:c>
      <x:c r="E144" s="8" t="n">
        <x:f>IF(ISNUMBER('Monthly data'!I144),LN(1+'Monthly data'!I144),"")</x:f>
        <x:v>4.078437039148556</x:v>
      </x:c>
      <x:c r="F144" s="8" t="n">
        <x:f>IF(ISNUMBER('Monthly data'!J144),LN(1+'Monthly data'!J144),"")</x:f>
        <x:v>2.034888637630739</x:v>
      </x:c>
      <x:c r="G144" s="8" t="n">
        <x:f>IF(ISNUMBER('Monthly data'!K144),LN(1+'Monthly data'!K144),"")</x:f>
        <x:v>1.9482217609349657</x:v>
      </x:c>
      <x:c r="H144" s="8" t="n">
        <x:f>IF(ISNUMBER('Monthly data'!L144),LN(1+'Monthly data'!L144),"")</x:f>
        <x:v>0.25278002044251613</x:v>
      </x:c>
      <x:c r="I144" s="8" t="n">
        <x:f>IF(ISNUMBER('Monthly data'!M144),LN(1+'Monthly data'!M144),"")</x:f>
        <x:v>0.9485642924244506</x:v>
      </x:c>
      <x:c r="J144" s="8" t="n">
        <x:f>IF(ISNUMBER('Monthly data'!N144),LN(1+'Monthly data'!N144),"")</x:f>
        <x:v>3.0815979945303162</x:v>
      </x:c>
      <x:c r="K144" s="8" t="n">
        <x:f>IF(COUNT('Monthly data'!F142:F144)=3,'Monthly data'!F144-2*'Monthly data'!F143+'Monthly data'!F142,"")</x:f>
        <x:v>-36.28000000000003</x:v>
      </x:c>
      <x:c r="L144" s="8" t="n">
        <x:f>IF(COUNT('Monthly data'!G142:G144)=3,'Monthly data'!G144-2*'Monthly data'!G143+'Monthly data'!G142,"")</x:f>
        <x:v>-69.5282</x:v>
      </x:c>
      <x:c r="M144" s="8" t="n">
        <x:f>IF(COUNT('Monthly data'!H142:H144)=3,'Monthly data'!H144-2*'Monthly data'!H143+'Monthly data'!H142,"")</x:f>
        <x:v>9.404300000000003</x:v>
      </x:c>
      <x:c r="N144" s="8" t="n">
        <x:f>IF(COUNT('Monthly data'!I142:I144)=3,'Monthly data'!I144-2*'Monthly data'!I143+'Monthly data'!I142,"")</x:f>
        <x:v>18.172399999999982</x:v>
      </x:c>
      <x:c r="O144" s="8" t="n">
        <x:f>IF(COUNT('Monthly data'!J142:J144)=3,'Monthly data'!J144-2*'Monthly data'!J143+'Monthly data'!J142,"")</x:f>
        <x:v>4.1511</x:v>
      </x:c>
      <x:c r="P144" s="8" t="n">
        <x:f>IF(COUNT('Monthly data'!K142:K144)=3,'Monthly data'!K144-2*'Monthly data'!K143+'Monthly data'!K142,"")</x:f>
        <x:v>4.6313</x:v>
      </x:c>
      <x:c r="Q144" s="8" t="n">
        <x:f>IF(COUNT('Monthly data'!L142:L144)=3,'Monthly data'!L144-2*'Monthly data'!L143+'Monthly data'!L142,"")</x:f>
        <x:v>0.08550000000000002</x:v>
      </x:c>
      <x:c r="R144" s="8" t="n">
        <x:f>IF(COUNT('Monthly data'!M142:M144)=3,'Monthly data'!M144-2*'Monthly data'!M143+'Monthly data'!M142,"")</x:f>
        <x:v>0.2989000000000004</x:v>
      </x:c>
      <x:c r="S144" s="8" t="n">
        <x:f>IF(COUNT('Monthly data'!N142:N144)=3,'Monthly data'!N144-2*'Monthly data'!N143+'Monthly data'!N142,"")</x:f>
        <x:v>-3.4954000000000036</x:v>
      </x:c>
      <x:c r="T144" s="8" t="n">
        <x:f>IF(COUNT('Monthly data'!E143:E144)=2,'Monthly data'!E144-'Monthly data'!E143,"")</x:f>
        <x:v>-0.001931408900000875</x:v>
      </x:c>
    </x:row>
    <x:row r="145" ht="19" customHeight="1">
      <x:c r="A145" s="7" t="n">
        <x:f>'Monthly data'!A145</x:f>
        <x:v>37226</x:v>
      </x:c>
      <x:c r="B145" s="8" t="n">
        <x:f>IF(ISNUMBER('Monthly data'!F145),LN(1+'Monthly data'!F145),"")</x:f>
        <x:v>5.059234963932318</x:v>
      </x:c>
      <x:c r="C145" s="8" t="n">
        <x:f>IF(ISNUMBER('Monthly data'!G145),LN(1+'Monthly data'!G145),"")</x:f>
        <x:v>4.095478918596565</x:v>
      </x:c>
      <x:c r="D145" s="8" t="n">
        <x:f>IF(ISNUMBER('Monthly data'!H145),LN(1+'Monthly data'!H145),"")</x:f>
        <x:v>3.267902151625244</x:v>
      </x:c>
      <x:c r="E145" s="8" t="n">
        <x:f>IF(ISNUMBER('Monthly data'!I145),LN(1+'Monthly data'!I145),"")</x:f>
        <x:v>3.8103490194949483</x:v>
      </x:c>
      <x:c r="F145" s="8" t="n">
        <x:f>IF(ISNUMBER('Monthly data'!J145),LN(1+'Monthly data'!J145),"")</x:f>
        <x:v>1.7452791353455135</x:v>
      </x:c>
      <x:c r="G145" s="8" t="n">
        <x:f>IF(ISNUMBER('Monthly data'!K145),LN(1+'Monthly data'!K145),"")</x:f>
        <x:v>1.3942129263641863</x:v>
      </x:c>
      <x:c r="H145" s="8" t="n">
        <x:f>IF(ISNUMBER('Monthly data'!L145),LN(1+'Monthly data'!L145),"")</x:f>
        <x:v>0.7442204507439459</x:v>
      </x:c>
      <x:c r="I145" s="8" t="n">
        <x:f>IF(ISNUMBER('Monthly data'!M145),LN(1+'Monthly data'!M145),"")</x:f>
        <x:v>1.361822349195403</x:v>
      </x:c>
      <x:c r="J145" s="8" t="n">
        <x:f>IF(ISNUMBER('Monthly data'!N145),LN(1+'Monthly data'!N145),"")</x:f>
        <x:v>2.8456184347089835</x:v>
      </x:c>
      <x:c r="K145" s="8" t="n">
        <x:f>IF(COUNT('Monthly data'!F143:F145)=3,'Monthly data'!F145-2*'Monthly data'!F144+'Monthly data'!F143,"")</x:f>
        <x:v>24.730000000000018</x:v>
      </x:c>
      <x:c r="L145" s="8" t="n">
        <x:f>IF(COUNT('Monthly data'!G143:G145)=3,'Monthly data'!G145-2*'Monthly data'!G144+'Monthly data'!G143,"")</x:f>
        <x:v>12.953800000000001</x:v>
      </x:c>
      <x:c r="M145" s="8" t="n">
        <x:f>IF(COUNT('Monthly data'!H143:H145)=3,'Monthly data'!H145-2*'Monthly data'!H144+'Monthly data'!H143,"")</x:f>
        <x:v>-8.907700000000002</x:v>
      </x:c>
      <x:c r="N145" s="8" t="n">
        <x:f>IF(COUNT('Monthly data'!I143:I145)=3,'Monthly data'!I145-2*'Monthly data'!I144+'Monthly data'!I143,"")</x:f>
        <x:v>39.11410000000001</x:v>
      </x:c>
      <x:c r="O145" s="8" t="n">
        <x:f>IF(COUNT('Monthly data'!J143:J145)=3,'Monthly data'!J145-2*'Monthly data'!J144+'Monthly data'!J143,"")</x:f>
        <x:v>-5.159699999999999</x:v>
      </x:c>
      <x:c r="P145" s="8" t="n">
        <x:f>IF(COUNT('Monthly data'!K143:K145)=3,'Monthly data'!K145-2*'Monthly data'!K144+'Monthly data'!K143,"")</x:f>
        <x:v>-7.4977</x:v>
      </x:c>
      <x:c r="Q145" s="8" t="n">
        <x:f>IF(COUNT('Monthly data'!L143:L145)=3,'Monthly data'!L145-2*'Monthly data'!L144+'Monthly data'!L143,"")</x:f>
        <x:v>0.7573</x:v>
      </x:c>
      <x:c r="R145" s="8" t="n">
        <x:f>IF(COUNT('Monthly data'!M143:M145)=3,'Monthly data'!M145-2*'Monthly data'!M144+'Monthly data'!M143,"")</x:f>
        <x:v>1.4699</x:v>
      </x:c>
      <x:c r="S145" s="8" t="n">
        <x:f>IF(COUNT('Monthly data'!N143:N145)=3,'Monthly data'!N145-2*'Monthly data'!N144+'Monthly data'!N143,"")</x:f>
        <x:v>-7.999899999999997</x:v>
      </x:c>
      <x:c r="T145" s="8" t="n">
        <x:f>IF(COUNT('Monthly data'!E144:E145)=2,'Monthly data'!E145-'Monthly data'!E144,"")</x:f>
        <x:v>0.001225966499999842</x:v>
      </x:c>
    </x:row>
    <x:row r="146" ht="19" customHeight="1">
      <x:c r="A146" s="7" t="n">
        <x:f>'Monthly data'!A146</x:f>
        <x:v>37257</x:v>
      </x:c>
      <x:c r="B146" s="8" t="n">
        <x:f>IF(ISNUMBER('Monthly data'!F146),LN(1+'Monthly data'!F146),"")</x:f>
        <x:v>4.728537599938376</x:v>
      </x:c>
      <x:c r="C146" s="8" t="n">
        <x:f>IF(ISNUMBER('Monthly data'!G146),LN(1+'Monthly data'!G146),"")</x:f>
        <x:v>3.4803658611557244</x:v>
      </x:c>
      <x:c r="D146" s="8" t="n">
        <x:f>IF(ISNUMBER('Monthly data'!H146),LN(1+'Monthly data'!H146),"")</x:f>
        <x:v>3.3263301469826034</x:v>
      </x:c>
      <x:c r="E146" s="8" t="n">
        <x:f>IF(ISNUMBER('Monthly data'!I146),LN(1+'Monthly data'!I146),"")</x:f>
        <x:v>3.3763683430995175</x:v>
      </x:c>
      <x:c r="F146" s="8" t="n">
        <x:f>IF(ISNUMBER('Monthly data'!J146),LN(1+'Monthly data'!J146),"")</x:f>
        <x:v>1.8101886046964222</x:v>
      </x:c>
      <x:c r="G146" s="8" t="n">
        <x:f>IF(ISNUMBER('Monthly data'!K146),LN(1+'Monthly data'!K146),"")</x:f>
        <x:v>1.7246398421227838</x:v>
      </x:c>
      <x:c r="H146" s="8" t="n">
        <x:f>IF(ISNUMBER('Monthly data'!L146),LN(1+'Monthly data'!L146),"")</x:f>
        <x:v>0.26290258108755804</x:v>
      </x:c>
      <x:c r="I146" s="8" t="n">
        <x:f>IF(ISNUMBER('Monthly data'!M146),LN(1+'Monthly data'!M146),"")</x:f>
        <x:v>1.0038985975956711</x:v>
      </x:c>
      <x:c r="J146" s="8" t="n">
        <x:f>IF(ISNUMBER('Monthly data'!N146),LN(1+'Monthly data'!N146),"")</x:f>
        <x:v>2.6950595197305436</x:v>
      </x:c>
      <x:c r="K146" s="8" t="n">
        <x:f>IF(COUNT('Monthly data'!F144:F146)=3,'Monthly data'!F146-2*'Monthly data'!F145+'Monthly data'!F144,"")</x:f>
        <x:v>-13.360000000000014</x:v>
      </x:c>
      <x:c r="L146" s="8" t="n">
        <x:f>IF(COUNT('Monthly data'!G144:G146)=3,'Monthly data'!G146-2*'Monthly data'!G145+'Monthly data'!G144,"")</x:f>
        <x:v>-20.462100000000007</x:v>
      </x:c>
      <x:c r="M146" s="8" t="n">
        <x:f>IF(COUNT('Monthly data'!H144:H146)=3,'Monthly data'!H146-2*'Monthly data'!H145+'Monthly data'!H144,"")</x:f>
        <x:v>4.1876</x:v>
      </x:c>
      <x:c r="N146" s="8" t="n">
        <x:f>IF(COUNT('Monthly data'!I144:I146)=3,'Monthly data'!I146-2*'Monthly data'!I145+'Monthly data'!I144,"")</x:f>
        <x:v>-2.0150000000000077</x:v>
      </x:c>
      <x:c r="O146" s="8" t="n">
        <x:f>IF(COUNT('Monthly data'!J144:J146)=3,'Monthly data'!J146-2*'Monthly data'!J145+'Monthly data'!J144,"")</x:f>
        <x:v>2.308</x:v>
      </x:c>
      <x:c r="P146" s="8" t="n">
        <x:f>IF(COUNT('Monthly data'!K144:K146)=3,'Monthly data'!K146-2*'Monthly data'!K145+'Monthly data'!K144,"")</x:f>
        <x:v>4.5631</x:v>
      </x:c>
      <x:c r="Q146" s="8" t="n">
        <x:f>IF(COUNT('Monthly data'!L144:L146)=3,'Monthly data'!L146-2*'Monthly data'!L145+'Monthly data'!L144,"")</x:f>
        <x:v>-1.6213</x:v>
      </x:c>
      <x:c r="R146" s="8" t="n">
        <x:f>IF(COUNT('Monthly data'!M144:M146)=3,'Monthly data'!M146-2*'Monthly data'!M145+'Monthly data'!M144,"")</x:f>
        <x:v>-2.4957000000000003</x:v>
      </x:c>
      <x:c r="S146" s="8" t="n">
        <x:f>IF(COUNT('Monthly data'!N144:N146)=3,'Monthly data'!N146-2*'Monthly data'!N145+'Monthly data'!N144,"")</x:f>
        <x:v>2.1752000000000002</x:v>
      </x:c>
      <x:c r="T146" s="8" t="n">
        <x:f>IF(COUNT('Monthly data'!E145:E146)=2,'Monthly data'!E146-'Monthly data'!E145,"")</x:f>
        <x:v>-0.006324549299998594</x:v>
      </x:c>
    </x:row>
    <x:row r="147" ht="19" customHeight="1">
      <x:c r="A147" s="7" t="n">
        <x:f>'Monthly data'!A147</x:f>
        <x:v>37288</x:v>
      </x:c>
      <x:c r="B147" s="8" t="n">
        <x:f>IF(ISNUMBER('Monthly data'!F147),LN(1+'Monthly data'!F147),"")</x:f>
        <x:v>4.717784330357226</x:v>
      </x:c>
      <x:c r="C147" s="8" t="n">
        <x:f>IF(ISNUMBER('Monthly data'!G147),LN(1+'Monthly data'!G147),"")</x:f>
        <x:v>3.4487900036672925</x:v>
      </x:c>
      <x:c r="D147" s="8" t="n">
        <x:f>IF(ISNUMBER('Monthly data'!H147),LN(1+'Monthly data'!H147),"")</x:f>
        <x:v>3.382062131620227</x:v>
      </x:c>
      <x:c r="E147" s="8" t="n">
        <x:f>IF(ISNUMBER('Monthly data'!I147),LN(1+'Monthly data'!I147),"")</x:f>
        <x:v>3.3332254174434217</x:v>
      </x:c>
      <x:c r="F147" s="8" t="n">
        <x:f>IF(ISNUMBER('Monthly data'!J147),LN(1+'Monthly data'!J147),"")</x:f>
        <x:v>2.062727639357692</x:v>
      </x:c>
      <x:c r="G147" s="8" t="n">
        <x:f>IF(ISNUMBER('Monthly data'!K147),LN(1+'Monthly data'!K147),"")</x:f>
        <x:v>1.2484967382054017</x:v>
      </x:c>
      <x:c r="H147" s="8" t="n">
        <x:f>IF(ISNUMBER('Monthly data'!L147),LN(1+'Monthly data'!L147),"")</x:f>
        <x:v>0.5431960037964414</x:v>
      </x:c>
      <x:c r="I147" s="8" t="n">
        <x:f>IF(ISNUMBER('Monthly data'!M147),LN(1+'Monthly data'!M147),"")</x:f>
        <x:v>0.807591314950814</x:v>
      </x:c>
      <x:c r="J147" s="8" t="n">
        <x:f>IF(ISNUMBER('Monthly data'!N147),LN(1+'Monthly data'!N147),"")</x:f>
        <x:v>2.6865745751238417</x:v>
      </x:c>
      <x:c r="K147" s="8" t="n">
        <x:f>IF(COUNT('Monthly data'!F145:F147)=3,'Monthly data'!F147-2*'Monthly data'!F146+'Monthly data'!F145,"")</x:f>
        <x:v>43.13000000000001</x:v>
      </x:c>
      <x:c r="L147" s="8" t="n">
        <x:f>IF(COUNT('Monthly data'!G145:G147)=3,'Monthly data'!G147-2*'Monthly data'!G146+'Monthly data'!G145,"")</x:f>
        <x:v>26.587200000000003</x:v>
      </x:c>
      <x:c r="M147" s="8" t="n">
        <x:f>IF(COUNT('Monthly data'!H145:H147)=3,'Monthly data'!H147-2*'Monthly data'!H146+'Monthly data'!H145,"")</x:f>
        <x:v>0.015600000000002723</x:v>
      </x:c>
      <x:c r="N147" s="8" t="n">
        <x:f>IF(COUNT('Monthly data'!I145:I147)=3,'Monthly data'!I147-2*'Monthly data'!I146+'Monthly data'!I145,"")</x:f>
        <x:v>14.666200000000007</x:v>
      </x:c>
      <x:c r="O147" s="8" t="n">
        <x:f>IF(COUNT('Monthly data'!J145:J147)=3,'Monthly data'!J147-2*'Monthly data'!J146+'Monthly data'!J145,"")</x:f>
        <x:v>1.3716999999999997</x:v>
      </x:c>
      <x:c r="P147" s="8" t="n">
        <x:f>IF(COUNT('Monthly data'!K145:K147)=3,'Monthly data'!K147-2*'Monthly data'!K146+'Monthly data'!K145,"")</x:f>
        <x:v>-3.7041</x:v>
      </x:c>
      <x:c r="Q147" s="8" t="n">
        <x:f>IF(COUNT('Monthly data'!L145:L147)=3,'Monthly data'!L147-2*'Monthly data'!L146+'Monthly data'!L145,"")</x:f>
        <x:v>1.2248999999999999</x:v>
      </x:c>
      <x:c r="R147" s="8" t="n">
        <x:f>IF(COUNT('Monthly data'!M145:M147)=3,'Monthly data'!M147-2*'Monthly data'!M146+'Monthly data'!M145,"")</x:f>
        <x:v>0.6880000000000002</x:v>
      </x:c>
      <x:c r="S147" s="8" t="n">
        <x:f>IF(COUNT('Monthly data'!N145:N147)=3,'Monthly data'!N147-2*'Monthly data'!N146+'Monthly data'!N145,"")</x:f>
        <x:v>2.2806999999999995</x:v>
      </x:c>
      <x:c r="T147" s="8" t="n">
        <x:f>IF(COUNT('Monthly data'!E146:E147)=2,'Monthly data'!E147-'Monthly data'!E146,"")</x:f>
        <x:v>0.0020936347999995775</x:v>
      </x:c>
    </x:row>
    <x:row r="148" ht="19" customHeight="1">
      <x:c r="A148" s="7" t="n">
        <x:f>'Monthly data'!A148</x:f>
        <x:v>37316</x:v>
      </x:c>
      <x:c r="B148" s="8" t="n">
        <x:f>IF(ISNUMBER('Monthly data'!F148),LN(1+'Monthly data'!F148),"")</x:f>
        <x:v>4.816726868050381</x:v>
      </x:c>
      <x:c r="C148" s="8" t="n">
        <x:f>IF(ISNUMBER('Monthly data'!G148),LN(1+'Monthly data'!G148),"")</x:f>
        <x:v>3.759848039259341</x:v>
      </x:c>
      <x:c r="D148" s="8" t="n">
        <x:f>IF(ISNUMBER('Monthly data'!H148),LN(1+'Monthly data'!H148),"")</x:f>
        <x:v>3.377509014648354</x:v>
      </x:c>
      <x:c r="E148" s="8" t="n">
        <x:f>IF(ISNUMBER('Monthly data'!I148),LN(1+'Monthly data'!I148),"")</x:f>
        <x:v>3.2231028782764772</x:v>
      </x:c>
      <x:c r="F148" s="8" t="n">
        <x:f>IF(ISNUMBER('Monthly data'!J148),LN(1+'Monthly data'!J148),"")</x:f>
        <x:v>2.2287878417923377</x:v>
      </x:c>
      <x:c r="G148" s="8" t="n">
        <x:f>IF(ISNUMBER('Monthly data'!K148),LN(1+'Monthly data'!K148),"")</x:f>
        <x:v>1.7655694861378142</x:v>
      </x:c>
      <x:c r="H148" s="8" t="n">
        <x:f>IF(ISNUMBER('Monthly data'!L148),LN(1+'Monthly data'!L148),"")</x:f>
        <x:v>0.26903427807929786</x:v>
      </x:c>
      <x:c r="I148" s="8" t="n">
        <x:f>IF(ISNUMBER('Monthly data'!M148),LN(1+'Monthly data'!M148),"")</x:f>
        <x:v>1.2509613465487397</x:v>
      </x:c>
      <x:c r="J148" s="8" t="n">
        <x:f>IF(ISNUMBER('Monthly data'!N148),LN(1+'Monthly data'!N148),"")</x:f>
        <x:v>2.5861537168042843</x:v>
      </x:c>
      <x:c r="K148" s="8" t="n">
        <x:f>IF(COUNT('Monthly data'!F146:F148)=3,'Monthly data'!F148-2*'Monthly data'!F147+'Monthly data'!F146,"")</x:f>
        <x:v>12.849999999999994</x:v>
      </x:c>
      <x:c r="L148" s="8" t="n">
        <x:f>IF(COUNT('Monthly data'!G146:G148)=3,'Monthly data'!G148-2*'Monthly data'!G147+'Monthly data'!G146,"")</x:f>
        <x:v>12.488899999999997</x:v>
      </x:c>
      <x:c r="M148" s="8" t="n">
        <x:f>IF(COUNT('Monthly data'!H146:H148)=3,'Monthly data'!H148-2*'Monthly data'!H147+'Monthly data'!H146,"")</x:f>
        <x:v>-1.7291000000000025</x:v>
      </x:c>
      <x:c r="N148" s="8" t="n">
        <x:f>IF(COUNT('Monthly data'!I146:I148)=3,'Monthly data'!I148-2*'Monthly data'!I147+'Monthly data'!I146,"")</x:f>
        <x:v>-1.6870000000000047</x:v>
      </x:c>
      <x:c r="O148" s="8" t="n">
        <x:f>IF(COUNT('Monthly data'!J146:J148)=3,'Monthly data'!J148-2*'Monthly data'!J147+'Monthly data'!J146,"")</x:f>
        <x:v>-0.3345999999999991</x:v>
      </x:c>
      <x:c r="P148" s="8" t="n">
        <x:f>IF(COUNT('Monthly data'!K146:K148)=3,'Monthly data'!K148-2*'Monthly data'!K147+'Monthly data'!K146,"")</x:f>
        <x:v>4.4852</x:v>
      </x:c>
      <x:c r="Q148" s="8" t="n">
        <x:f>IF(COUNT('Monthly data'!L146:L148)=3,'Monthly data'!L148-2*'Monthly data'!L147+'Monthly data'!L146,"")</x:f>
        <x:v>-0.8336000000000001</x:v>
      </x:c>
      <x:c r="R148" s="8" t="n">
        <x:f>IF(COUNT('Monthly data'!M146:M148)=3,'Monthly data'!M148-2*'Monthly data'!M147+'Monthly data'!M146,"")</x:f>
        <x:v>1.7376000000000003</x:v>
      </x:c>
      <x:c r="S148" s="8" t="n">
        <x:f>IF(COUNT('Monthly data'!N146:N148)=3,'Monthly data'!N148-2*'Monthly data'!N147+'Monthly data'!N146,"")</x:f>
        <x:v>-1.2775999999999996</x:v>
      </x:c>
      <x:c r="T148" s="8" t="n">
        <x:f>IF(COUNT('Monthly data'!E147:E148)=2,'Monthly data'!E148-'Monthly data'!E147,"")</x:f>
        <x:v>-0.009020723000000785</x:v>
      </x:c>
    </x:row>
    <x:row r="149" ht="19" customHeight="1">
      <x:c r="A149" s="7" t="n">
        <x:f>'Monthly data'!A149</x:f>
        <x:v>37347</x:v>
      </x:c>
      <x:c r="B149" s="8" t="n">
        <x:f>IF(ISNUMBER('Monthly data'!F149),LN(1+'Monthly data'!F149),"")</x:f>
        <x:v>4.905793162572673</x:v>
      </x:c>
      <x:c r="C149" s="8" t="n">
        <x:f>IF(ISNUMBER('Monthly data'!G149),LN(1+'Monthly data'!G149),"")</x:f>
        <x:v>3.979070252080682</x:v>
      </x:c>
      <x:c r="D149" s="8" t="n">
        <x:f>IF(ISNUMBER('Monthly data'!H149),LN(1+'Monthly data'!H149),"")</x:f>
        <x:v>3.4009406820509627</x:v>
      </x:c>
      <x:c r="E149" s="8" t="n">
        <x:f>IF(ISNUMBER('Monthly data'!I149),LN(1+'Monthly data'!I149),"")</x:f>
        <x:v>3.206118798928769</x:v>
      </x:c>
      <x:c r="F149" s="8" t="n">
        <x:f>IF(ISNUMBER('Monthly data'!J149),LN(1+'Monthly data'!J149),"")</x:f>
        <x:v>1.936408003466409</x:v>
      </x:c>
      <x:c r="G149" s="8" t="n">
        <x:f>IF(ISNUMBER('Monthly data'!K149),LN(1+'Monthly data'!K149),"")</x:f>
        <x:v>0.9706273905271294</x:v>
      </x:c>
      <x:c r="H149" s="8" t="n">
        <x:f>IF(ISNUMBER('Monthly data'!L149),LN(1+'Monthly data'!L149),"")</x:f>
        <x:v>1.8724788709694304</x:v>
      </x:c>
      <x:c r="I149" s="8" t="n">
        <x:f>IF(ISNUMBER('Monthly data'!M149),LN(1+'Monthly data'!M149),"")</x:f>
        <x:v>1.0912183541143974</x:v>
      </x:c>
      <x:c r="J149" s="8" t="n">
        <x:f>IF(ISNUMBER('Monthly data'!N149),LN(1+'Monthly data'!N149),"")</x:f>
        <x:v>2.699453353876692</x:v>
      </x:c>
      <x:c r="K149" s="8" t="n">
        <x:f>IF(COUNT('Monthly data'!F147:F149)=3,'Monthly data'!F149-2*'Monthly data'!F148+'Monthly data'!F147,"")</x:f>
        <x:v>-0.13000000000000966</x:v>
      </x:c>
      <x:c r="L149" s="8" t="n">
        <x:f>IF(COUNT('Monthly data'!G147:G149)=3,'Monthly data'!G149-2*'Monthly data'!G148+'Monthly data'!G147,"")</x:f>
        <x:v>-0.954199999999993</x:v>
      </x:c>
      <x:c r="M149" s="8" t="n">
        <x:f>IF(COUNT('Monthly data'!H147:H149)=3,'Monthly data'!H149-2*'Monthly data'!H148+'Monthly data'!H147,"")</x:f>
        <x:v>0.8283000000000023</x:v>
      </x:c>
      <x:c r="N149" s="8" t="n">
        <x:f>IF(COUNT('Monthly data'!I147:I149)=3,'Monthly data'!I149-2*'Monthly data'!I148+'Monthly data'!I147,"")</x:f>
        <x:v>2.499900000000004</x:v>
      </x:c>
      <x:c r="O149" s="8" t="n">
        <x:f>IF(COUNT('Monthly data'!J147:J149)=3,'Monthly data'!J149-2*'Monthly data'!J148+'Monthly data'!J147,"")</x:f>
        <x:v>-3.7760000000000016</x:v>
      </x:c>
      <x:c r="P149" s="8" t="n">
        <x:f>IF(COUNT('Monthly data'!K147:K149)=3,'Monthly data'!K149-2*'Monthly data'!K148+'Monthly data'!K147,"")</x:f>
        <x:v>-5.5651</x:v>
      </x:c>
      <x:c r="Q149" s="8" t="n">
        <x:f>IF(COUNT('Monthly data'!L147:L149)=3,'Monthly data'!L149-2*'Monthly data'!L148+'Monthly data'!L147,"")</x:f>
        <x:v>5.6085</x:v>
      </x:c>
      <x:c r="R149" s="8" t="n">
        <x:f>IF(COUNT('Monthly data'!M147:M149)=3,'Monthly data'!M149-2*'Monthly data'!M148+'Monthly data'!M147,"")</x:f>
        <x:v>-1.7670000000000001</x:v>
      </x:c>
      <x:c r="S149" s="8" t="n">
        <x:f>IF(COUNT('Monthly data'!N147:N149)=3,'Monthly data'!N149-2*'Monthly data'!N148+'Monthly data'!N147,"")</x:f>
        <x:v>2.9956999999999994</x:v>
      </x:c>
      <x:c r="T149" s="8" t="n">
        <x:f>IF(COUNT('Monthly data'!E148:E149)=2,'Monthly data'!E149-'Monthly data'!E148,"")</x:f>
        <x:v>-0.013330905000000115</x:v>
      </x:c>
    </x:row>
    <x:row r="150" ht="19" customHeight="1">
      <x:c r="A150" s="7" t="n">
        <x:f>'Monthly data'!A150</x:f>
        <x:v>37377</x:v>
      </x:c>
      <x:c r="B150" s="8" t="n">
        <x:f>IF(ISNUMBER('Monthly data'!F150),LN(1+'Monthly data'!F150),"")</x:f>
        <x:v>4.7770204429147505</x:v>
      </x:c>
      <x:c r="C150" s="8" t="n">
        <x:f>IF(ISNUMBER('Monthly data'!G150),LN(1+'Monthly data'!G150),"")</x:f>
        <x:v>3.4129513654829915</x:v>
      </x:c>
      <x:c r="D150" s="8" t="n">
        <x:f>IF(ISNUMBER('Monthly data'!H150),LN(1+'Monthly data'!H150),"")</x:f>
        <x:v>3.3729453585460565</x:v>
      </x:c>
      <x:c r="E150" s="8" t="n">
        <x:f>IF(ISNUMBER('Monthly data'!I150),LN(1+'Monthly data'!I150),"")</x:f>
        <x:v>3.556564464228681</x:v>
      </x:c>
      <x:c r="F150" s="8" t="n">
        <x:f>IF(ISNUMBER('Monthly data'!J150),LN(1+'Monthly data'!J150),"")</x:f>
        <x:v>1.9442945589779117</x:v>
      </x:c>
      <x:c r="G150" s="8" t="n">
        <x:f>IF(ISNUMBER('Monthly data'!K150),LN(1+'Monthly data'!K150),"")</x:f>
        <x:v>1.742656756220323</x:v>
      </x:c>
      <x:c r="H150" s="8" t="n">
        <x:f>IF(ISNUMBER('Monthly data'!L150),LN(1+'Monthly data'!L150),"")</x:f>
        <x:v>0.7671408604682716</x:v>
      </x:c>
      <x:c r="I150" s="8" t="n">
        <x:f>IF(ISNUMBER('Monthly data'!M150),LN(1+'Monthly data'!M150),"")</x:f>
        <x:v>1.3600017191649667</x:v>
      </x:c>
      <x:c r="J150" s="8" t="n">
        <x:f>IF(ISNUMBER('Monthly data'!N150),LN(1+'Monthly data'!N150),"")</x:f>
        <x:v>2.520716102484711</x:v>
      </x:c>
      <x:c r="K150" s="8" t="n">
        <x:f>IF(COUNT('Monthly data'!F148:F150)=3,'Monthly data'!F150-2*'Monthly data'!F149+'Monthly data'!F148,"")</x:f>
        <x:v>-27.829999999999984</x:v>
      </x:c>
      <x:c r="L150" s="8" t="n">
        <x:f>IF(COUNT('Monthly data'!G148:G150)=3,'Monthly data'!G150-2*'Monthly data'!G149+'Monthly data'!G148,"")</x:f>
        <x:v>-33.63800000000001</x:v>
      </x:c>
      <x:c r="M150" s="8" t="n">
        <x:f>IF(COUNT('Monthly data'!H148:H150)=3,'Monthly data'!H150-2*'Monthly data'!H149+'Monthly data'!H148,"")</x:f>
        <x:v>-1.5226000000000006</x:v>
      </x:c>
      <x:c r="N150" s="8" t="n">
        <x:f>IF(COUNT('Monthly data'!I148:I150)=3,'Monthly data'!I150-2*'Monthly data'!I149+'Monthly data'!I148,"")</x:f>
        <x:v>10.7823</x:v>
      </x:c>
      <x:c r="O150" s="8" t="n">
        <x:f>IF(COUNT('Monthly data'!J148:J150)=3,'Monthly data'!J150-2*'Monthly data'!J149+'Monthly data'!J148,"")</x:f>
        <x:v>2.409700000000001</x:v>
      </x:c>
      <x:c r="P150" s="8" t="n">
        <x:f>IF(COUNT('Monthly data'!K148:K150)=3,'Monthly data'!K150-2*'Monthly data'!K149+'Monthly data'!K148,"")</x:f>
        <x:v>6.2782</x:v>
      </x:c>
      <x:c r="Q150" s="8" t="n">
        <x:f>IF(COUNT('Monthly data'!L148:L150)=3,'Monthly data'!L150-2*'Monthly data'!L149+'Monthly data'!L148,"")</x:f>
        <x:v>-9.5465</x:v>
      </x:c>
      <x:c r="R150" s="8" t="n">
        <x:f>IF(COUNT('Monthly data'!M148:M150)=3,'Monthly data'!M150-2*'Monthly data'!M149+'Monthly data'!M148,"")</x:f>
        <x:v>1.4341</x:v>
      </x:c>
      <x:c r="S150" s="8" t="n">
        <x:f>IF(COUNT('Monthly data'!N148:N150)=3,'Monthly data'!N150-2*'Monthly data'!N149+'Monthly data'!N148,"")</x:f>
        <x:v>-4.027100000000001</x:v>
      </x:c>
      <x:c r="T150" s="8" t="n">
        <x:f>IF(COUNT('Monthly data'!E149:E150)=2,'Monthly data'!E150-'Monthly data'!E149,"")</x:f>
        <x:v>0.012325702800000116</x:v>
      </x:c>
    </x:row>
    <x:row r="151" ht="19" customHeight="1">
      <x:c r="A151" s="7" t="n">
        <x:f>'Monthly data'!A151</x:f>
        <x:v>37408</x:v>
      </x:c>
      <x:c r="B151" s="8" t="n">
        <x:f>IF(ISNUMBER('Monthly data'!F151),LN(1+'Monthly data'!F151),"")</x:f>
        <x:v>4.764990477435532</x:v>
      </x:c>
      <x:c r="C151" s="8" t="n">
        <x:f>IF(ISNUMBER('Monthly data'!G151),LN(1+'Monthly data'!G151),"")</x:f>
        <x:v>3.2638071246166143</x:v>
      </x:c>
      <x:c r="D151" s="8" t="n">
        <x:f>IF(ISNUMBER('Monthly data'!H151),LN(1+'Monthly data'!H151),"")</x:f>
        <x:v>3.3858772927625136</x:v>
      </x:c>
      <x:c r="E151" s="8" t="n">
        <x:f>IF(ISNUMBER('Monthly data'!I151),LN(1+'Monthly data'!I151),"")</x:f>
        <x:v>3.609852480407951</x:v>
      </x:c>
      <x:c r="F151" s="8" t="n">
        <x:f>IF(ISNUMBER('Monthly data'!J151),LN(1+'Monthly data'!J151),"")</x:f>
        <x:v>1.5381781878617253</x:v>
      </x:c>
      <x:c r="G151" s="8" t="n">
        <x:f>IF(ISNUMBER('Monthly data'!K151),LN(1+'Monthly data'!K151),"")</x:f>
        <x:v>2.1239965597891985</x:v>
      </x:c>
      <x:c r="H151" s="8" t="n">
        <x:f>IF(ISNUMBER('Monthly data'!L151),LN(1+'Monthly data'!L151),"")</x:f>
        <x:v>0.7152021713407766</x:v>
      </x:c>
      <x:c r="I151" s="8" t="n">
        <x:f>IF(ISNUMBER('Monthly data'!M151),LN(1+'Monthly data'!M151),"")</x:f>
        <x:v>0.5181983780954038</x:v>
      </x:c>
      <x:c r="J151" s="8" t="n">
        <x:f>IF(ISNUMBER('Monthly data'!N151),LN(1+'Monthly data'!N151),"")</x:f>
        <x:v>2.703533348799623</x:v>
      </x:c>
      <x:c r="K151" s="8" t="n">
        <x:f>IF(COUNT('Monthly data'!F149:F151)=3,'Monthly data'!F151-2*'Monthly data'!F150+'Monthly data'!F149,"")</x:f>
        <x:v>14.899999999999991</x:v>
      </x:c>
      <x:c r="L151" s="8" t="n">
        <x:f>IF(COUNT('Monthly data'!G149:G151)=3,'Monthly data'!G151-2*'Monthly data'!G150+'Monthly data'!G149,"")</x:f>
        <x:v>18.906799999999997</x:v>
      </x:c>
      <x:c r="M151" s="8" t="n">
        <x:f>IF(COUNT('Monthly data'!H149:H151)=3,'Monthly data'!H151-2*'Monthly data'!H150+'Monthly data'!H149,"")</x:f>
        <x:v>1.2075999999999993</x:v>
      </x:c>
      <x:c r="N151" s="8" t="n">
        <x:f>IF(COUNT('Monthly data'!I149:I151)=3,'Monthly data'!I151-2*'Monthly data'!I150+'Monthly data'!I149,"")</x:f>
        <x:v>-8.441500000000001</x:v>
      </x:c>
      <x:c r="O151" s="8" t="n">
        <x:f>IF(COUNT('Monthly data'!J149:J151)=3,'Monthly data'!J151-2*'Monthly data'!J150+'Monthly data'!J149,"")</x:f>
        <x:v>-2.3874999999999993</x:v>
      </x:c>
      <x:c r="P151" s="8" t="n">
        <x:f>IF(COUNT('Monthly data'!K149:K151)=3,'Monthly data'!K151-2*'Monthly data'!K150+'Monthly data'!K149,"")</x:f>
        <x:v>-0.42090000000000116</x:v>
      </x:c>
      <x:c r="Q151" s="8" t="n">
        <x:f>IF(COUNT('Monthly data'!L149:L151)=3,'Monthly data'!L151-2*'Monthly data'!L150+'Monthly data'!L149,"")</x:f>
        <x:v>4.2418000000000005</x:v>
      </x:c>
      <x:c r="R151" s="8" t="n">
        <x:f>IF(COUNT('Monthly data'!M149:M151)=3,'Monthly data'!M151-2*'Monthly data'!M150+'Monthly data'!M149,"")</x:f>
        <x:v>-3.1354999999999995</x:v>
      </x:c>
      <x:c r="S151" s="8" t="n">
        <x:f>IF(COUNT('Monthly data'!N149:N151)=3,'Monthly data'!N151-2*'Monthly data'!N150+'Monthly data'!N149,"")</x:f>
        <x:v>4.929</x:v>
      </x:c>
      <x:c r="T151" s="8" t="n">
        <x:f>IF(COUNT('Monthly data'!E150:E151)=2,'Monthly data'!E151-'Monthly data'!E150,"")</x:f>
        <x:v>0.0006635606999996213</x:v>
      </x:c>
    </x:row>
    <x:row r="152" ht="19" customHeight="1">
      <x:c r="A152" s="7" t="n">
        <x:f>'Monthly data'!A152</x:f>
        <x:v>37438</x:v>
      </x:c>
      <x:c r="B152" s="8" t="n">
        <x:f>IF(ISNUMBER('Monthly data'!F152),LN(1+'Monthly data'!F152),"")</x:f>
        <x:v>4.590868401277231</x:v>
      </x:c>
      <x:c r="C152" s="8" t="n">
        <x:f>IF(ISNUMBER('Monthly data'!G152),LN(1+'Monthly data'!G152),"")</x:f>
        <x:v>3.3396410759630495</x:v>
      </x:c>
      <x:c r="D152" s="8" t="n">
        <x:f>IF(ISNUMBER('Monthly data'!H152),LN(1+'Monthly data'!H152),"")</x:f>
        <x:v>3.165753490385104</x:v>
      </x:c>
      <x:c r="E152" s="8" t="n">
        <x:f>IF(ISNUMBER('Monthly data'!I152),LN(1+'Monthly data'!I152),"")</x:f>
        <x:v>3.3126794157917736</x:v>
      </x:c>
      <x:c r="F152" s="8" t="n">
        <x:f>IF(ISNUMBER('Monthly data'!J152),LN(1+'Monthly data'!J152),"")</x:f>
        <x:v>1.620911834507728</x:v>
      </x:c>
      <x:c r="G152" s="8" t="n">
        <x:f>IF(ISNUMBER('Monthly data'!K152),LN(1+'Monthly data'!K152),"")</x:f>
        <x:v>1.2451627311507987</x:v>
      </x:c>
      <x:c r="H152" s="8" t="n">
        <x:f>IF(ISNUMBER('Monthly data'!L152),LN(1+'Monthly data'!L152),"")</x:f>
        <x:v>0.6508657883033392</x:v>
      </x:c>
      <x:c r="I152" s="8" t="n">
        <x:f>IF(ISNUMBER('Monthly data'!M152),LN(1+'Monthly data'!M152),"")</x:f>
        <x:v>0.6933971493151525</x:v>
      </x:c>
      <x:c r="J152" s="8" t="n">
        <x:f>IF(ISNUMBER('Monthly data'!N152),LN(1+'Monthly data'!N152),"")</x:f>
        <x:v>2.6215332473198254</x:v>
      </x:c>
      <x:c r="K152" s="8" t="n">
        <x:f>IF(COUNT('Monthly data'!F150:F152)=3,'Monthly data'!F152-2*'Monthly data'!F151+'Monthly data'!F150,"")</x:f>
        <x:v>-17.329999999999984</x:v>
      </x:c>
      <x:c r="L152" s="8" t="n">
        <x:f>IF(COUNT('Monthly data'!G150:G152)=3,'Monthly data'!G152-2*'Monthly data'!G151+'Monthly data'!G150,"")</x:f>
        <x:v>6.2658999999999985</x:v>
      </x:c>
      <x:c r="M152" s="8" t="n">
        <x:f>IF(COUNT('Monthly data'!H150:H152)=3,'Monthly data'!H152-2*'Monthly data'!H151+'Monthly data'!H150,"")</x:f>
        <x:v>-6.216899999999999</x:v>
      </x:c>
      <x:c r="N152" s="8" t="n">
        <x:f>IF(COUNT('Monthly data'!I150:I152)=3,'Monthly data'!I152-2*'Monthly data'!I151+'Monthly data'!I150,"")</x:f>
        <x:v>-11.419999999999995</x:v>
      </x:c>
      <x:c r="O152" s="8" t="n">
        <x:f>IF(COUNT('Monthly data'!J150:J152)=3,'Monthly data'!J152-2*'Monthly data'!J151+'Monthly data'!J150,"")</x:f>
        <x:v>2.7341999999999995</x:v>
      </x:c>
      <x:c r="P152" s="8" t="n">
        <x:f>IF(COUNT('Monthly data'!K150:K152)=3,'Monthly data'!K152-2*'Monthly data'!K151+'Monthly data'!K150,"")</x:f>
        <x:v>-7.542999999999999</x:v>
      </x:c>
      <x:c r="Q152" s="8" t="n">
        <x:f>IF(COUNT('Monthly data'!L150:L152)=3,'Monthly data'!L152-2*'Monthly data'!L151+'Monthly data'!L150,"")</x:f>
        <x:v>-0.018399999999999972</x:v>
      </x:c>
      <x:c r="R152" s="8" t="n">
        <x:f>IF(COUNT('Monthly data'!M150:M152)=3,'Monthly data'!M152-2*'Monthly data'!M151+'Monthly data'!M150,"")</x:f>
        <x:v>2.5386999999999995</x:v>
      </x:c>
      <x:c r="S152" s="8" t="n">
        <x:f>IF(COUNT('Monthly data'!N150:N152)=3,'Monthly data'!N152-2*'Monthly data'!N151+'Monthly data'!N150,"")</x:f>
        <x:v>-3.6704999999999988</x:v>
      </x:c>
      <x:c r="T152" s="8" t="n">
        <x:f>IF(COUNT('Monthly data'!E151:E152)=2,'Monthly data'!E152-'Monthly data'!E151,"")</x:f>
        <x:v>0.01356824960000047</x:v>
      </x:c>
    </x:row>
    <x:row r="153" ht="19" customHeight="1">
      <x:c r="A153" s="7" t="n">
        <x:f>'Monthly data'!A153</x:f>
        <x:v>37469</x:v>
      </x:c>
      <x:c r="B153" s="8" t="n">
        <x:f>IF(ISNUMBER('Monthly data'!F153),LN(1+'Monthly data'!F153),"")</x:f>
        <x:v>4.675815025557423</x:v>
      </x:c>
      <x:c r="C153" s="8" t="n">
        <x:f>IF(ISNUMBER('Monthly data'!G153),LN(1+'Monthly data'!G153),"")</x:f>
        <x:v>3.5551108905094573</x:v>
      </x:c>
      <x:c r="D153" s="8" t="n">
        <x:f>IF(ISNUMBER('Monthly data'!H153),LN(1+'Monthly data'!H153),"")</x:f>
        <x:v>3.3601010439576946</x:v>
      </x:c>
      <x:c r="E153" s="8" t="n">
        <x:f>IF(ISNUMBER('Monthly data'!I153),LN(1+'Monthly data'!I153),"")</x:f>
        <x:v>3.2137024660942033</x:v>
      </x:c>
      <x:c r="F153" s="8" t="n">
        <x:f>IF(ISNUMBER('Monthly data'!J153),LN(1+'Monthly data'!J153),"")</x:f>
        <x:v>1.4915998752651616</x:v>
      </x:c>
      <x:c r="G153" s="8" t="n">
        <x:f>IF(ISNUMBER('Monthly data'!K153),LN(1+'Monthly data'!K153),"")</x:f>
        <x:v>1.4237828055308823</x:v>
      </x:c>
      <x:c r="H153" s="8" t="n">
        <x:f>IF(ISNUMBER('Monthly data'!L153),LN(1+'Monthly data'!L153),"")</x:f>
        <x:v>0.5549190612765021</x:v>
      </x:c>
      <x:c r="I153" s="8" t="n">
        <x:f>IF(ISNUMBER('Monthly data'!M153),LN(1+'Monthly data'!M153),"")</x:f>
        <x:v>0.9515034236298975</x:v>
      </x:c>
      <x:c r="J153" s="8" t="n">
        <x:f>IF(ISNUMBER('Monthly data'!N153),LN(1+'Monthly data'!N153),"")</x:f>
        <x:v>2.544495441199658</x:v>
      </x:c>
      <x:c r="K153" s="8" t="n">
        <x:f>IF(COUNT('Monthly data'!F151:F153)=3,'Monthly data'!F153-2*'Monthly data'!F152+'Monthly data'!F151,"")</x:f>
        <x:v>27.489999999999995</x:v>
      </x:c>
      <x:c r="L153" s="8" t="n">
        <x:f>IF(COUNT('Monthly data'!G151:G153)=3,'Monthly data'!G153-2*'Monthly data'!G152+'Monthly data'!G151,"")</x:f>
        <x:v>4.7226000000000035</x:v>
      </x:c>
      <x:c r="M153" s="8" t="n">
        <x:f>IF(COUNT('Monthly data'!H151:H153)=3,'Monthly data'!H153-2*'Monthly data'!H152+'Monthly data'!H151,"")</x:f>
        <x:v>10.922799999999999</x:v>
      </x:c>
      <x:c r="N153" s="8" t="n">
        <x:f>IF(COUNT('Monthly data'!I151:I153)=3,'Monthly data'!I153-2*'Monthly data'!I152+'Monthly data'!I151,"")</x:f>
        <x:v>6.914399999999997</x:v>
      </x:c>
      <x:c r="O153" s="8" t="n">
        <x:f>IF(COUNT('Monthly data'!J151:J153)=3,'Monthly data'!J153-2*'Monthly data'!J152+'Monthly data'!J151,"")</x:f>
        <x:v>-1.015099999999999</x:v>
      </x:c>
      <x:c r="P153" s="8" t="n">
        <x:f>IF(COUNT('Monthly data'!K151:K153)=3,'Monthly data'!K153-2*'Monthly data'!K152+'Monthly data'!K151,"")</x:f>
        <x:v>5.5703</x:v>
      </x:c>
      <x:c r="Q153" s="8" t="n">
        <x:f>IF(COUNT('Monthly data'!L151:L153)=3,'Monthly data'!L153-2*'Monthly data'!L152+'Monthly data'!L151,"")</x:f>
        <x:v>-0.04800000000000004</x:v>
      </x:c>
      <x:c r="R153" s="8" t="n">
        <x:f>IF(COUNT('Monthly data'!M151:M153)=3,'Monthly data'!M153-2*'Monthly data'!M152+'Monthly data'!M151,"")</x:f>
        <x:v>0.26760000000000006</x:v>
      </x:c>
      <x:c r="S153" s="8" t="n">
        <x:f>IF(COUNT('Monthly data'!N151:N153)=3,'Monthly data'!N153-2*'Monthly data'!N152+'Monthly data'!N151,"")</x:f>
        <x:v>0.15559999999999974</x:v>
      </x:c>
      <x:c r="T153" s="8" t="n">
        <x:f>IF(COUNT('Monthly data'!E152:E153)=2,'Monthly data'!E153-'Monthly data'!E152,"")</x:f>
        <x:v>-0.004058495699998943</x:v>
      </x:c>
    </x:row>
    <x:row r="154" ht="19" customHeight="1">
      <x:c r="A154" s="7" t="n">
        <x:f>'Monthly data'!A154</x:f>
        <x:v>37500</x:v>
      </x:c>
      <x:c r="B154" s="8" t="n">
        <x:f>IF(ISNUMBER('Monthly data'!F154),LN(1+'Monthly data'!F154),"")</x:f>
        <x:v>4.912875449645338</x:v>
      </x:c>
      <x:c r="C154" s="8" t="n">
        <x:f>IF(ISNUMBER('Monthly data'!G154),LN(1+'Monthly data'!G154),"")</x:f>
        <x:v>3.8970981822787976</x:v>
      </x:c>
      <x:c r="D154" s="8" t="n">
        <x:f>IF(ISNUMBER('Monthly data'!H154),LN(1+'Monthly data'!H154),"")</x:f>
        <x:v>3.4748226182702013</x:v>
      </x:c>
      <x:c r="E154" s="8" t="n">
        <x:f>IF(ISNUMBER('Monthly data'!I154),LN(1+'Monthly data'!I154),"")</x:f>
        <x:v>3.6131829131603643</x:v>
      </x:c>
      <x:c r="F154" s="8" t="n">
        <x:f>IF(ISNUMBER('Monthly data'!J154),LN(1+'Monthly data'!J154),"")</x:f>
        <x:v>1.6285344081250888</x:v>
      </x:c>
      <x:c r="G154" s="8" t="n">
        <x:f>IF(ISNUMBER('Monthly data'!K154),LN(1+'Monthly data'!K154),"")</x:f>
        <x:v>1.5671565201774942</x:v>
      </x:c>
      <x:c r="H154" s="8" t="n">
        <x:f>IF(ISNUMBER('Monthly data'!L154),LN(1+'Monthly data'!L154),"")</x:f>
        <x:v>0.9528540711812018</x:v>
      </x:c>
      <x:c r="I154" s="8" t="n">
        <x:f>IF(ISNUMBER('Monthly data'!M154),LN(1+'Monthly data'!M154),"")</x:f>
        <x:v>0.647260297787469</x:v>
      </x:c>
      <x:c r="J154" s="8" t="n">
        <x:f>IF(ISNUMBER('Monthly data'!N154),LN(1+'Monthly data'!N154),"")</x:f>
        <x:v>2.302785072996712</x:v>
      </x:c>
      <x:c r="K154" s="8" t="n">
        <x:f>IF(COUNT('Monthly data'!F152:F154)=3,'Monthly data'!F154-2*'Monthly data'!F153+'Monthly data'!F152,"")</x:f>
        <x:v>19.970000000000013</x:v>
      </x:c>
      <x:c r="L154" s="8" t="n">
        <x:f>IF(COUNT('Monthly data'!G152:G154)=3,'Monthly data'!G154-2*'Monthly data'!G153+'Monthly data'!G152,"")</x:f>
        <x:v>7.4849</x:v>
      </x:c>
      <x:c r="M154" s="8" t="n">
        <x:f>IF(COUNT('Monthly data'!H152:H154)=3,'Monthly data'!H154-2*'Monthly data'!H153+'Monthly data'!H152,"")</x:f>
        <x:v>-1.5854999999999997</x:v>
      </x:c>
      <x:c r="N154" s="8" t="n">
        <x:f>IF(COUNT('Monthly data'!I152:I154)=3,'Monthly data'!I154-2*'Monthly data'!I153+'Monthly data'!I152,"")</x:f>
        <x:v>14.800500000000003</x:v>
      </x:c>
      <x:c r="O154" s="8" t="n">
        <x:f>IF(COUNT('Monthly data'!J152:J154)=3,'Monthly data'!J154-2*'Monthly data'!J153+'Monthly data'!J152,"")</x:f>
        <x:v>1.2656999999999998</x:v>
      </x:c>
      <x:c r="P154" s="8" t="n">
        <x:f>IF(COUNT('Monthly data'!K152:K154)=3,'Monthly data'!K154-2*'Monthly data'!K153+'Monthly data'!K152,"")</x:f>
        <x:v>-0.03909999999999991</x:v>
      </x:c>
      <x:c r="Q154" s="8" t="n">
        <x:f>IF(COUNT('Monthly data'!L152:L154)=3,'Monthly data'!L154-2*'Monthly data'!L153+'Monthly data'!L152,"")</x:f>
        <x:v>1.0267</x:v>
      </x:c>
      <x:c r="R154" s="8" t="n">
        <x:f>IF(COUNT('Monthly data'!M152:M154)=3,'Monthly data'!M154-2*'Monthly data'!M153+'Monthly data'!M152,"")</x:f>
        <x:v>-1.2684</x:v>
      </x:c>
      <x:c r="S154" s="8" t="n">
        <x:f>IF(COUNT('Monthly data'!N152:N154)=3,'Monthly data'!N154-2*'Monthly data'!N153+'Monthly data'!N152,"")</x:f>
        <x:v>-1.7148000000000003</x:v>
      </x:c>
      <x:c r="T154" s="8" t="n">
        <x:f>IF(COUNT('Monthly data'!E153:E154)=2,'Monthly data'!E154-'Monthly data'!E153,"")</x:f>
        <x:v>0.0006401310999990528</x:v>
      </x:c>
    </x:row>
    <x:row r="155" ht="19" customHeight="1">
      <x:c r="A155" s="7" t="n">
        <x:f>'Monthly data'!A155</x:f>
        <x:v>37530</x:v>
      </x:c>
      <x:c r="B155" s="8" t="n">
        <x:f>IF(ISNUMBER('Monthly data'!F155),LN(1+'Monthly data'!F155),"")</x:f>
        <x:v>4.9693965460796585</x:v>
      </x:c>
      <x:c r="C155" s="8" t="n">
        <x:f>IF(ISNUMBER('Monthly data'!G155),LN(1+'Monthly data'!G155),"")</x:f>
        <x:v>3.715925393019455</x:v>
      </x:c>
      <x:c r="D155" s="8" t="n">
        <x:f>IF(ISNUMBER('Monthly data'!H155),LN(1+'Monthly data'!H155),"")</x:f>
        <x:v>3.356684556620986</x:v>
      </x:c>
      <x:c r="E155" s="8" t="n">
        <x:f>IF(ISNUMBER('Monthly data'!I155),LN(1+'Monthly data'!I155),"")</x:f>
        <x:v>3.8942764629401743</x:v>
      </x:c>
      <x:c r="F155" s="8" t="n">
        <x:f>IF(ISNUMBER('Monthly data'!J155),LN(1+'Monthly data'!J155),"")</x:f>
        <x:v>1.868597045952643</x:v>
      </x:c>
      <x:c r="G155" s="8" t="n">
        <x:f>IF(ISNUMBER('Monthly data'!K155),LN(1+'Monthly data'!K155),"")</x:f>
        <x:v>2.247019527544337</x:v>
      </x:c>
      <x:c r="H155" s="8" t="n">
        <x:f>IF(ISNUMBER('Monthly data'!L155),LN(1+'Monthly data'!L155),"")</x:f>
        <x:v>0.6744229715616656</x:v>
      </x:c>
      <x:c r="I155" s="8" t="n">
        <x:f>IF(ISNUMBER('Monthly data'!M155),LN(1+'Monthly data'!M155),"")</x:f>
        <x:v>0.7952524034970989</x:v>
      </x:c>
      <x:c r="J155" s="8" t="n">
        <x:f>IF(ISNUMBER('Monthly data'!N155),LN(1+'Monthly data'!N155),"")</x:f>
        <x:v>2.4775882689803206</x:v>
      </x:c>
      <x:c r="K155" s="8" t="n">
        <x:f>IF(COUNT('Monthly data'!F153:F155)=3,'Monthly data'!F155-2*'Monthly data'!F154+'Monthly data'!F153,"")</x:f>
        <x:v>-20.80000000000001</x:v>
      </x:c>
      <x:c r="L155" s="8" t="n">
        <x:f>IF(COUNT('Monthly data'!G153:G155)=3,'Monthly data'!G155-2*'Monthly data'!G154+'Monthly data'!G153,"")</x:f>
        <x:v>-22.430300000000003</x:v>
      </x:c>
      <x:c r="M155" s="8" t="n">
        <x:f>IF(COUNT('Monthly data'!H153:H155)=3,'Monthly data'!H155-2*'Monthly data'!H154+'Monthly data'!H153,"")</x:f>
        <x:v>-7.098200000000002</x:v>
      </x:c>
      <x:c r="N155" s="8" t="n">
        <x:f>IF(COUNT('Monthly data'!I153:I155)=3,'Monthly data'!I155-2*'Monthly data'!I154+'Monthly data'!I153,"")</x:f>
        <x:v>-0.17630000000000123</x:v>
      </x:c>
      <x:c r="O155" s="8" t="n">
        <x:f>IF(COUNT('Monthly data'!J153:J155)=3,'Monthly data'!J155-2*'Monthly data'!J154+'Monthly data'!J153,"")</x:f>
        <x:v>0.7305999999999995</x:v>
      </x:c>
      <x:c r="P155" s="8" t="n">
        <x:f>IF(COUNT('Monthly data'!K153:K155)=3,'Monthly data'!K155-2*'Monthly data'!K154+'Monthly data'!K153,"")</x:f>
        <x:v>4.0263</x:v>
      </x:c>
      <x:c r="Q155" s="8" t="n">
        <x:f>IF(COUNT('Monthly data'!L153:L155)=3,'Monthly data'!L155-2*'Monthly data'!L154+'Monthly data'!L153,"")</x:f>
        <x:v>-1.4815</x:v>
      </x:c>
      <x:c r="R155" s="8" t="n">
        <x:f>IF(COUNT('Monthly data'!M153:M155)=3,'Monthly data'!M155-2*'Monthly data'!M154+'Monthly data'!M153,"")</x:f>
        <x:v>0.984</x:v>
      </x:c>
      <x:c r="S155" s="8" t="n">
        <x:f>IF(COUNT('Monthly data'!N153:N155)=3,'Monthly data'!N155-2*'Monthly data'!N154+'Monthly data'!N153,"")</x:f>
        <x:v>4.645299999999999</x:v>
      </x:c>
      <x:c r="T155" s="8" t="n">
        <x:f>IF(COUNT('Monthly data'!E154:E155)=2,'Monthly data'!E155-'Monthly data'!E154,"")</x:f>
        <x:v>0.020881527000000233</x:v>
      </x:c>
    </x:row>
    <x:row r="156" ht="19" customHeight="1">
      <x:c r="A156" s="7" t="n">
        <x:f>'Monthly data'!A156</x:f>
        <x:v>37561</x:v>
      </x:c>
      <x:c r="B156" s="8" t="n">
        <x:f>IF(ISNUMBER('Monthly data'!F156),LN(1+'Monthly data'!F156),"")</x:f>
        <x:v>4.811371016571989</x:v>
      </x:c>
      <x:c r="C156" s="8" t="n">
        <x:f>IF(ISNUMBER('Monthly data'!G156),LN(1+'Monthly data'!G156),"")</x:f>
        <x:v>3.4136594070532036</x:v>
      </x:c>
      <x:c r="D156" s="8" t="n">
        <x:f>IF(ISNUMBER('Monthly data'!H156),LN(1+'Monthly data'!H156),"")</x:f>
        <x:v>3.5008466189746104</x:v>
      </x:c>
      <x:c r="E156" s="8" t="n">
        <x:f>IF(ISNUMBER('Monthly data'!I156),LN(1+'Monthly data'!I156),"")</x:f>
        <x:v>3.5740408294219996</x:v>
      </x:c>
      <x:c r="F156" s="8" t="n">
        <x:f>IF(ISNUMBER('Monthly data'!J156),LN(1+'Monthly data'!J156),"")</x:f>
        <x:v>1.9755799021457454</x:v>
      </x:c>
      <x:c r="G156" s="8" t="n">
        <x:f>IF(ISNUMBER('Monthly data'!K156),LN(1+'Monthly data'!K156),"")</x:f>
        <x:v>1.683171528811156</x:v>
      </x:c>
      <x:c r="H156" s="8" t="n">
        <x:f>IF(ISNUMBER('Monthly data'!L156),LN(1+'Monthly data'!L156),"")</x:f>
        <x:v>0.5165293266826688</x:v>
      </x:c>
      <x:c r="I156" s="8" t="n">
        <x:f>IF(ISNUMBER('Monthly data'!M156),LN(1+'Monthly data'!M156),"")</x:f>
        <x:v>0.7064581946196175</x:v>
      </x:c>
      <x:c r="J156" s="8" t="n">
        <x:f>IF(ISNUMBER('Monthly data'!N156),LN(1+'Monthly data'!N156),"")</x:f>
        <x:v>2.6688518876980525</x:v>
      </x:c>
      <x:c r="K156" s="8" t="n">
        <x:f>IF(COUNT('Monthly data'!F154:F156)=3,'Monthly data'!F156-2*'Monthly data'!F155+'Monthly data'!F154,"")</x:f>
        <x:v>-28.94999999999999</x:v>
      </x:c>
      <x:c r="L156" s="8" t="n">
        <x:f>IF(COUNT('Monthly data'!G154:G156)=3,'Monthly data'!G156-2*'Monthly data'!G155+'Monthly data'!G154,"")</x:f>
        <x:v>-2.557700000000004</x:v>
      </x:c>
      <x:c r="M156" s="8" t="n">
        <x:f>IF(COUNT('Monthly data'!H154:H156)=3,'Monthly data'!H156-2*'Monthly data'!H155+'Monthly data'!H154,"")</x:f>
        <x:v>8.047800000000006</x:v>
      </x:c>
      <x:c r="N156" s="8" t="n">
        <x:f>IF(COUNT('Monthly data'!I154:I156)=3,'Monthly data'!I156-2*'Monthly data'!I155+'Monthly data'!I154,"")</x:f>
        <x:v>-25.496699999999997</x:v>
      </x:c>
      <x:c r="O156" s="8" t="n">
        <x:f>IF(COUNT('Monthly data'!J154:J156)=3,'Monthly data'!J156-2*'Monthly data'!J155+'Monthly data'!J154,"")</x:f>
        <x:v>-0.6511999999999993</x:v>
      </x:c>
      <x:c r="P156" s="8" t="n">
        <x:f>IF(COUNT('Monthly data'!K154:K156)=3,'Monthly data'!K156-2*'Monthly data'!K155+'Monthly data'!K154,"")</x:f>
        <x:v>-8.743400000000001</x:v>
      </x:c>
      <x:c r="Q156" s="8" t="n">
        <x:f>IF(COUNT('Monthly data'!L154:L156)=3,'Monthly data'!L156-2*'Monthly data'!L155+'Monthly data'!L154,"")</x:f>
        <x:v>0.3434999999999999</x:v>
      </x:c>
      <x:c r="R156" s="8" t="n">
        <x:f>IF(COUNT('Monthly data'!M154:M156)=3,'Monthly data'!M156-2*'Monthly data'!M155+'Monthly data'!M154,"")</x:f>
        <x:v>-0.4929000000000002</x:v>
      </x:c>
      <x:c r="S156" s="8" t="n">
        <x:f>IF(COUNT('Monthly data'!N154:N156)=3,'Monthly data'!N156-2*'Monthly data'!N155+'Monthly data'!N154,"")</x:f>
        <x:v>0.6004000000000023</x:v>
      </x:c>
      <x:c r="T156" s="8" t="n">
        <x:f>IF(COUNT('Monthly data'!E155:E156)=2,'Monthly data'!E156-'Monthly data'!E155,"")</x:f>
        <x:v>0.0031191339000002927</x:v>
      </x:c>
    </x:row>
    <x:row r="157" ht="19" customHeight="1">
      <x:c r="A157" s="7" t="n">
        <x:f>'Monthly data'!A157</x:f>
        <x:v>37591</x:v>
      </x:c>
      <x:c r="B157" s="8" t="n">
        <x:f>IF(ISNUMBER('Monthly data'!F157),LN(1+'Monthly data'!F157),"")</x:f>
        <x:v>4.851405068525699</x:v>
      </x:c>
      <x:c r="C157" s="8" t="n">
        <x:f>IF(ISNUMBER('Monthly data'!G157),LN(1+'Monthly data'!G157),"")</x:f>
        <x:v>3.6341354761177</x:v>
      </x:c>
      <x:c r="D157" s="8" t="n">
        <x:f>IF(ISNUMBER('Monthly data'!H157),LN(1+'Monthly data'!H157),"")</x:f>
        <x:v>3.476774749914943</x:v>
      </x:c>
      <x:c r="E157" s="8" t="n">
        <x:f>IF(ISNUMBER('Monthly data'!I157),LN(1+'Monthly data'!I157),"")</x:f>
        <x:v>3.1499500939844114</x:v>
      </x:c>
      <x:c r="F157" s="8" t="n">
        <x:f>IF(ISNUMBER('Monthly data'!J157),LN(1+'Monthly data'!J157),"")</x:f>
        <x:v>2.1153514918390703</x:v>
      </x:c>
      <x:c r="G157" s="8" t="n">
        <x:f>IF(ISNUMBER('Monthly data'!K157),LN(1+'Monthly data'!K157),"")</x:f>
        <x:v>2.6753754827655545</x:v>
      </x:c>
      <x:c r="H157" s="8" t="n">
        <x:f>IF(ISNUMBER('Monthly data'!L157),LN(1+'Monthly data'!L157),"")</x:f>
        <x:v>0.6226710667556209</x:v>
      </x:c>
      <x:c r="I157" s="8" t="n">
        <x:f>IF(ISNUMBER('Monthly data'!M157),LN(1+'Monthly data'!M157),"")</x:f>
        <x:v>0.7858175154012534</x:v>
      </x:c>
      <x:c r="J157" s="8" t="n">
        <x:f>IF(ISNUMBER('Monthly data'!N157),LN(1+'Monthly data'!N157),"")</x:f>
        <x:v>2.673624374087193</x:v>
      </x:c>
      <x:c r="K157" s="8" t="n">
        <x:f>IF(COUNT('Monthly data'!F155:F157)=3,'Monthly data'!F157-2*'Monthly data'!F156+'Monthly data'!F155,"")</x:f>
        <x:v>26.059999999999988</x:v>
      </x:c>
      <x:c r="L157" s="8" t="n">
        <x:f>IF(COUNT('Monthly data'!G155:G157)=3,'Monthly data'!G157-2*'Monthly data'!G156+'Monthly data'!G155,"")</x:f>
        <x:v>18.213300000000004</x:v>
      </x:c>
      <x:c r="M157" s="8" t="n">
        <x:f>IF(COUNT('Monthly data'!H155:H157)=3,'Monthly data'!H157-2*'Monthly data'!H156+'Monthly data'!H155,"")</x:f>
        <x:v>-5.23790000000001</x:v>
      </x:c>
      <x:c r="N157" s="8" t="n">
        <x:f>IF(COUNT('Monthly data'!I155:I157)=3,'Monthly data'!I157-2*'Monthly data'!I156+'Monthly data'!I155,"")</x:f>
        <x:v>1.134599999999999</x:v>
      </x:c>
      <x:c r="O157" s="8" t="n">
        <x:f>IF(COUNT('Monthly data'!J155:J157)=3,'Monthly data'!J157-2*'Monthly data'!J156+'Monthly data'!J155,"")</x:f>
        <x:v>0.3501000000000003</x:v>
      </x:c>
      <x:c r="P157" s="8" t="n">
        <x:f>IF(COUNT('Monthly data'!K155:K157)=3,'Monthly data'!K157-2*'Monthly data'!K156+'Monthly data'!K155,"")</x:f>
        <x:v>13.2121</x:v>
      </x:c>
      <x:c r="Q157" s="8" t="n">
        <x:f>IF(COUNT('Monthly data'!L155:L157)=3,'Monthly data'!L157-2*'Monthly data'!L156+'Monthly data'!L155,"")</x:f>
        <x:v>0.47439999999999993</x:v>
      </x:c>
      <x:c r="R157" s="8" t="n">
        <x:f>IF(COUNT('Monthly data'!M155:M157)=3,'Monthly data'!M157-2*'Monthly data'!M156+'Monthly data'!M155,"")</x:f>
        <x:v>0.35560000000000014</x:v>
      </x:c>
      <x:c r="S157" s="8" t="n">
        <x:f>IF(COUNT('Monthly data'!N155:N157)=3,'Monthly data'!N157-2*'Monthly data'!N156+'Monthly data'!N155,"")</x:f>
        <x:v>-2.441900000000002</x:v>
      </x:c>
      <x:c r="T157" s="8" t="n">
        <x:f>IF(COUNT('Monthly data'!E156:E157)=2,'Monthly data'!E157-'Monthly data'!E156,"")</x:f>
        <x:v>-0.010092984999999999</x:v>
      </x:c>
    </x:row>
    <x:row r="158" ht="19" customHeight="1">
      <x:c r="A158" s="7" t="n">
        <x:f>'Monthly data'!A158</x:f>
        <x:v>37622</x:v>
      </x:c>
      <x:c r="B158" s="8" t="n">
        <x:f>IF(ISNUMBER('Monthly data'!F158),LN(1+'Monthly data'!F158),"")</x:f>
        <x:v>4.935768059416704</x:v>
      </x:c>
      <x:c r="C158" s="8" t="n">
        <x:f>IF(ISNUMBER('Monthly data'!G158),LN(1+'Monthly data'!G158),"")</x:f>
        <x:v>4.040597382325713</x:v>
      </x:c>
      <x:c r="D158" s="8" t="n">
        <x:f>IF(ISNUMBER('Monthly data'!H158),LN(1+'Monthly data'!H158),"")</x:f>
        <x:v>3.4069673698840686</x:v>
      </x:c>
      <x:c r="E158" s="8" t="n">
        <x:f>IF(ISNUMBER('Monthly data'!I158),LN(1+'Monthly data'!I158),"")</x:f>
        <x:v>2.881140390748863</x:v>
      </x:c>
      <x:c r="F158" s="8" t="n">
        <x:f>IF(ISNUMBER('Monthly data'!J158),LN(1+'Monthly data'!J158),"")</x:f>
        <x:v>2.1212070909123035</x:v>
      </x:c>
      <x:c r="G158" s="8" t="n">
        <x:f>IF(ISNUMBER('Monthly data'!K158),LN(1+'Monthly data'!K158),"")</x:f>
        <x:v>2.806706292248489</x:v>
      </x:c>
      <x:c r="H158" s="8" t="n">
        <x:f>IF(ISNUMBER('Monthly data'!L158),LN(1+'Monthly data'!L158),"")</x:f>
        <x:v>0.35795412543711275</x:v>
      </x:c>
      <x:c r="I158" s="8" t="n">
        <x:f>IF(ISNUMBER('Monthly data'!M158),LN(1+'Monthly data'!M158),"")</x:f>
        <x:v>0.5267973932756893</x:v>
      </x:c>
      <x:c r="J158" s="8" t="n">
        <x:f>IF(ISNUMBER('Monthly data'!N158),LN(1+'Monthly data'!N158),"")</x:f>
        <x:v>2.58710216210267</x:v>
      </x:c>
      <x:c r="K158" s="8" t="n">
        <x:f>IF(COUNT('Monthly data'!F156:F158)=3,'Monthly data'!F158-2*'Monthly data'!F157+'Monthly data'!F156,"")</x:f>
        <x:v>6.240000000000009</x:v>
      </x:c>
      <x:c r="L158" s="8" t="n">
        <x:f>IF(COUNT('Monthly data'!G156:G158)=3,'Monthly data'!G158-2*'Monthly data'!G157+'Monthly data'!G156,"")</x:f>
        <x:v>11.498299999999997</x:v>
      </x:c>
      <x:c r="M158" s="8" t="n">
        <x:f>IF(COUNT('Monthly data'!H156:H158)=3,'Monthly data'!H158-2*'Monthly data'!H157+'Monthly data'!H156,"")</x:f>
        <x:v>-1.3932999999999964</x:v>
      </x:c>
      <x:c r="N158" s="8" t="n">
        <x:f>IF(COUNT('Monthly data'!I156:I158)=3,'Monthly data'!I158-2*'Monthly data'!I157+'Monthly data'!I156,"")</x:f>
        <x:v>6.825199999999999</x:v>
      </x:c>
      <x:c r="O158" s="8" t="n">
        <x:f>IF(COUNT('Monthly data'!J156:J158)=3,'Monthly data'!J158-2*'Monthly data'!J157+'Monthly data'!J156,"")</x:f>
        <x:v>-1.0330000000000013</x:v>
      </x:c>
      <x:c r="P158" s="8" t="n">
        <x:f>IF(COUNT('Monthly data'!K156:K158)=3,'Monthly data'!K158-2*'Monthly data'!K157+'Monthly data'!K156,"")</x:f>
        <x:v>-7.097699999999998</x:v>
      </x:c>
      <x:c r="Q158" s="8" t="n">
        <x:f>IF(COUNT('Monthly data'!L156:L158)=3,'Monthly data'!L158-2*'Monthly data'!L157+'Monthly data'!L156,"")</x:f>
        <x:v>-0.6212000000000001</x:v>
      </x:c>
      <x:c r="R158" s="8" t="n">
        <x:f>IF(COUNT('Monthly data'!M156:M158)=3,'Monthly data'!M158-2*'Monthly data'!M157+'Monthly data'!M156,"")</x:f>
        <x:v>-0.6680999999999999</x:v>
      </x:c>
      <x:c r="S158" s="8" t="n">
        <x:f>IF(COUNT('Monthly data'!N156:N158)=3,'Monthly data'!N158-2*'Monthly data'!N157+'Monthly data'!N156,"")</x:f>
        <x:v>-1.270199999999999</x:v>
      </x:c>
      <x:c r="T158" s="8" t="n">
        <x:f>IF(COUNT('Monthly data'!E157:E158)=2,'Monthly data'!E158-'Monthly data'!E157,"")</x:f>
        <x:v>0.03944780910000034</x:v>
      </x:c>
    </x:row>
    <x:row r="159" ht="19" customHeight="1">
      <x:c r="A159" s="7" t="n">
        <x:f>'Monthly data'!A159</x:f>
        <x:v>37653</x:v>
      </x:c>
      <x:c r="B159" s="8" t="n">
        <x:f>IF(ISNUMBER('Monthly data'!F159),LN(1+'Monthly data'!F159),"")</x:f>
        <x:v>5.118173437001857</x:v>
      </x:c>
      <x:c r="C159" s="8" t="n">
        <x:f>IF(ISNUMBER('Monthly data'!G159),LN(1+'Monthly data'!G159),"")</x:f>
        <x:v>4.333386396764946</x:v>
      </x:c>
      <x:c r="D159" s="8" t="n">
        <x:f>IF(ISNUMBER('Monthly data'!H159),LN(1+'Monthly data'!H159),"")</x:f>
        <x:v>3.5540701023902863</x:v>
      </x:c>
      <x:c r="E159" s="8" t="n">
        <x:f>IF(ISNUMBER('Monthly data'!I159),LN(1+'Monthly data'!I159),"")</x:f>
        <x:v>3.3641322103251428</x:v>
      </x:c>
      <x:c r="F159" s="8" t="n">
        <x:f>IF(ISNUMBER('Monthly data'!J159),LN(1+'Monthly data'!J159),"")</x:f>
        <x:v>1.8994622396642402</x:v>
      </x:c>
      <x:c r="G159" s="8" t="n">
        <x:f>IF(ISNUMBER('Monthly data'!K159),LN(1+'Monthly data'!K159),"")</x:f>
        <x:v>2.382393927167461</x:v>
      </x:c>
      <x:c r="H159" s="8" t="n">
        <x:f>IF(ISNUMBER('Monthly data'!L159),LN(1+'Monthly data'!L159),"")</x:f>
        <x:v>0.1832378035783076</x:v>
      </x:c>
      <x:c r="I159" s="8" t="n">
        <x:f>IF(ISNUMBER('Monthly data'!M159),LN(1+'Monthly data'!M159),"")</x:f>
        <x:v>0.532978428407124</x:v>
      </x:c>
      <x:c r="J159" s="8" t="n">
        <x:f>IF(ISNUMBER('Monthly data'!N159),LN(1+'Monthly data'!N159),"")</x:f>
        <x:v>2.606106065189845</x:v>
      </x:c>
      <x:c r="K159" s="8" t="n">
        <x:f>IF(COUNT('Monthly data'!F157:F159)=3,'Monthly data'!F159-2*'Monthly data'!F158+'Monthly data'!F157,"")</x:f>
        <x:v>16.58999999999999</x:v>
      </x:c>
      <x:c r="L159" s="8" t="n">
        <x:f>IF(COUNT('Monthly data'!G157:G159)=3,'Monthly data'!G159-2*'Monthly data'!G158+'Monthly data'!G157,"")</x:f>
        <x:v>0.3503999999999934</x:v>
      </x:c>
      <x:c r="M159" s="8" t="n">
        <x:f>IF(COUNT('Monthly data'!H157:H159)=3,'Monthly data'!H159-2*'Monthly data'!H158+'Monthly data'!H157,"")</x:f>
        <x:v>6.9633</x:v>
      </x:c>
      <x:c r="N159" s="8" t="n">
        <x:f>IF(COUNT('Monthly data'!I157:I159)=3,'Monthly data'!I159-2*'Monthly data'!I158+'Monthly data'!I157,"")</x:f>
        <x:v>16.574100000000005</x:v>
      </x:c>
      <x:c r="O159" s="8" t="n">
        <x:f>IF(COUNT('Monthly data'!J157:J159)=3,'Monthly data'!J159-2*'Monthly data'!J158+'Monthly data'!J157,"")</x:f>
        <x:v>-1.7075999999999993</x:v>
      </x:c>
      <x:c r="P159" s="8" t="n">
        <x:f>IF(COUNT('Monthly data'!K157:K159)=3,'Monthly data'!K159-2*'Monthly data'!K158+'Monthly data'!K157,"")</x:f>
        <x:v>-7.762000000000002</x:v>
      </x:c>
      <x:c r="Q159" s="8" t="n">
        <x:f>IF(COUNT('Monthly data'!L157:L159)=3,'Monthly data'!L159-2*'Monthly data'!L158+'Monthly data'!L157,"")</x:f>
        <x:v>0.20420000000000005</x:v>
      </x:c>
      <x:c r="R159" s="8" t="n">
        <x:f>IF(COUNT('Monthly data'!M157:M159)=3,'Monthly data'!M159-2*'Monthly data'!M158+'Monthly data'!M157,"")</x:f>
        <x:v>0.5111999999999999</x:v>
      </x:c>
      <x:c r="S159" s="8" t="n">
        <x:f>IF(COUNT('Monthly data'!N157:N159)=3,'Monthly data'!N159-2*'Monthly data'!N158+'Monthly data'!N157,"")</x:f>
        <x:v>1.4562000000000008</x:v>
      </x:c>
      <x:c r="T159" s="8" t="n">
        <x:f>IF(COUNT('Monthly data'!E158:E159)=2,'Monthly data'!E159-'Monthly data'!E158,"")</x:f>
        <x:v>0.01887307309999997</x:v>
      </x:c>
    </x:row>
    <x:row r="160" ht="19" customHeight="1">
      <x:c r="A160" s="7" t="n">
        <x:f>'Monthly data'!A160</x:f>
        <x:v>37681</x:v>
      </x:c>
      <x:c r="B160" s="8" t="n">
        <x:f>IF(ISNUMBER('Monthly data'!F160),LN(1+'Monthly data'!F160),"")</x:f>
        <x:v>5.505697322682768</x:v>
      </x:c>
      <x:c r="C160" s="8" t="n">
        <x:f>IF(ISNUMBER('Monthly data'!G160),LN(1+'Monthly data'!G160),"")</x:f>
        <x:v>5.183650906819722</x:v>
      </x:c>
      <x:c r="D160" s="8" t="n">
        <x:f>IF(ISNUMBER('Monthly data'!H160),LN(1+'Monthly data'!H160),"")</x:f>
        <x:v>3.1894428947044338</x:v>
      </x:c>
      <x:c r="E160" s="8" t="n">
        <x:f>IF(ISNUMBER('Monthly data'!I160),LN(1+'Monthly data'!I160),"")</x:f>
        <x:v>3.1241386808475053</x:v>
      </x:c>
      <x:c r="F160" s="8" t="n">
        <x:f>IF(ISNUMBER('Monthly data'!J160),LN(1+'Monthly data'!J160),"")</x:f>
        <x:v>1.4545136000970345</x:v>
      </x:c>
      <x:c r="G160" s="8" t="n">
        <x:f>IF(ISNUMBER('Monthly data'!K160),LN(1+'Monthly data'!K160),"")</x:f>
        <x:v>1.8484233163455968</x:v>
      </x:c>
      <x:c r="H160" s="8" t="n">
        <x:f>IF(ISNUMBER('Monthly data'!L160),LN(1+'Monthly data'!L160),"")</x:f>
        <x:v>0.3247610706932016</x:v>
      </x:c>
      <x:c r="I160" s="8" t="n">
        <x:f>IF(ISNUMBER('Monthly data'!M160),LN(1+'Monthly data'!M160),"")</x:f>
        <x:v>0.5694529582136143</x:v>
      </x:c>
      <x:c r="J160" s="8" t="n">
        <x:f>IF(ISNUMBER('Monthly data'!N160),LN(1+'Monthly data'!N160),"")</x:f>
        <x:v>2.63611729766801</x:v>
      </x:c>
      <x:c r="K160" s="8" t="n">
        <x:f>IF(COUNT('Monthly data'!F158:F160)=3,'Monthly data'!F160-2*'Monthly data'!F159+'Monthly data'!F158,"")</x:f>
        <x:v>51.21000000000001</x:v>
      </x:c>
      <x:c r="L160" s="8" t="n">
        <x:f>IF(COUNT('Monthly data'!G158:G160)=3,'Monthly data'!G160-2*'Monthly data'!G159+'Monthly data'!G158,"")</x:f>
        <x:v>82.7892</x:v>
      </x:c>
      <x:c r="M160" s="8" t="n">
        <x:f>IF(COUNT('Monthly data'!H158:H160)=3,'Monthly data'!H160-2*'Monthly data'!H159+'Monthly data'!H158,"")</x:f>
        <x:v>-15.4621</x:v>
      </x:c>
      <x:c r="N160" s="8" t="n">
        <x:f>IF(COUNT('Monthly data'!I158:I160)=3,'Monthly data'!I160-2*'Monthly data'!I159+'Monthly data'!I158,"")</x:f>
        <x:v>-17.241899999999998</x:v>
      </x:c>
      <x:c r="O160" s="8" t="n">
        <x:f>IF(COUNT('Monthly data'!J158:J160)=3,'Monthly data'!J160-2*'Monthly data'!J159+'Monthly data'!J158,"")</x:f>
        <x:v>-0.7410000000000005</x:v>
      </x:c>
      <x:c r="P160" s="8" t="n">
        <x:f>IF(COUNT('Monthly data'!K158:K160)=3,'Monthly data'!K160-2*'Monthly data'!K159+'Monthly data'!K158,"")</x:f>
        <x:v>1.243500000000001</x:v>
      </x:c>
      <x:c r="Q160" s="8" t="n">
        <x:f>IF(COUNT('Monthly data'!L158:L160)=3,'Monthly data'!L160-2*'Monthly data'!L159+'Monthly data'!L158,"")</x:f>
        <x:v>0.4119</x:v>
      </x:c>
      <x:c r="R160" s="8" t="n">
        <x:f>IF(COUNT('Monthly data'!M158:M160)=3,'Monthly data'!M160-2*'Monthly data'!M159+'Monthly data'!M158,"")</x:f>
        <x:v>0.05280000000000007</x:v>
      </x:c>
      <x:c r="S160" s="8" t="n">
        <x:f>IF(COUNT('Monthly data'!N158:N160)=3,'Monthly data'!N160-2*'Monthly data'!N159+'Monthly data'!N158,"")</x:f>
        <x:v>0.1576999999999984</x:v>
      </x:c>
      <x:c r="T160" s="8" t="n">
        <x:f>IF(COUNT('Monthly data'!E159:E160)=2,'Monthly data'!E160-'Monthly data'!E159,"")</x:f>
        <x:v>0.000534208399999514</x:v>
      </x:c>
    </x:row>
    <x:row r="161" ht="19" customHeight="1">
      <x:c r="A161" s="7" t="n">
        <x:f>'Monthly data'!A161</x:f>
        <x:v>37712</x:v>
      </x:c>
      <x:c r="B161" s="8" t="n">
        <x:f>IF(ISNUMBER('Monthly data'!F161),LN(1+'Monthly data'!F161),"")</x:f>
        <x:v>5.30325515557766</x:v>
      </x:c>
      <x:c r="C161" s="8" t="n">
        <x:f>IF(ISNUMBER('Monthly data'!G161),LN(1+'Monthly data'!G161),"")</x:f>
        <x:v>4.887579129902741</x:v>
      </x:c>
      <x:c r="D161" s="8" t="n">
        <x:f>IF(ISNUMBER('Monthly data'!H161),LN(1+'Monthly data'!H161),"")</x:f>
        <x:v>3.2355362657613083</x:v>
      </x:c>
      <x:c r="E161" s="8" t="n">
        <x:f>IF(ISNUMBER('Monthly data'!I161),LN(1+'Monthly data'!I161),"")</x:f>
        <x:v>2.8129926293736838</x:v>
      </x:c>
      <x:c r="F161" s="8" t="n">
        <x:f>IF(ISNUMBER('Monthly data'!J161),LN(1+'Monthly data'!J161),"")</x:f>
        <x:v>1.552232438663321</x:v>
      </x:c>
      <x:c r="G161" s="8" t="n">
        <x:f>IF(ISNUMBER('Monthly data'!K161),LN(1+'Monthly data'!K161),"")</x:f>
        <x:v>1.874091861264841</x:v>
      </x:c>
      <x:c r="H161" s="8" t="n">
        <x:f>IF(ISNUMBER('Monthly data'!L161),LN(1+'Monthly data'!L161),"")</x:f>
        <x:v>0.3585132532123724</x:v>
      </x:c>
      <x:c r="I161" s="8" t="n">
        <x:f>IF(ISNUMBER('Monthly data'!M161),LN(1+'Monthly data'!M161),"")</x:f>
        <x:v>1.0189195197588612</x:v>
      </x:c>
      <x:c r="J161" s="8" t="n">
        <x:f>IF(ISNUMBER('Monthly data'!N161),LN(1+'Monthly data'!N161),"")</x:f>
        <x:v>2.8814319163266906</x:v>
      </x:c>
      <x:c r="K161" s="8" t="n">
        <x:f>IF(COUNT('Monthly data'!F159:F161)=3,'Monthly data'!F161-2*'Monthly data'!F160+'Monthly data'!F159,"")</x:f>
        <x:v>-124.16</x:v>
      </x:c>
      <x:c r="L161" s="8" t="n">
        <x:f>IF(COUNT('Monthly data'!G159:G161)=3,'Monthly data'!G161-2*'Monthly data'!G160+'Monthly data'!G159,"")</x:f>
        <x:v>-147.83139999999997</x:v>
      </x:c>
      <x:c r="M161" s="8" t="n">
        <x:f>IF(COUNT('Monthly data'!H159:H161)=3,'Monthly data'!H161-2*'Monthly data'!H160+'Monthly data'!H159,"")</x:f>
        <x:v>11.825500000000005</x:v>
      </x:c>
      <x:c r="N161" s="8" t="n">
        <x:f>IF(COUNT('Monthly data'!I159:I161)=3,'Monthly data'!I161-2*'Monthly data'!I160+'Monthly data'!I159,"")</x:f>
        <x:v>0.08749999999999858</x:v>
      </x:c>
      <x:c r="O161" s="8" t="n">
        <x:f>IF(COUNT('Monthly data'!J159:J161)=3,'Monthly data'!J161-2*'Monthly data'!J160+'Monthly data'!J159,"")</x:f>
        <x:v>2.8394999999999997</x:v>
      </x:c>
      <x:c r="P161" s="8" t="n">
        <x:f>IF(COUNT('Monthly data'!K159:K161)=3,'Monthly data'!K161-2*'Monthly data'!K160+'Monthly data'!K159,"")</x:f>
        <x:v>4.6461</x:v>
      </x:c>
      <x:c r="Q161" s="8" t="n">
        <x:f>IF(COUNT('Monthly data'!L159:L161)=3,'Monthly data'!L161-2*'Monthly data'!L160+'Monthly data'!L159,"")</x:f>
        <x:v>-0.13509999999999994</x:v>
      </x:c>
      <x:c r="R161" s="8" t="n">
        <x:f>IF(COUNT('Monthly data'!M159:M161)=3,'Monthly data'!M161-2*'Monthly data'!M160+'Monthly data'!M159,"")</x:f>
        <x:v>0.9396</x:v>
      </x:c>
      <x:c r="S161" s="8" t="n">
        <x:f>IF(COUNT('Monthly data'!N159:N161)=3,'Monthly data'!N161-2*'Monthly data'!N160+'Monthly data'!N159,"")</x:f>
        <x:v>3.4682000000000013</x:v>
      </x:c>
      <x:c r="T161" s="8" t="n">
        <x:f>IF(COUNT('Monthly data'!E160:E161)=2,'Monthly data'!E161-'Monthly data'!E160,"")</x:f>
        <x:v>-0.019281802300000095</x:v>
      </x:c>
    </x:row>
    <x:row r="162" ht="19" customHeight="1">
      <x:c r="A162" s="7" t="n">
        <x:f>'Monthly data'!A162</x:f>
        <x:v>37742</x:v>
      </x:c>
      <x:c r="B162" s="8" t="n">
        <x:f>IF(ISNUMBER('Monthly data'!F162),LN(1+'Monthly data'!F162),"")</x:f>
        <x:v>4.726236713967535</x:v>
      </x:c>
      <x:c r="C162" s="8" t="n">
        <x:f>IF(ISNUMBER('Monthly data'!G162),LN(1+'Monthly data'!G162),"")</x:f>
        <x:v>3.4823225801541176</x:v>
      </x:c>
      <x:c r="D162" s="8" t="n">
        <x:f>IF(ISNUMBER('Monthly data'!H162),LN(1+'Monthly data'!H162),"")</x:f>
        <x:v>3.2639983189700805</x:v>
      </x:c>
      <x:c r="E162" s="8" t="n">
        <x:f>IF(ISNUMBER('Monthly data'!I162),LN(1+'Monthly data'!I162),"")</x:f>
        <x:v>3.3555024224000256</x:v>
      </x:c>
      <x:c r="F162" s="8" t="n">
        <x:f>IF(ISNUMBER('Monthly data'!J162),LN(1+'Monthly data'!J162),"")</x:f>
        <x:v>1.560079586891559</x:v>
      </x:c>
      <x:c r="G162" s="8" t="n">
        <x:f>IF(ISNUMBER('Monthly data'!K162),LN(1+'Monthly data'!K162),"")</x:f>
        <x:v>1.878838899457566</x:v>
      </x:c>
      <x:c r="H162" s="8" t="n">
        <x:f>IF(ISNUMBER('Monthly data'!L162),LN(1+'Monthly data'!L162),"")</x:f>
        <x:v>0.13032626167557426</x:v>
      </x:c>
      <x:c r="I162" s="8" t="n">
        <x:f>IF(ISNUMBER('Monthly data'!M162),LN(1+'Monthly data'!M162),"")</x:f>
        <x:v>1.0656757884218448</x:v>
      </x:c>
      <x:c r="J162" s="8" t="n">
        <x:f>IF(ISNUMBER('Monthly data'!N162),LN(1+'Monthly data'!N162),"")</x:f>
        <x:v>2.8433791438317377</x:v>
      </x:c>
      <x:c r="K162" s="8" t="n">
        <x:f>IF(COUNT('Monthly data'!F160:F162)=3,'Monthly data'!F162-2*'Monthly data'!F161+'Monthly data'!F160,"")</x:f>
        <x:v>-43.02000000000001</x:v>
      </x:c>
      <x:c r="L162" s="8" t="n">
        <x:f>IF(COUNT('Monthly data'!G160:G162)=3,'Monthly data'!G162-2*'Monthly data'!G161+'Monthly data'!G160,"")</x:f>
        <x:v>-54.396300000000025</x:v>
      </x:c>
      <x:c r="M162" s="8" t="n">
        <x:f>IF(COUNT('Monthly data'!H160:H162)=3,'Monthly data'!H162-2*'Monthly data'!H161+'Monthly data'!H160,"")</x:f>
        <x:v>-0.41120000000000445</x:v>
      </x:c>
      <x:c r="N162" s="8" t="n">
        <x:f>IF(COUNT('Monthly data'!I160:I162)=3,'Monthly data'!I162-2*'Monthly data'!I161+'Monthly data'!I160,"")</x:f>
        <x:v>18.0809</x:v>
      </x:c>
      <x:c r="O162" s="8" t="n">
        <x:f>IF(COUNT('Monthly data'!J160:J162)=3,'Monthly data'!J162-2*'Monthly data'!J161+'Monthly data'!J160,"")</x:f>
        <x:v>-0.4024000000000001</x:v>
      </x:c>
      <x:c r="P162" s="8" t="n">
        <x:f>IF(COUNT('Monthly data'!K160:K162)=3,'Monthly data'!K162-2*'Monthly data'!K161+'Monthly data'!K160,"")</x:f>
        <x:v>-0.1341000000000001</x:v>
      </x:c>
      <x:c r="Q162" s="8" t="n">
        <x:f>IF(COUNT('Monthly data'!L160:L162)=3,'Monthly data'!L162-2*'Monthly data'!L161+'Monthly data'!L160,"")</x:f>
        <x:v>-0.3395000000000001</x:v>
      </x:c>
      <x:c r="R162" s="8" t="n">
        <x:f>IF(COUNT('Monthly data'!M160:M162)=3,'Monthly data'!M162-2*'Monthly data'!M161+'Monthly data'!M160,"")</x:f>
        <x:v>-0.8703</x:v>
      </x:c>
      <x:c r="S162" s="8" t="n">
        <x:f>IF(COUNT('Monthly data'!N160:N162)=3,'Monthly data'!N162-2*'Monthly data'!N161+'Monthly data'!N160,"")</x:f>
        <x:v>-4.547000000000001</x:v>
      </x:c>
      <x:c r="T162" s="8" t="n">
        <x:f>IF(COUNT('Monthly data'!E161:E162)=2,'Monthly data'!E162-'Monthly data'!E161,"")</x:f>
        <x:v>-0.0026698470999999557</x:v>
      </x:c>
    </x:row>
    <x:row r="163" ht="19" customHeight="1">
      <x:c r="A163" s="7" t="n">
        <x:f>'Monthly data'!A163</x:f>
        <x:v>37773</x:v>
      </x:c>
      <x:c r="B163" s="8" t="n">
        <x:f>IF(ISNUMBER('Monthly data'!F163),LN(1+'Monthly data'!F163),"")</x:f>
        <x:v>4.699297848712789</x:v>
      </x:c>
      <x:c r="C163" s="8" t="n">
        <x:f>IF(ISNUMBER('Monthly data'!G163),LN(1+'Monthly data'!G163),"")</x:f>
        <x:v>3.6449824240142266</x:v>
      </x:c>
      <x:c r="D163" s="8" t="n">
        <x:f>IF(ISNUMBER('Monthly data'!H163),LN(1+'Monthly data'!H163),"")</x:f>
        <x:v>3.2729662037650735</x:v>
      </x:c>
      <x:c r="E163" s="8" t="n">
        <x:f>IF(ISNUMBER('Monthly data'!I163),LN(1+'Monthly data'!I163),"")</x:f>
        <x:v>2.930377419307196</x:v>
      </x:c>
      <x:c r="F163" s="8" t="n">
        <x:f>IF(ISNUMBER('Monthly data'!J163),LN(1+'Monthly data'!J163),"")</x:f>
        <x:v>2.1735692044045343</x:v>
      </x:c>
      <x:c r="G163" s="8" t="n">
        <x:f>IF(ISNUMBER('Monthly data'!K163),LN(1+'Monthly data'!K163),"")</x:f>
        <x:v>2.042751623362004</x:v>
      </x:c>
      <x:c r="H163" s="8" t="n">
        <x:f>IF(ISNUMBER('Monthly data'!L163),LN(1+'Monthly data'!L163),"")</x:f>
        <x:v>0.6058448521571487</x:v>
      </x:c>
      <x:c r="I163" s="8" t="n">
        <x:f>IF(ISNUMBER('Monthly data'!M163),LN(1+'Monthly data'!M163),"")</x:f>
        <x:v>0.8840567545404335</x:v>
      </x:c>
      <x:c r="J163" s="8" t="n">
        <x:f>IF(ISNUMBER('Monthly data'!N163),LN(1+'Monthly data'!N163),"")</x:f>
        <x:v>2.542294666896731</x:v>
      </x:c>
      <x:c r="K163" s="8" t="n">
        <x:f>IF(COUNT('Monthly data'!F161:F163)=3,'Monthly data'!F163-2*'Monthly data'!F162+'Monthly data'!F161,"")</x:f>
        <x:v>85.12</x:v>
      </x:c>
      <x:c r="L163" s="8" t="n">
        <x:f>IF(COUNT('Monthly data'!G161:G163)=3,'Monthly data'!G163-2*'Monthly data'!G162+'Monthly data'!G161,"")</x:f>
        <x:v>105.84380000000002</x:v>
      </x:c>
      <x:c r="M163" s="8" t="n">
        <x:f>IF(COUNT('Monthly data'!H161:H163)=3,'Monthly data'!H163-2*'Monthly data'!H162+'Monthly data'!H161,"")</x:f>
        <x:v>-0.49829999999999686</x:v>
      </x:c>
      <x:c r="N163" s="8" t="n">
        <x:f>IF(COUNT('Monthly data'!I161:I163)=3,'Monthly data'!I163-2*'Monthly data'!I162+'Monthly data'!I161,"")</x:f>
        <x:v>-21.925600000000003</x:v>
      </x:c>
      <x:c r="O163" s="8" t="n">
        <x:f>IF(COUNT('Monthly data'!J161:J163)=3,'Monthly data'!J163-2*'Monthly data'!J162+'Monthly data'!J161,"")</x:f>
        <x:v>3.9932000000000003</x:v>
      </x:c>
      <x:c r="P163" s="8" t="n">
        <x:f>IF(COUNT('Monthly data'!K161:K163)=3,'Monthly data'!K163-2*'Monthly data'!K162+'Monthly data'!K161,"")</x:f>
        <x:v>1.134900000000001</x:v>
      </x:c>
      <x:c r="Q163" s="8" t="n">
        <x:f>IF(COUNT('Monthly data'!L161:L163)=3,'Monthly data'!L163-2*'Monthly data'!L162+'Monthly data'!L161,"")</x:f>
        <x:v>0.9856</x:v>
      </x:c>
      <x:c r="R163" s="8" t="n">
        <x:f>IF(COUNT('Monthly data'!M161:M163)=3,'Monthly data'!M163-2*'Monthly data'!M162+'Monthly data'!M161,"")</x:f>
        <x:v>-0.6147</x:v>
      </x:c>
      <x:c r="S163" s="8" t="n">
        <x:f>IF(COUNT('Monthly data'!N161:N163)=3,'Monthly data'!N163-2*'Monthly data'!N162+'Monthly data'!N161,"")</x:f>
        <x:v>-3.7988</x:v>
      </x:c>
      <x:c r="T163" s="8" t="n">
        <x:f>IF(COUNT('Monthly data'!E162:E163)=2,'Monthly data'!E163-'Monthly data'!E162,"")</x:f>
        <x:v>-0.00268959129999935</x:v>
      </x:c>
    </x:row>
    <x:row r="164" ht="19" customHeight="1">
      <x:c r="A164" s="7" t="n">
        <x:f>'Monthly data'!A164</x:f>
        <x:v>37803</x:v>
      </x:c>
      <x:c r="B164" s="8" t="n">
        <x:f>IF(ISNUMBER('Monthly data'!F164),LN(1+'Monthly data'!F164),"")</x:f>
        <x:v>4.704834509101037</x:v>
      </x:c>
      <x:c r="C164" s="8" t="n">
        <x:f>IF(ISNUMBER('Monthly data'!G164),LN(1+'Monthly data'!G164),"")</x:f>
        <x:v>3.7653681614958154</x:v>
      </x:c>
      <x:c r="D164" s="8" t="n">
        <x:f>IF(ISNUMBER('Monthly data'!H164),LN(1+'Monthly data'!H164),"")</x:f>
        <x:v>3.238937242204761</x:v>
      </x:c>
      <x:c r="E164" s="8" t="n">
        <x:f>IF(ISNUMBER('Monthly data'!I164),LN(1+'Monthly data'!I164),"")</x:f>
        <x:v>2.7740813577050027</x:v>
      </x:c>
      <x:c r="F164" s="8" t="n">
        <x:f>IF(ISNUMBER('Monthly data'!J164),LN(1+'Monthly data'!J164),"")</x:f>
        <x:v>2.2670511752507596</x:v>
      </x:c>
      <x:c r="G164" s="8" t="n">
        <x:f>IF(ISNUMBER('Monthly data'!K164),LN(1+'Monthly data'!K164),"")</x:f>
        <x:v>1.91083056386907</x:v>
      </x:c>
      <x:c r="H164" s="8" t="n">
        <x:f>IF(ISNUMBER('Monthly data'!L164),LN(1+'Monthly data'!L164),"")</x:f>
        <x:v>0.7897746741435374</x:v>
      </x:c>
      <x:c r="I164" s="8" t="n">
        <x:f>IF(ISNUMBER('Monthly data'!M164),LN(1+'Monthly data'!M164),"")</x:f>
        <x:v>0.8352108198234132</x:v>
      </x:c>
      <x:c r="J164" s="8" t="n">
        <x:f>IF(ISNUMBER('Monthly data'!N164),LN(1+'Monthly data'!N164),"")</x:f>
        <x:v>2.4724966297113187</x:v>
      </x:c>
      <x:c r="K164" s="8" t="n">
        <x:f>IF(COUNT('Monthly data'!F162:F164)=3,'Monthly data'!F164-2*'Monthly data'!F163+'Monthly data'!F162,"")</x:f>
        <x:v>3.6099999999999994</x:v>
      </x:c>
      <x:c r="L164" s="8" t="n">
        <x:f>IF(COUNT('Monthly data'!G162:G164)=3,'Monthly data'!G164-2*'Monthly data'!G163+'Monthly data'!G162,"")</x:f>
        <x:v>-0.8493999999999993</x:v>
      </x:c>
      <x:c r="M164" s="8" t="n">
        <x:f>IF(COUNT('Monthly data'!H162:H164)=3,'Monthly data'!H164-2*'Monthly data'!H163+'Monthly data'!H162,"")</x:f>
        <x:v>-1.1185000000000045</x:v>
      </x:c>
      <x:c r="N164" s="8" t="n">
        <x:f>IF(COUNT('Monthly data'!I162:I164)=3,'Monthly data'!I164-2*'Monthly data'!I163+'Monthly data'!I162,"")</x:f>
        <x:v>7.2144999999999975</x:v>
      </x:c>
      <x:c r="O164" s="8" t="n">
        <x:f>IF(COUNT('Monthly data'!J162:J164)=3,'Monthly data'!J164-2*'Monthly data'!J163+'Monthly data'!J162,"")</x:f>
        <x:v>-3.1691000000000003</x:v>
      </x:c>
      <x:c r="P164" s="8" t="n">
        <x:f>IF(COUNT('Monthly data'!K162:K164)=3,'Monthly data'!K164-2*'Monthly data'!K163+'Monthly data'!K162,"")</x:f>
        <x:v>-2.1190000000000007</x:v>
      </x:c>
      <x:c r="Q164" s="8" t="n">
        <x:f>IF(COUNT('Monthly data'!L162:L164)=3,'Monthly data'!L164-2*'Monthly data'!L163+'Monthly data'!L162,"")</x:f>
        <x:v>-0.3234999999999999</x:v>
      </x:c>
      <x:c r="R164" s="8" t="n">
        <x:f>IF(COUNT('Monthly data'!M162:M164)=3,'Monthly data'!M164-2*'Monthly data'!M163+'Monthly data'!M162,"")</x:f>
        <x:v>0.3666999999999998</x:v>
      </x:c>
      <x:c r="S164" s="8" t="n">
        <x:f>IF(COUNT('Monthly data'!N162:N164)=3,'Monthly data'!N164-2*'Monthly data'!N163+'Monthly data'!N162,"")</x:f>
        <x:v>3.6081000000000003</x:v>
      </x:c>
      <x:c r="T164" s="8" t="n">
        <x:f>IF(COUNT('Monthly data'!E163:E164)=2,'Monthly data'!E164-'Monthly data'!E163,"")</x:f>
        <x:v>0.006528037399998965</x:v>
      </x:c>
    </x:row>
    <x:row r="165" ht="19" customHeight="1">
      <x:c r="A165" s="7" t="n">
        <x:f>'Monthly data'!A165</x:f>
        <x:v>37834</x:v>
      </x:c>
      <x:c r="B165" s="8" t="n">
        <x:f>IF(ISNUMBER('Monthly data'!F165),LN(1+'Monthly data'!F165),"")</x:f>
        <x:v>4.666547465662995</x:v>
      </x:c>
      <x:c r="C165" s="8" t="n">
        <x:f>IF(ISNUMBER('Monthly data'!G165),LN(1+'Monthly data'!G165),"")</x:f>
        <x:v>3.457035665254224</x:v>
      </x:c>
      <x:c r="D165" s="8" t="n">
        <x:f>IF(ISNUMBER('Monthly data'!H165),LN(1+'Monthly data'!H165),"")</x:f>
        <x:v>2.956393553438162</x:v>
      </x:c>
      <x:c r="E165" s="8" t="n">
        <x:f>IF(ISNUMBER('Monthly data'!I165),LN(1+'Monthly data'!I165),"")</x:f>
        <x:v>3.386841493912044</x:v>
      </x:c>
      <x:c r="F165" s="8" t="n">
        <x:f>IF(ISNUMBER('Monthly data'!J165),LN(1+'Monthly data'!J165),"")</x:f>
        <x:v>2.284808012891365</x:v>
      </x:c>
      <x:c r="G165" s="8" t="n">
        <x:f>IF(ISNUMBER('Monthly data'!K165),LN(1+'Monthly data'!K165),"")</x:f>
        <x:v>1.8427852278310988</x:v>
      </x:c>
      <x:c r="H165" s="8" t="n">
        <x:f>IF(ISNUMBER('Monthly data'!L165),LN(1+'Monthly data'!L165),"")</x:f>
        <x:v>0.45011974864859583</x:v>
      </x:c>
      <x:c r="I165" s="8" t="n">
        <x:f>IF(ISNUMBER('Monthly data'!M165),LN(1+'Monthly data'!M165),"")</x:f>
        <x:v>0.8688216946321063</x:v>
      </x:c>
      <x:c r="J165" s="8" t="n">
        <x:f>IF(ISNUMBER('Monthly data'!N165),LN(1+'Monthly data'!N165),"")</x:f>
        <x:v>2.5428374504456226</x:v>
      </x:c>
      <x:c r="K165" s="8" t="n">
        <x:f>IF(COUNT('Monthly data'!F163:F165)=3,'Monthly data'!F165-2*'Monthly data'!F164+'Monthly data'!F163,"")</x:f>
        <x:v>-4.760000000000005</x:v>
      </x:c>
      <x:c r="L165" s="8" t="n">
        <x:f>IF(COUNT('Monthly data'!G163:G165)=3,'Monthly data'!G165-2*'Monthly data'!G164+'Monthly data'!G163,"")</x:f>
        <x:v>-16.354300000000002</x:v>
      </x:c>
      <x:c r="M165" s="8" t="n">
        <x:f>IF(COUNT('Monthly data'!H163:H165)=3,'Monthly data'!H165-2*'Monthly data'!H164+'Monthly data'!H163,"")</x:f>
        <x:v>-5.3951999999999956</x:v>
      </x:c>
      <x:c r="N165" s="8" t="n">
        <x:f>IF(COUNT('Monthly data'!I163:I165)=3,'Monthly data'!I165-2*'Monthly data'!I164+'Monthly data'!I163,"")</x:f>
        <x:v>16.2593</x:v>
      </x:c>
      <x:c r="O165" s="8" t="n">
        <x:f>IF(COUNT('Monthly data'!J163:J165)=3,'Monthly data'!J165-2*'Monthly data'!J164+'Monthly data'!J163,"")</x:f>
        <x:v>-0.6883999999999997</x:v>
      </x:c>
      <x:c r="P165" s="8" t="n">
        <x:f>IF(COUNT('Monthly data'!K163:K165)=3,'Monthly data'!K165-2*'Monthly data'!K164+'Monthly data'!K163,"")</x:f>
        <x:v>0.5084999999999997</x:v>
      </x:c>
      <x:c r="Q165" s="8" t="n">
        <x:f>IF(COUNT('Monthly data'!L163:L165)=3,'Monthly data'!L165-2*'Monthly data'!L164+'Monthly data'!L163,"")</x:f>
        <x:v>-1.0045000000000002</x:v>
      </x:c>
      <x:c r="R165" s="8" t="n">
        <x:f>IF(COUNT('Monthly data'!M163:M165)=3,'Monthly data'!M165-2*'Monthly data'!M164+'Monthly data'!M163,"")</x:f>
        <x:v>0.19420000000000037</x:v>
      </x:c>
      <x:c r="S165" s="8" t="n">
        <x:f>IF(COUNT('Monthly data'!N163:N165)=3,'Monthly data'!N165-2*'Monthly data'!N164+'Monthly data'!N163,"")</x:f>
        <x:v>1.7204999999999995</x:v>
      </x:c>
      <x:c r="T165" s="8" t="n">
        <x:f>IF(COUNT('Monthly data'!E164:E165)=2,'Monthly data'!E165-'Monthly data'!E164,"")</x:f>
        <x:v>0.00656908620000074</x:v>
      </x:c>
    </x:row>
    <x:row r="166" ht="19" customHeight="1">
      <x:c r="A166" s="7" t="n">
        <x:f>'Monthly data'!A166</x:f>
        <x:v>37865</x:v>
      </x:c>
      <x:c r="B166" s="8" t="n">
        <x:f>IF(ISNUMBER('Monthly data'!F166),LN(1+'Monthly data'!F166),"")</x:f>
        <x:v>4.637927750226264</x:v>
      </x:c>
      <x:c r="C166" s="8" t="n">
        <x:f>IF(ISNUMBER('Monthly data'!G166),LN(1+'Monthly data'!G166),"")</x:f>
        <x:v>3.597164304437995</x:v>
      </x:c>
      <x:c r="D166" s="8" t="n">
        <x:f>IF(ISNUMBER('Monthly data'!H166),LN(1+'Monthly data'!H166),"")</x:f>
        <x:v>3.273208695061203</x:v>
      </x:c>
      <x:c r="E166" s="8" t="n">
        <x:f>IF(ISNUMBER('Monthly data'!I166),LN(1+'Monthly data'!I166),"")</x:f>
        <x:v>3.081648467716447</x:v>
      </x:c>
      <x:c r="F166" s="8" t="n">
        <x:f>IF(ISNUMBER('Monthly data'!J166),LN(1+'Monthly data'!J166),"")</x:f>
        <x:v>1.4662832211898247</x:v>
      </x:c>
      <x:c r="G166" s="8" t="n">
        <x:f>IF(ISNUMBER('Monthly data'!K166),LN(1+'Monthly data'!K166),"")</x:f>
        <x:v>1.5593859525351548</x:v>
      </x:c>
      <x:c r="H166" s="8" t="n">
        <x:f>IF(ISNUMBER('Monthly data'!L166),LN(1+'Monthly data'!L166),"")</x:f>
        <x:v>0.4202223490830713</x:v>
      </x:c>
      <x:c r="I166" s="8" t="n">
        <x:f>IF(ISNUMBER('Monthly data'!M166),LN(1+'Monthly data'!M166),"")</x:f>
        <x:v>0.7029984966103195</x:v>
      </x:c>
      <x:c r="J166" s="8" t="n">
        <x:f>IF(ISNUMBER('Monthly data'!N166),LN(1+'Monthly data'!N166),"")</x:f>
        <x:v>2.5660180170106894</x:v>
      </x:c>
      <x:c r="K166" s="8" t="n">
        <x:f>IF(COUNT('Monthly data'!F164:F166)=3,'Monthly data'!F166-2*'Monthly data'!F165+'Monthly data'!F164,"")</x:f>
        <x:v>1.1500000000000057</x:v>
      </x:c>
      <x:c r="L166" s="8" t="n">
        <x:f>IF(COUNT('Monthly data'!G164:G166)=3,'Monthly data'!G166-2*'Monthly data'!G165+'Monthly data'!G164,"")</x:f>
        <x:v>16.2286</x:v>
      </x:c>
      <x:c r="M166" s="8" t="n">
        <x:f>IF(COUNT('Monthly data'!H164:H166)=3,'Monthly data'!H166-2*'Monthly data'!H165+'Monthly data'!H164,"")</x:f>
        <x:v>13.4455</x:v>
      </x:c>
      <x:c r="N166" s="8" t="n">
        <x:f>IF(COUNT('Monthly data'!I164:I166)=3,'Monthly data'!I166-2*'Monthly data'!I165+'Monthly data'!I164,"")</x:f>
        <x:v>-21.3266</x:v>
      </x:c>
      <x:c r="O166" s="8" t="n">
        <x:f>IF(COUNT('Monthly data'!J164:J166)=3,'Monthly data'!J166-2*'Monthly data'!J165+'Monthly data'!J164,"")</x:f>
        <x:v>-5.663600000000001</x:v>
      </x:c>
      <x:c r="P166" s="8" t="n">
        <x:f>IF(COUNT('Monthly data'!K164:K166)=3,'Monthly data'!K166-2*'Monthly data'!K165+'Monthly data'!K164,"")</x:f>
        <x:v>-1.113599999999999</x:v>
      </x:c>
      <x:c r="Q166" s="8" t="n">
        <x:f>IF(COUNT('Monthly data'!L164:L166)=3,'Monthly data'!L166-2*'Monthly data'!L165+'Monthly data'!L164,"")</x:f>
        <x:v>0.5882000000000001</x:v>
      </x:c>
      <x:c r="R166" s="8" t="n">
        <x:f>IF(COUNT('Monthly data'!M164:M166)=3,'Monthly data'!M166-2*'Monthly data'!M165+'Monthly data'!M164,"")</x:f>
        <x:v>-0.44310000000000027</x:v>
      </x:c>
      <x:c r="S166" s="8" t="n">
        <x:f>IF(COUNT('Monthly data'!N164:N166)=3,'Monthly data'!N166-2*'Monthly data'!N165+'Monthly data'!N164,"")</x:f>
        <x:v>-0.5655000000000001</x:v>
      </x:c>
      <x:c r="T166" s="8" t="n">
        <x:f>IF(COUNT('Monthly data'!E165:E166)=2,'Monthly data'!E166-'Monthly data'!E165,"")</x:f>
        <x:v>-0.0005667103000011053</x:v>
      </x:c>
    </x:row>
    <x:row r="167" ht="19" customHeight="1">
      <x:c r="A167" s="7" t="n">
        <x:f>'Monthly data'!A167</x:f>
        <x:v>37895</x:v>
      </x:c>
      <x:c r="B167" s="8" t="n">
        <x:f>IF(ISNUMBER('Monthly data'!F167),LN(1+'Monthly data'!F167),"")</x:f>
        <x:v>4.502029427068578</x:v>
      </x:c>
      <x:c r="C167" s="8" t="n">
        <x:f>IF(ISNUMBER('Monthly data'!G167),LN(1+'Monthly data'!G167),"")</x:f>
        <x:v>3.419489064134322</x:v>
      </x:c>
      <x:c r="D167" s="8" t="n">
        <x:f>IF(ISNUMBER('Monthly data'!H167),LN(1+'Monthly data'!H167),"")</x:f>
        <x:v>3.0616230050429256</x:v>
      </x:c>
      <x:c r="E167" s="8" t="n">
        <x:f>IF(ISNUMBER('Monthly data'!I167),LN(1+'Monthly data'!I167),"")</x:f>
        <x:v>2.916775642552279</x:v>
      </x:c>
      <x:c r="F167" s="8" t="n">
        <x:f>IF(ISNUMBER('Monthly data'!J167),LN(1+'Monthly data'!J167),"")</x:f>
        <x:v>1.7976752696573592</x:v>
      </x:c>
      <x:c r="G167" s="8" t="n">
        <x:f>IF(ISNUMBER('Monthly data'!K167),LN(1+'Monthly data'!K167),"")</x:f>
        <x:v>1.6054499711562398</x:v>
      </x:c>
      <x:c r="H167" s="8" t="n">
        <x:f>IF(ISNUMBER('Monthly data'!L167),LN(1+'Monthly data'!L167),"")</x:f>
        <x:v>0.7205191273557963</x:v>
      </x:c>
      <x:c r="I167" s="8" t="n">
        <x:f>IF(ISNUMBER('Monthly data'!M167),LN(1+'Monthly data'!M167),"")</x:f>
        <x:v>0.9700968664326826</x:v>
      </x:c>
      <x:c r="J167" s="8" t="n">
        <x:f>IF(ISNUMBER('Monthly data'!N167),LN(1+'Monthly data'!N167),"")</x:f>
        <x:v>2.4063232934098417</x:v>
      </x:c>
      <x:c r="K167" s="8" t="n">
        <x:f>IF(COUNT('Monthly data'!F165:F167)=3,'Monthly data'!F167-2*'Monthly data'!F166+'Monthly data'!F165,"")</x:f>
        <x:v>-10.129999999999995</x:v>
      </x:c>
      <x:c r="L167" s="8" t="n">
        <x:f>IF(COUNT('Monthly data'!G165:G167)=3,'Monthly data'!G167-2*'Monthly data'!G166+'Monthly data'!G165,"")</x:f>
        <x:v>-10.712600000000002</x:v>
      </x:c>
      <x:c r="M167" s="8" t="n">
        <x:f>IF(COUNT('Monthly data'!H165:H167)=3,'Monthly data'!H167-2*'Monthly data'!H166+'Monthly data'!H165,"")</x:f>
        <x:v>-12.2011</x:v>
      </x:c>
      <x:c r="N167" s="8" t="n">
        <x:f>IF(COUNT('Monthly data'!I165:I167)=3,'Monthly data'!I167-2*'Monthly data'!I166+'Monthly data'!I165,"")</x:f>
        <x:v>4.465399999999999</x:v>
      </x:c>
      <x:c r="O167" s="8" t="n">
        <x:f>IF(COUNT('Monthly data'!J165:J167)=3,'Monthly data'!J167-2*'Monthly data'!J166+'Monthly data'!J165,"")</x:f>
        <x:v>7.1932</x:v>
      </x:c>
      <x:c r="P167" s="8" t="n">
        <x:f>IF(COUNT('Monthly data'!K165:K167)=3,'Monthly data'!K167-2*'Monthly data'!K166+'Monthly data'!K165,"")</x:f>
        <x:v>1.7824</x:v>
      </x:c>
      <x:c r="Q167" s="8" t="n">
        <x:f>IF(COUNT('Monthly data'!L165:L167)=3,'Monthly data'!L167-2*'Monthly data'!L166+'Monthly data'!L165,"")</x:f>
        <x:v>0.5794000000000001</x:v>
      </x:c>
      <x:c r="R167" s="8" t="n">
        <x:f>IF(COUNT('Monthly data'!M165:M167)=3,'Monthly data'!M167-2*'Monthly data'!M166+'Monthly data'!M165,"")</x:f>
        <x:v>0.9827000000000001</x:v>
      </x:c>
      <x:c r="S167" s="8" t="n">
        <x:f>IF(COUNT('Monthly data'!N165:N167)=3,'Monthly data'!N167-2*'Monthly data'!N166+'Monthly data'!N165,"")</x:f>
        <x:v>-2.2189999999999994</x:v>
      </x:c>
      <x:c r="T167" s="8" t="n">
        <x:f>IF(COUNT('Monthly data'!E166:E167)=2,'Monthly data'!E167-'Monthly data'!E166,"")</x:f>
        <x:v>0.01818647600000034</x:v>
      </x:c>
    </x:row>
    <x:row r="168" ht="19" customHeight="1">
      <x:c r="A168" s="7" t="n">
        <x:f>'Monthly data'!A168</x:f>
        <x:v>37926</x:v>
      </x:c>
      <x:c r="B168" s="8" t="n">
        <x:f>IF(ISNUMBER('Monthly data'!F168),LN(1+'Monthly data'!F168),"")</x:f>
        <x:v>4.631909483177713</x:v>
      </x:c>
      <x:c r="C168" s="8" t="n">
        <x:f>IF(ISNUMBER('Monthly data'!G168),LN(1+'Monthly data'!G168),"")</x:f>
        <x:v>3.600728336958077</x:v>
      </x:c>
      <x:c r="D168" s="8" t="n">
        <x:f>IF(ISNUMBER('Monthly data'!H168),LN(1+'Monthly data'!H168),"")</x:f>
        <x:v>3.1395641832340884</x:v>
      </x:c>
      <x:c r="E168" s="8" t="n">
        <x:f>IF(ISNUMBER('Monthly data'!I168),LN(1+'Monthly data'!I168),"")</x:f>
        <x:v>3.1569408449073992</x:v>
      </x:c>
      <x:c r="F168" s="8" t="n">
        <x:f>IF(ISNUMBER('Monthly data'!J168),LN(1+'Monthly data'!J168),"")</x:f>
        <x:v>1.4148575222442057</x:v>
      </x:c>
      <x:c r="G168" s="8" t="n">
        <x:f>IF(ISNUMBER('Monthly data'!K168),LN(1+'Monthly data'!K168),"")</x:f>
        <x:v>1.6664985437157127</x:v>
      </x:c>
      <x:c r="H168" s="8" t="n">
        <x:f>IF(ISNUMBER('Monthly data'!L168),LN(1+'Monthly data'!L168),"")</x:f>
        <x:v>1.026435783364135</x:v>
      </x:c>
      <x:c r="I168" s="8" t="n">
        <x:f>IF(ISNUMBER('Monthly data'!M168),LN(1+'Monthly data'!M168),"")</x:f>
        <x:v>1.118708990367232</x:v>
      </x:c>
      <x:c r="J168" s="8" t="n">
        <x:f>IF(ISNUMBER('Monthly data'!N168),LN(1+'Monthly data'!N168),"")</x:f>
        <x:v>2.418686715867891</x:v>
      </x:c>
      <x:c r="K168" s="8" t="n">
        <x:f>IF(COUNT('Monthly data'!F166:F168)=3,'Monthly data'!F168-2*'Monthly data'!F167+'Monthly data'!F166,"")</x:f>
        <x:v>25.639999999999986</x:v>
      </x:c>
      <x:c r="L168" s="8" t="n">
        <x:f>IF(COUNT('Monthly data'!G166:G168)=3,'Monthly data'!G168-2*'Monthly data'!G167+'Monthly data'!G166,"")</x:f>
        <x:v>12.011899999999997</x:v>
      </x:c>
      <x:c r="M168" s="8" t="n">
        <x:f>IF(COUNT('Monthly data'!H166:H168)=3,'Monthly data'!H168-2*'Monthly data'!H167+'Monthly data'!H166,"")</x:f>
        <x:v>6.7653</x:v>
      </x:c>
      <x:c r="N168" s="8" t="n">
        <x:f>IF(COUNT('Monthly data'!I166:I168)=3,'Monthly data'!I168-2*'Monthly data'!I167+'Monthly data'!I166,"")</x:f>
        <x:v>8.329699999999999</x:v>
      </x:c>
      <x:c r="O168" s="8" t="n">
        <x:f>IF(COUNT('Monthly data'!J166:J168)=3,'Monthly data'!J168-2*'Monthly data'!J167+'Monthly data'!J166,"")</x:f>
        <x:v>-3.6221999999999994</x:v>
      </x:c>
      <x:c r="P168" s="8" t="n">
        <x:f>IF(COUNT('Monthly data'!K166:K168)=3,'Monthly data'!K168-2*'Monthly data'!K167+'Monthly data'!K166,"")</x:f>
        <x:v>0.08929999999999927</x:v>
      </x:c>
      <x:c r="Q168" s="8" t="n">
        <x:f>IF(COUNT('Monthly data'!L166:L168)=3,'Monthly data'!L168-2*'Monthly data'!L167+'Monthly data'!L166,"")</x:f>
        <x:v>0.2023999999999997</x:v>
      </x:c>
      <x:c r="R168" s="8" t="n">
        <x:f>IF(COUNT('Monthly data'!M166:M168)=3,'Monthly data'!M168-2*'Monthly data'!M167+'Monthly data'!M166,"")</x:f>
        <x:v>-0.19569999999999999</x:v>
      </x:c>
      <x:c r="S168" s="8" t="n">
        <x:f>IF(COUNT('Monthly data'!N166:N168)=3,'Monthly data'!N168-2*'Monthly data'!N167+'Monthly data'!N166,"")</x:f>
        <x:v>2.0587999999999997</x:v>
      </x:c>
      <x:c r="T168" s="8" t="n">
        <x:f>IF(COUNT('Monthly data'!E167:E168)=2,'Monthly data'!E168-'Monthly data'!E167,"")</x:f>
        <x:v>0.005766642800001165</x:v>
      </x:c>
    </x:row>
    <x:row r="169" ht="19" customHeight="1">
      <x:c r="A169" s="7" t="n">
        <x:f>'Monthly data'!A169</x:f>
        <x:v>37956</x:v>
      </x:c>
      <x:c r="B169" s="8" t="n">
        <x:f>IF(ISNUMBER('Monthly data'!F169),LN(1+'Monthly data'!F169),"")</x:f>
        <x:v>4.7032945839812905</x:v>
      </x:c>
      <x:c r="C169" s="8" t="n">
        <x:f>IF(ISNUMBER('Monthly data'!G169),LN(1+'Monthly data'!G169),"")</x:f>
        <x:v>3.502697455393503</x:v>
      </x:c>
      <x:c r="D169" s="8" t="n">
        <x:f>IF(ISNUMBER('Monthly data'!H169),LN(1+'Monthly data'!H169),"")</x:f>
        <x:v>3.340395869201493</x:v>
      </x:c>
      <x:c r="E169" s="8" t="n">
        <x:f>IF(ISNUMBER('Monthly data'!I169),LN(1+'Monthly data'!I169),"")</x:f>
        <x:v>3.346801032161051</x:v>
      </x:c>
      <x:c r="F169" s="8" t="n">
        <x:f>IF(ISNUMBER('Monthly data'!J169),LN(1+'Monthly data'!J169),"")</x:f>
        <x:v>1.292725164923727</x:v>
      </x:c>
      <x:c r="G169" s="8" t="n">
        <x:f>IF(ISNUMBER('Monthly data'!K169),LN(1+'Monthly data'!K169),"")</x:f>
        <x:v>1.804708599514265</x:v>
      </x:c>
      <x:c r="H169" s="8" t="n">
        <x:f>IF(ISNUMBER('Monthly data'!L169),LN(1+'Monthly data'!L169),"")</x:f>
        <x:v>0.4344412163446815</x:v>
      </x:c>
      <x:c r="I169" s="8" t="n">
        <x:f>IF(ISNUMBER('Monthly data'!M169),LN(1+'Monthly data'!M169),"")</x:f>
        <x:v>0.8080817186520447</x:v>
      </x:c>
      <x:c r="J169" s="8" t="n">
        <x:f>IF(ISNUMBER('Monthly data'!N169),LN(1+'Monthly data'!N169),"")</x:f>
        <x:v>2.635802036894586</x:v>
      </x:c>
      <x:c r="K169" s="8" t="n">
        <x:f>IF(COUNT('Monthly data'!F167:F169)=3,'Monthly data'!F169-2*'Monthly data'!F168+'Monthly data'!F167,"")</x:f>
        <x:v>-4.909999999999982</x:v>
      </x:c>
      <x:c r="L169" s="8" t="n">
        <x:f>IF(COUNT('Monthly data'!G167:G169)=3,'Monthly data'!G169-2*'Monthly data'!G168+'Monthly data'!G167,"")</x:f>
        <x:v>-9.491099999999992</x:v>
      </x:c>
      <x:c r="M169" s="8" t="n">
        <x:f>IF(COUNT('Monthly data'!H167:H169)=3,'Monthly data'!H169-2*'Monthly data'!H168+'Monthly data'!H167,"")</x:f>
        <x:v>3.404899999999998</x:v>
      </x:c>
      <x:c r="N169" s="8" t="n">
        <x:f>IF(COUNT('Monthly data'!I167:I169)=3,'Monthly data'!I169-2*'Monthly data'!I168+'Monthly data'!I167,"")</x:f>
        <x:v>-0.10389999999999944</x:v>
      </x:c>
      <x:c r="O169" s="8" t="n">
        <x:f>IF(COUNT('Monthly data'!J167:J169)=3,'Monthly data'!J169-2*'Monthly data'!J168+'Monthly data'!J167,"")</x:f>
        <x:v>1.4465</x:v>
      </x:c>
      <x:c r="P169" s="8" t="n">
        <x:f>IF(COUNT('Monthly data'!K167:K169)=3,'Monthly data'!K169-2*'Monthly data'!K168+'Monthly data'!K167,"")</x:f>
        <x:v>0.47110000000000074</x:v>
      </x:c>
      <x:c r="Q169" s="8" t="n">
        <x:f>IF(COUNT('Monthly data'!L167:L169)=3,'Monthly data'!L169-2*'Monthly data'!L168+'Monthly data'!L167,"")</x:f>
        <x:v>-1.9826</x:v>
      </x:c>
      <x:c r="R169" s="8" t="n">
        <x:f>IF(COUNT('Monthly data'!M167:M169)=3,'Monthly data'!M169-2*'Monthly data'!M168+'Monthly data'!M167,"")</x:f>
        <x:v>-1.2400000000000004</x:v>
      </x:c>
      <x:c r="S169" s="8" t="n">
        <x:f>IF(COUNT('Monthly data'!N167:N169)=3,'Monthly data'!N169-2*'Monthly data'!N168+'Monthly data'!N167,"")</x:f>
        <x:v>2.5854</x:v>
      </x:c>
      <x:c r="T169" s="8" t="n">
        <x:f>IF(COUNT('Monthly data'!E168:E169)=2,'Monthly data'!E169-'Monthly data'!E168,"")</x:f>
        <x:v>0.008203813699999785</x:v>
      </x:c>
    </x:row>
    <x:row r="170" ht="19" customHeight="1">
      <x:c r="A170" s="7" t="n">
        <x:f>'Monthly data'!A170</x:f>
        <x:v>37987</x:v>
      </x:c>
      <x:c r="B170" s="8" t="n">
        <x:f>IF(ISNUMBER('Monthly data'!F170),LN(1+'Monthly data'!F170),"")</x:f>
        <x:v>4.460144413937834</x:v>
      </x:c>
      <x:c r="C170" s="8" t="n">
        <x:f>IF(ISNUMBER('Monthly data'!G170),LN(1+'Monthly data'!G170),"")</x:f>
        <x:v>3.189385220301142</x:v>
      </x:c>
      <x:c r="D170" s="8" t="n">
        <x:f>IF(ISNUMBER('Monthly data'!H170),LN(1+'Monthly data'!H170),"")</x:f>
        <x:v>3.244056123398499</x:v>
      </x:c>
      <x:c r="E170" s="8" t="n">
        <x:f>IF(ISNUMBER('Monthly data'!I170),LN(1+'Monthly data'!I170),"")</x:f>
        <x:v>2.9275872568223082</x:v>
      </x:c>
      <x:c r="F170" s="8" t="n">
        <x:f>IF(ISNUMBER('Monthly data'!J170),LN(1+'Monthly data'!J170),"")</x:f>
        <x:v>1.4220716524954116</x:v>
      </x:c>
      <x:c r="G170" s="8" t="n">
        <x:f>IF(ISNUMBER('Monthly data'!K170),LN(1+'Monthly data'!K170),"")</x:f>
        <x:v>1.8763456856694043</x:v>
      </x:c>
      <x:c r="H170" s="8" t="n">
        <x:f>IF(ISNUMBER('Monthly data'!L170),LN(1+'Monthly data'!L170),"")</x:f>
        <x:v>0.38315133051157996</x:v>
      </x:c>
      <x:c r="I170" s="8" t="n">
        <x:f>IF(ISNUMBER('Monthly data'!M170),LN(1+'Monthly data'!M170),"")</x:f>
        <x:v>0.538071072656186</x:v>
      </x:c>
      <x:c r="J170" s="8" t="n">
        <x:f>IF(ISNUMBER('Monthly data'!N170),LN(1+'Monthly data'!N170),"")</x:f>
        <x:v>2.4025752138618683</x:v>
      </x:c>
      <x:c r="K170" s="8" t="n">
        <x:f>IF(COUNT('Monthly data'!F168:F170)=3,'Monthly data'!F170-2*'Monthly data'!F169+'Monthly data'!F168,"")</x:f>
        <x:v>-31.41000000000001</x:v>
      </x:c>
      <x:c r="L170" s="8" t="n">
        <x:f>IF(COUNT('Monthly data'!G168:G170)=3,'Monthly data'!G170-2*'Monthly data'!G169+'Monthly data'!G168,"")</x:f>
        <x:v>-5.511400000000009</x:v>
      </x:c>
      <x:c r="M170" s="8" t="n">
        <x:f>IF(COUNT('Monthly data'!H168:H170)=3,'Monthly data'!H170-2*'Monthly data'!H169+'Monthly data'!H168,"")</x:f>
        <x:v>-7.7292999999999985</x:v>
      </x:c>
      <x:c r="N170" s="8" t="n">
        <x:f>IF(COUNT('Monthly data'!I168:I170)=3,'Monthly data'!I170-2*'Monthly data'!I169+'Monthly data'!I168,"")</x:f>
        <x:v>-14.642300000000002</x:v>
      </x:c>
      <x:c r="O170" s="8" t="n">
        <x:f>IF(COUNT('Monthly data'!J168:J170)=3,'Monthly data'!J170-2*'Monthly data'!J169+'Monthly data'!J168,"")</x:f>
        <x:v>0.9762</x:v>
      </x:c>
      <x:c r="P170" s="8" t="n">
        <x:f>IF(COUNT('Monthly data'!K168:K170)=3,'Monthly data'!K170-2*'Monthly data'!K169+'Monthly data'!K168,"")</x:f>
        <x:v>-0.3331999999999997</x:v>
      </x:c>
      <x:c r="Q170" s="8" t="n">
        <x:f>IF(COUNT('Monthly data'!L168:L170)=3,'Monthly data'!L170-2*'Monthly data'!L169+'Monthly data'!L168,"")</x:f>
        <x:v>1.1698</x:v>
      </x:c>
      <x:c r="R170" s="8" t="n">
        <x:f>IF(COUNT('Monthly data'!M168:M170)=3,'Monthly data'!M170-2*'Monthly data'!M169+'Monthly data'!M168,"")</x:f>
        <x:v>0.2864</x:v>
      </x:c>
      <x:c r="S170" s="8" t="n">
        <x:f>IF(COUNT('Monthly data'!N168:N170)=3,'Monthly data'!N170-2*'Monthly data'!N169+'Monthly data'!N168,"")</x:f>
        <x:v>-5.626299999999999</x:v>
      </x:c>
      <x:c r="T170" s="8" t="n">
        <x:f>IF(COUNT('Monthly data'!E169:E170)=2,'Monthly data'!E170-'Monthly data'!E169,"")</x:f>
        <x:v>-0.006460077999999925</x:v>
      </x:c>
    </x:row>
    <x:row r="171" ht="19" customHeight="1">
      <x:c r="A171" s="7" t="n">
        <x:f>'Monthly data'!A171</x:f>
        <x:v>38018</x:v>
      </x:c>
      <x:c r="B171" s="8" t="n">
        <x:f>IF(ISNUMBER('Monthly data'!F171),LN(1+'Monthly data'!F171),"")</x:f>
        <x:v>4.535820107853298</x:v>
      </x:c>
      <x:c r="C171" s="8" t="n">
        <x:f>IF(ISNUMBER('Monthly data'!G171),LN(1+'Monthly data'!G171),"")</x:f>
        <x:v>3.008929801798035</x:v>
      </x:c>
      <x:c r="D171" s="8" t="n">
        <x:f>IF(ISNUMBER('Monthly data'!H171),LN(1+'Monthly data'!H171),"")</x:f>
        <x:v>3.1384420407342333</x:v>
      </x:c>
      <x:c r="E171" s="8" t="n">
        <x:f>IF(ISNUMBER('Monthly data'!I171),LN(1+'Monthly data'!I171),"")</x:f>
        <x:v>3.0441033022793857</x:v>
      </x:c>
      <x:c r="F171" s="8" t="n">
        <x:f>IF(ISNUMBER('Monthly data'!J171),LN(1+'Monthly data'!J171),"")</x:f>
        <x:v>2.2856627137980965</x:v>
      </x:c>
      <x:c r="G171" s="8" t="n">
        <x:f>IF(ISNUMBER('Monthly data'!K171),LN(1+'Monthly data'!K171),"")</x:f>
        <x:v>2.3779615459999355</x:v>
      </x:c>
      <x:c r="H171" s="8" t="n">
        <x:f>IF(ISNUMBER('Monthly data'!L171),LN(1+'Monthly data'!L171),"")</x:f>
        <x:v>0.6809733796282366</x:v>
      </x:c>
      <x:c r="I171" s="8" t="n">
        <x:f>IF(ISNUMBER('Monthly data'!M171),LN(1+'Monthly data'!M171),"")</x:f>
        <x:v>0.5881754781933227</x:v>
      </x:c>
      <x:c r="J171" s="8" t="n">
        <x:f>IF(ISNUMBER('Monthly data'!N171),LN(1+'Monthly data'!N171),"")</x:f>
        <x:v>2.4495903046604326</x:v>
      </x:c>
      <x:c r="K171" s="8" t="n">
        <x:f>IF(COUNT('Monthly data'!F169:F171)=3,'Monthly data'!F171-2*'Monthly data'!F170+'Monthly data'!F169,"")</x:f>
        <x:v>30.61</x:v>
      </x:c>
      <x:c r="L171" s="8" t="n">
        <x:f>IF(COUNT('Monthly data'!G169:G171)=3,'Monthly data'!G171-2*'Monthly data'!G170+'Monthly data'!G169,"")</x:f>
        <x:v>4.923600000000004</x:v>
      </x:c>
      <x:c r="M171" s="8" t="n">
        <x:f>IF(COUNT('Monthly data'!H169:H171)=3,'Monthly data'!H171-2*'Monthly data'!H170+'Monthly data'!H169,"")</x:f>
        <x:v>0.023200000000002774</x:v>
      </x:c>
      <x:c r="N171" s="8" t="n">
        <x:f>IF(COUNT('Monthly data'!I169:I171)=3,'Monthly data'!I171-2*'Monthly data'!I170+'Monthly data'!I169,"")</x:f>
        <x:v>12.037899999999997</x:v>
      </x:c>
      <x:c r="O171" s="8" t="n">
        <x:f>IF(COUNT('Monthly data'!J169:J171)=3,'Monthly data'!J171-2*'Monthly data'!J170+'Monthly data'!J169,"")</x:f>
        <x:v>5.1835</x:v>
      </x:c>
      <x:c r="P171" s="8" t="n">
        <x:f>IF(COUNT('Monthly data'!K169:K171)=3,'Monthly data'!K171-2*'Monthly data'!K170+'Monthly data'!K169,"")</x:f>
        <x:v>3.801899999999999</x:v>
      </x:c>
      <x:c r="Q171" s="8" t="n">
        <x:f>IF(COUNT('Monthly data'!L169:L171)=3,'Monthly data'!L171-2*'Monthly data'!L170+'Monthly data'!L169,"")</x:f>
        <x:v>0.5861000000000001</x:v>
      </x:c>
      <x:c r="R171" s="8" t="n">
        <x:f>IF(COUNT('Monthly data'!M169:M171)=3,'Monthly data'!M171-2*'Monthly data'!M170+'Monthly data'!M169,"")</x:f>
        <x:v>0.6189</x:v>
      </x:c>
      <x:c r="S171" s="8" t="n">
        <x:f>IF(COUNT('Monthly data'!N169:N171)=3,'Monthly data'!N171-2*'Monthly data'!N170+'Monthly data'!N169,"")</x:f>
        <x:v>3.434899999999999</x:v>
      </x:c>
      <x:c r="T171" s="8" t="n">
        <x:f>IF(COUNT('Monthly data'!E170:E171)=2,'Monthly data'!E171-'Monthly data'!E170,"")</x:f>
        <x:v>-0.0007751923000007821</x:v>
      </x:c>
    </x:row>
    <x:row r="172" ht="19" customHeight="1">
      <x:c r="A172" s="7" t="n">
        <x:f>'Monthly data'!A172</x:f>
        <x:v>38047</x:v>
      </x:c>
      <x:c r="B172" s="8" t="n">
        <x:f>IF(ISNUMBER('Monthly data'!F172),LN(1+'Monthly data'!F172),"")</x:f>
        <x:v>4.651099117876491</x:v>
      </x:c>
      <x:c r="C172" s="8" t="n">
        <x:f>IF(ISNUMBER('Monthly data'!G172),LN(1+'Monthly data'!G172),"")</x:f>
        <x:v>3.3049544336314436</x:v>
      </x:c>
      <x:c r="D172" s="8" t="n">
        <x:f>IF(ISNUMBER('Monthly data'!H172),LN(1+'Monthly data'!H172),"")</x:f>
        <x:v>3.0829507124381603</x:v>
      </x:c>
      <x:c r="E172" s="8" t="n">
        <x:f>IF(ISNUMBER('Monthly data'!I172),LN(1+'Monthly data'!I172),"")</x:f>
        <x:v>3.467727667917996</x:v>
      </x:c>
      <x:c r="F172" s="8" t="n">
        <x:f>IF(ISNUMBER('Monthly data'!J172),LN(1+'Monthly data'!J172),"")</x:f>
        <x:v>1.7976421323862106</x:v>
      </x:c>
      <x:c r="G172" s="8" t="n">
        <x:f>IF(ISNUMBER('Monthly data'!K172),LN(1+'Monthly data'!K172),"")</x:f>
        <x:v>1.7772886027995987</x:v>
      </x:c>
      <x:c r="H172" s="8" t="n">
        <x:f>IF(ISNUMBER('Monthly data'!L172),LN(1+'Monthly data'!L172),"")</x:f>
        <x:v>1.785473084585347</x:v>
      </x:c>
      <x:c r="I172" s="8" t="n">
        <x:f>IF(ISNUMBER('Monthly data'!M172),LN(1+'Monthly data'!M172),"")</x:f>
        <x:v>0.703938741638144</x:v>
      </x:c>
      <x:c r="J172" s="8" t="n">
        <x:f>IF(ISNUMBER('Monthly data'!N172),LN(1+'Monthly data'!N172),"")</x:f>
        <x:v>2.3639529679411924</x:v>
      </x:c>
      <x:c r="K172" s="8" t="n">
        <x:f>IF(COUNT('Monthly data'!F170:F172)=3,'Monthly data'!F172-2*'Monthly data'!F171+'Monthly data'!F170,"")</x:f>
        <x:v>4.6000000000000085</x:v>
      </x:c>
      <x:c r="L172" s="8" t="n">
        <x:f>IF(COUNT('Monthly data'!G170:G172)=3,'Monthly data'!G172-2*'Monthly data'!G171+'Monthly data'!G170,"")</x:f>
        <x:v>10.9894</x:v>
      </x:c>
      <x:c r="M172" s="8" t="n">
        <x:f>IF(COUNT('Monthly data'!H170:H172)=3,'Monthly data'!H172-2*'Monthly data'!H171+'Monthly data'!H170,"")</x:f>
        <x:v>1.3243999999999971</x:v>
      </x:c>
      <x:c r="N172" s="8" t="n">
        <x:f>IF(COUNT('Monthly data'!I170:I172)=3,'Monthly data'!I172-2*'Monthly data'!I171+'Monthly data'!I170,"")</x:f>
        <x:v>8.763900000000003</x:v>
      </x:c>
      <x:c r="O172" s="8" t="n">
        <x:f>IF(COUNT('Monthly data'!J170:J172)=3,'Monthly data'!J172-2*'Monthly data'!J171+'Monthly data'!J170,"")</x:f>
        <x:v>-9.483300000000002</x:v>
      </x:c>
      <x:c r="P172" s="8" t="n">
        <x:f>IF(COUNT('Monthly data'!K170:K172)=3,'Monthly data'!K172-2*'Monthly data'!K171+'Monthly data'!K170,"")</x:f>
        <x:v>-9.122399999999999</x:v>
      </x:c>
      <x:c r="Q172" s="8" t="n">
        <x:f>IF(COUNT('Monthly data'!L170:L172)=3,'Monthly data'!L172-2*'Monthly data'!L171+'Monthly data'!L170,"")</x:f>
        <x:v>3.4776999999999996</x:v>
      </x:c>
      <x:c r="R172" s="8" t="n">
        <x:f>IF(COUNT('Monthly data'!M170:M172)=3,'Monthly data'!M172-2*'Monthly data'!M171+'Monthly data'!M170,"")</x:f>
        <x:v>0.13300000000000012</x:v>
      </x:c>
      <x:c r="S172" s="8" t="n">
        <x:f>IF(COUNT('Monthly data'!N170:N172)=3,'Monthly data'!N172-2*'Monthly data'!N171+'Monthly data'!N170,"")</x:f>
        <x:v>-1.4827000000000012</x:v>
      </x:c>
      <x:c r="T172" s="8" t="n">
        <x:f>IF(COUNT('Monthly data'!E171:E172)=2,'Monthly data'!E172-'Monthly data'!E171,"")</x:f>
        <x:v>0.007322587100000888</x:v>
      </x:c>
    </x:row>
    <x:row r="173" ht="19" customHeight="1">
      <x:c r="A173" s="7" t="n">
        <x:f>'Monthly data'!A173</x:f>
        <x:v>38078</x:v>
      </x:c>
      <x:c r="B173" s="8" t="n">
        <x:f>IF(ISNUMBER('Monthly data'!F173),LN(1+'Monthly data'!F173),"")</x:f>
        <x:v>4.7622594012308666</x:v>
      </x:c>
      <x:c r="C173" s="8" t="n">
        <x:f>IF(ISNUMBER('Monthly data'!G173),LN(1+'Monthly data'!G173),"")</x:f>
        <x:v>3.959765001413567</x:v>
      </x:c>
      <x:c r="D173" s="8" t="n">
        <x:f>IF(ISNUMBER('Monthly data'!H173),LN(1+'Monthly data'!H173),"")</x:f>
        <x:v>3.0413173067744745</x:v>
      </x:c>
      <x:c r="E173" s="8" t="n">
        <x:f>IF(ISNUMBER('Monthly data'!I173),LN(1+'Monthly data'!I173),"")</x:f>
        <x:v>3.2975945795795916</x:v>
      </x:c>
      <x:c r="F173" s="8" t="n">
        <x:f>IF(ISNUMBER('Monthly data'!J173),LN(1+'Monthly data'!J173),"")</x:f>
        <x:v>1.5439816369554842</x:v>
      </x:c>
      <x:c r="G173" s="8" t="n">
        <x:f>IF(ISNUMBER('Monthly data'!K173),LN(1+'Monthly data'!K173),"")</x:f>
        <x:v>1.4181563342686347</x:v>
      </x:c>
      <x:c r="H173" s="8" t="n">
        <x:f>IF(ISNUMBER('Monthly data'!L173),LN(1+'Monthly data'!L173),"")</x:f>
        <x:v>0.5152757074396022</x:v>
      </x:c>
      <x:c r="I173" s="8" t="n">
        <x:f>IF(ISNUMBER('Monthly data'!M173),LN(1+'Monthly data'!M173),"")</x:f>
        <x:v>0.5436025432799277</x:v>
      </x:c>
      <x:c r="J173" s="8" t="n">
        <x:f>IF(ISNUMBER('Monthly data'!N173),LN(1+'Monthly data'!N173),"")</x:f>
        <x:v>2.431479501405139</x:v>
      </x:c>
      <x:c r="K173" s="8" t="n">
        <x:f>IF(COUNT('Monthly data'!F171:F173)=3,'Monthly data'!F173-2*'Monthly data'!F172+'Monthly data'!F171,"")</x:f>
        <x:v>0.9099999999999966</x:v>
      </x:c>
      <x:c r="L173" s="8" t="n">
        <x:f>IF(COUNT('Monthly data'!G171:G173)=3,'Monthly data'!G173-2*'Monthly data'!G172+'Monthly data'!G171,"")</x:f>
        <x:v>18.2161</x:v>
      </x:c>
      <x:c r="M173" s="8" t="n">
        <x:f>IF(COUNT('Monthly data'!H171:H173)=3,'Monthly data'!H173-2*'Monthly data'!H172+'Monthly data'!H171,"")</x:f>
        <x:v>0.3552999999999997</x:v>
      </x:c>
      <x:c r="N173" s="8" t="n">
        <x:f>IF(COUNT('Monthly data'!I171:I173)=3,'Monthly data'!I173-2*'Monthly data'!I172+'Monthly data'!I171,"")</x:f>
        <x:v>-16.088900000000002</x:v>
      </x:c>
      <x:c r="O173" s="8" t="n">
        <x:f>IF(COUNT('Monthly data'!J171:J173)=3,'Monthly data'!J173-2*'Monthly data'!J172+'Monthly data'!J171,"")</x:f>
        <x:v>2.4445999999999994</x:v>
      </x:c>
      <x:c r="P173" s="8" t="n">
        <x:f>IF(COUNT('Monthly data'!K171:K173)=3,'Monthly data'!K173-2*'Monthly data'!K172+'Monthly data'!K171,"")</x:f>
        <x:v>3.0847999999999995</x:v>
      </x:c>
      <x:c r="Q173" s="8" t="n">
        <x:f>IF(COUNT('Monthly data'!L171:L173)=3,'Monthly data'!L173-2*'Monthly data'!L172+'Monthly data'!L171,"")</x:f>
        <x:v>-8.2749</x:v>
      </x:c>
      <x:c r="R173" s="8" t="n">
        <x:f>IF(COUNT('Monthly data'!M171:M173)=3,'Monthly data'!M173-2*'Monthly data'!M172+'Monthly data'!M171,"")</x:f>
        <x:v>-0.5205000000000002</x:v>
      </x:c>
      <x:c r="S173" s="8" t="n">
        <x:f>IF(COUNT('Monthly data'!N171:N173)=3,'Monthly data'!N173-2*'Monthly data'!N172+'Monthly data'!N171,"")</x:f>
        <x:v>1.693500000000002</x:v>
      </x:c>
      <x:c r="T173" s="8" t="n">
        <x:f>IF(COUNT('Monthly data'!E172:E173)=2,'Monthly data'!E173-'Monthly data'!E172,"")</x:f>
        <x:v>-0.005630203800000899</x:v>
      </x:c>
    </x:row>
    <x:row r="174" ht="19" customHeight="1">
      <x:c r="A174" s="7" t="n">
        <x:f>'Monthly data'!A174</x:f>
        <x:v>38108</x:v>
      </x:c>
      <x:c r="B174" s="8" t="n">
        <x:f>IF(ISNUMBER('Monthly data'!F174),LN(1+'Monthly data'!F174),"")</x:f>
        <x:v>4.79752457848242</x:v>
      </x:c>
      <x:c r="C174" s="8" t="n">
        <x:f>IF(ISNUMBER('Monthly data'!G174),LN(1+'Monthly data'!G174),"")</x:f>
        <x:v>3.905858041026744</x:v>
      </x:c>
      <x:c r="D174" s="8" t="n">
        <x:f>IF(ISNUMBER('Monthly data'!H174),LN(1+'Monthly data'!H174),"")</x:f>
        <x:v>3.1372014534217056</x:v>
      </x:c>
      <x:c r="E174" s="8" t="n">
        <x:f>IF(ISNUMBER('Monthly data'!I174),LN(1+'Monthly data'!I174),"")</x:f>
        <x:v>3.227780064203923</x:v>
      </x:c>
      <x:c r="F174" s="8" t="n">
        <x:f>IF(ISNUMBER('Monthly data'!J174),LN(1+'Monthly data'!J174),"")</x:f>
        <x:v>1.770144200088824</x:v>
      </x:c>
      <x:c r="G174" s="8" t="n">
        <x:f>IF(ISNUMBER('Monthly data'!K174),LN(1+'Monthly data'!K174),"")</x:f>
        <x:v>1.4091315950226477</x:v>
      </x:c>
      <x:c r="H174" s="8" t="n">
        <x:f>IF(ISNUMBER('Monthly data'!L174),LN(1+'Monthly data'!L174),"")</x:f>
        <x:v>0.551756412367955</x:v>
      </x:c>
      <x:c r="I174" s="8" t="n">
        <x:f>IF(ISNUMBER('Monthly data'!M174),LN(1+'Monthly data'!M174),"")</x:f>
        <x:v>0.7440303908745152</x:v>
      </x:c>
      <x:c r="J174" s="8" t="n">
        <x:f>IF(ISNUMBER('Monthly data'!N174),LN(1+'Monthly data'!N174),"")</x:f>
        <x:v>2.800301160806317</x:v>
      </x:c>
      <x:c r="K174" s="8" t="n">
        <x:f>IF(COUNT('Monthly data'!F172:F174)=3,'Monthly data'!F174-2*'Monthly data'!F173+'Monthly data'!F172,"")</x:f>
        <x:v>-8.110000000000014</x:v>
      </x:c>
      <x:c r="L174" s="8" t="n">
        <x:f>IF(COUNT('Monthly data'!G172:G174)=3,'Monthly data'!G174-2*'Monthly data'!G173+'Monthly data'!G172,"")</x:f>
        <x:v>-27.95</x:v>
      </x:c>
      <x:c r="M174" s="8" t="n">
        <x:f>IF(COUNT('Monthly data'!H172:H174)=3,'Monthly data'!H174-2*'Monthly data'!H173+'Monthly data'!H172,"")</x:f>
        <x:v>2.9964000000000013</x:v>
      </x:c>
      <x:c r="N174" s="8" t="n">
        <x:f>IF(COUNT('Monthly data'!I172:I174)=3,'Monthly data'!I174-2*'Monthly data'!I173+'Monthly data'!I172,"")</x:f>
        <x:v>3.192400000000003</x:v>
      </x:c>
      <x:c r="O174" s="8" t="n">
        <x:f>IF(COUNT('Monthly data'!J172:J174)=3,'Monthly data'!J174-2*'Monthly data'!J173+'Monthly data'!J172,"")</x:f>
        <x:v>2.5407</x:v>
      </x:c>
      <x:c r="P174" s="8" t="n">
        <x:f>IF(COUNT('Monthly data'!K172:K174)=3,'Monthly data'!K174-2*'Monthly data'!K173+'Monthly data'!K172,"")</x:f>
        <x:v>1.7471999999999999</x:v>
      </x:c>
      <x:c r="Q174" s="8" t="n">
        <x:f>IF(COUNT('Monthly data'!L172:L174)=3,'Monthly data'!L174-2*'Monthly data'!L173+'Monthly data'!L172,"")</x:f>
        <x:v>4.350499999999999</x:v>
      </x:c>
      <x:c r="R174" s="8" t="n">
        <x:f>IF(COUNT('Monthly data'!M172:M174)=3,'Monthly data'!M174-2*'Monthly data'!M173+'Monthly data'!M172,"")</x:f>
        <x:v>0.6817000000000002</x:v>
      </x:c>
      <x:c r="S174" s="8" t="n">
        <x:f>IF(COUNT('Monthly data'!N172:N174)=3,'Monthly data'!N174-2*'Monthly data'!N173+'Monthly data'!N172,"")</x:f>
        <x:v>4.331099999999999</x:v>
      </x:c>
      <x:c r="T174" s="8" t="n">
        <x:f>IF(COUNT('Monthly data'!E173:E174)=2,'Monthly data'!E174-'Monthly data'!E173,"")</x:f>
        <x:v>0.005959538300000844</x:v>
      </x:c>
    </x:row>
    <x:row r="175" ht="19" customHeight="1">
      <x:c r="A175" s="7" t="n">
        <x:f>'Monthly data'!A175</x:f>
        <x:v>38139</x:v>
      </x:c>
      <x:c r="B175" s="8" t="n">
        <x:f>IF(ISNUMBER('Monthly data'!F175),LN(1+'Monthly data'!F175),"")</x:f>
        <x:v>4.714562562759288</x:v>
      </x:c>
      <x:c r="C175" s="8" t="n">
        <x:f>IF(ISNUMBER('Monthly data'!G175),LN(1+'Monthly data'!G175),"")</x:f>
        <x:v>3.5361448545049776</x:v>
      </x:c>
      <x:c r="D175" s="8" t="n">
        <x:f>IF(ISNUMBER('Monthly data'!H175),LN(1+'Monthly data'!H175),"")</x:f>
        <x:v>3.192806965684785</x:v>
      </x:c>
      <x:c r="E175" s="8" t="n">
        <x:f>IF(ISNUMBER('Monthly data'!I175),LN(1+'Monthly data'!I175),"")</x:f>
        <x:v>3.381712104005252</x:v>
      </x:c>
      <x:c r="F175" s="8" t="n">
        <x:f>IF(ISNUMBER('Monthly data'!J175),LN(1+'Monthly data'!J175),"")</x:f>
        <x:v>1.4229878450563656</x:v>
      </x:c>
      <x:c r="G175" s="8" t="n">
        <x:f>IF(ISNUMBER('Monthly data'!K175),LN(1+'Monthly data'!K175),"")</x:f>
        <x:v>1.827062260930442</x:v>
      </x:c>
      <x:c r="H175" s="8" t="n">
        <x:f>IF(ISNUMBER('Monthly data'!L175),LN(1+'Monthly data'!L175),"")</x:f>
        <x:v>0.5912805541563748</x:v>
      </x:c>
      <x:c r="I175" s="8" t="n">
        <x:f>IF(ISNUMBER('Monthly data'!M175),LN(1+'Monthly data'!M175),"")</x:f>
        <x:v>0.28329747413395695</x:v>
      </x:c>
      <x:c r="J175" s="8" t="n">
        <x:f>IF(ISNUMBER('Monthly data'!N175),LN(1+'Monthly data'!N175),"")</x:f>
        <x:v>2.8302147350716127</x:v>
      </x:c>
      <x:c r="K175" s="8" t="n">
        <x:f>IF(COUNT('Monthly data'!F173:F175)=3,'Monthly data'!F175-2*'Monthly data'!F174+'Monthly data'!F173,"")</x:f>
        <x:v>-13.84999999999998</x:v>
      </x:c>
      <x:c r="L175" s="8" t="n">
        <x:f>IF(COUNT('Monthly data'!G173:G175)=3,'Monthly data'!G175-2*'Monthly data'!G174+'Monthly data'!G173,"")</x:f>
        <x:v>-12.606100000000005</x:v>
      </x:c>
      <x:c r="M175" s="8" t="n">
        <x:f>IF(COUNT('Monthly data'!H173:H175)=3,'Monthly data'!H175-2*'Monthly data'!H174+'Monthly data'!H173,"")</x:f>
        <x:v>-0.7891000000000012</x:v>
      </x:c>
      <x:c r="N175" s="8" t="n">
        <x:f>IF(COUNT('Monthly data'!I173:I175)=3,'Monthly data'!I175-2*'Monthly data'!I174+'Monthly data'!I173,"")</x:f>
        <x:v>6.021399999999996</x:v>
      </x:c>
      <x:c r="O175" s="8" t="n">
        <x:f>IF(COUNT('Monthly data'!J173:J175)=3,'Monthly data'!J175-2*'Monthly data'!J174+'Monthly data'!J173,"")</x:f>
        <x:v>-2.9107</x:v>
      </x:c>
      <x:c r="P175" s="8" t="n">
        <x:f>IF(COUNT('Monthly data'!K173:K175)=3,'Monthly data'!K175-2*'Monthly data'!K174+'Monthly data'!K173,"")</x:f>
        <x:v>2.1603000000000003</x:v>
      </x:c>
      <x:c r="Q175" s="8" t="n">
        <x:f>IF(COUNT('Monthly data'!L173:L175)=3,'Monthly data'!L175-2*'Monthly data'!L174+'Monthly data'!L173,"")</x:f>
        <x:v>0.00780000000000014</x:v>
      </x:c>
      <x:c r="R175" s="8" t="n">
        <x:f>IF(COUNT('Monthly data'!M173:M175)=3,'Monthly data'!M175-2*'Monthly data'!M174+'Monthly data'!M173,"")</x:f>
        <x:v>-1.1591</x:v>
      </x:c>
      <x:c r="S175" s="8" t="n">
        <x:f>IF(COUNT('Monthly data'!N173:N175)=3,'Monthly data'!N175-2*'Monthly data'!N174+'Monthly data'!N173,"")</x:f>
        <x:v>-4.574400000000001</x:v>
      </x:c>
      <x:c r="T175" s="8" t="n">
        <x:f>IF(COUNT('Monthly data'!E174:E175)=2,'Monthly data'!E175-'Monthly data'!E174,"")</x:f>
        <x:v>0.019554451599999467</x:v>
      </x:c>
    </x:row>
    <x:row r="176" ht="19" customHeight="1">
      <x:c r="A176" s="7" t="n">
        <x:f>'Monthly data'!A176</x:f>
        <x:v>38169</x:v>
      </x:c>
      <x:c r="B176" s="8" t="n">
        <x:f>IF(ISNUMBER('Monthly data'!F176),LN(1+'Monthly data'!F176),"")</x:f>
        <x:v>4.592490132830717</x:v>
      </x:c>
      <x:c r="C176" s="8" t="n">
        <x:f>IF(ISNUMBER('Monthly data'!G176),LN(1+'Monthly data'!G176),"")</x:f>
        <x:v>3.2349027055450104</x:v>
      </x:c>
      <x:c r="D176" s="8" t="n">
        <x:f>IF(ISNUMBER('Monthly data'!H176),LN(1+'Monthly data'!H176),"")</x:f>
        <x:v>3.081593405932523</x:v>
      </x:c>
      <x:c r="E176" s="8" t="n">
        <x:f>IF(ISNUMBER('Monthly data'!I176),LN(1+'Monthly data'!I176),"")</x:f>
        <x:v>3.331089603183028</x:v>
      </x:c>
      <x:c r="F176" s="8" t="n">
        <x:f>IF(ISNUMBER('Monthly data'!J176),LN(1+'Monthly data'!J176),"")</x:f>
        <x:v>1.7502949071943956</x:v>
      </x:c>
      <x:c r="G176" s="8" t="n">
        <x:f>IF(ISNUMBER('Monthly data'!K176),LN(1+'Monthly data'!K176),"")</x:f>
        <x:v>1.3188716848024564</x:v>
      </x:c>
      <x:c r="H176" s="8" t="n">
        <x:f>IF(ISNUMBER('Monthly data'!L176),LN(1+'Monthly data'!L176),"")</x:f>
        <x:v>0.28043084573758814</x:v>
      </x:c>
      <x:c r="I176" s="8" t="n">
        <x:f>IF(ISNUMBER('Monthly data'!M176),LN(1+'Monthly data'!M176),"")</x:f>
        <x:v>0.9814790418532233</x:v>
      </x:c>
      <x:c r="J176" s="8" t="n">
        <x:f>IF(ISNUMBER('Monthly data'!N176),LN(1+'Monthly data'!N176),"")</x:f>
        <x:v>2.8382945305824823</x:v>
      </x:c>
      <x:c r="K176" s="8" t="n">
        <x:f>IF(COUNT('Monthly data'!F174:F176)=3,'Monthly data'!F176-2*'Monthly data'!F175+'Monthly data'!F174,"")</x:f>
        <x:v>-3.170000000000016</x:v>
      </x:c>
      <x:c r="L176" s="8" t="n">
        <x:f>IF(COUNT('Monthly data'!G174:G176)=3,'Monthly data'!G176-2*'Monthly data'!G175+'Monthly data'!G174,"")</x:f>
        <x:v>6.428000000000004</x:v>
      </x:c>
      <x:c r="M176" s="8" t="n">
        <x:f>IF(COUNT('Monthly data'!H174:H176)=3,'Monthly data'!H176-2*'Monthly data'!H175+'Monthly data'!H174,"")</x:f>
        <x:v>-3.8810000000000002</x:v>
      </x:c>
      <x:c r="N176" s="8" t="n">
        <x:f>IF(COUNT('Monthly data'!I174:I176)=3,'Monthly data'!I176-2*'Monthly data'!I175+'Monthly data'!I174,"")</x:f>
        <x:v>-5.6497999999999955</x:v>
      </x:c>
      <x:c r="O176" s="8" t="n">
        <x:f>IF(COUNT('Monthly data'!J174:J176)=3,'Monthly data'!J176-2*'Monthly data'!J175+'Monthly data'!J174,"")</x:f>
        <x:v>3.3289999999999997</x:v>
      </x:c>
      <x:c r="P176" s="8" t="n">
        <x:f>IF(COUNT('Monthly data'!K174:K176)=3,'Monthly data'!K176-2*'Monthly data'!K175+'Monthly data'!K174,"")</x:f>
        <x:v>-4.599600000000001</x:v>
      </x:c>
      <x:c r="Q176" s="8" t="n">
        <x:f>IF(COUNT('Monthly data'!L174:L176)=3,'Monthly data'!L176-2*'Monthly data'!L175+'Monthly data'!L174,"")</x:f>
        <x:v>-0.5526</x:v>
      </x:c>
      <x:c r="R176" s="8" t="n">
        <x:f>IF(COUNT('Monthly data'!M174:M176)=3,'Monthly data'!M176-2*'Monthly data'!M175+'Monthly data'!M174,"")</x:f>
        <x:v>2.1178</x:v>
      </x:c>
      <x:c r="S176" s="8" t="n">
        <x:f>IF(COUNT('Monthly data'!N174:N176)=3,'Monthly data'!N176-2*'Monthly data'!N175+'Monthly data'!N174,"")</x:f>
        <x:v>-0.3619999999999983</x:v>
      </x:c>
      <x:c r="T176" s="8" t="n">
        <x:f>IF(COUNT('Monthly data'!E175:E176)=2,'Monthly data'!E176-'Monthly data'!E175,"")</x:f>
        <x:v>0.004407667200000631</x:v>
      </x:c>
    </x:row>
    <x:row r="177" ht="19" customHeight="1">
      <x:c r="A177" s="7" t="n">
        <x:f>'Monthly data'!A177</x:f>
        <x:v>38200</x:v>
      </x:c>
      <x:c r="B177" s="8" t="n">
        <x:f>IF(ISNUMBER('Monthly data'!F177),LN(1+'Monthly data'!F177),"")</x:f>
        <x:v>4.716532653841552</x:v>
      </x:c>
      <x:c r="C177" s="8" t="n">
        <x:f>IF(ISNUMBER('Monthly data'!G177),LN(1+'Monthly data'!G177),"")</x:f>
        <x:v>3.4456416079727075</x:v>
      </x:c>
      <x:c r="D177" s="8" t="n">
        <x:f>IF(ISNUMBER('Monthly data'!H177),LN(1+'Monthly data'!H177),"")</x:f>
        <x:v>2.8625151172663443</x:v>
      </x:c>
      <x:c r="E177" s="8" t="n">
        <x:f>IF(ISNUMBER('Monthly data'!I177),LN(1+'Monthly data'!I177),"")</x:f>
        <x:v>3.6368069088208266</x:v>
      </x:c>
      <x:c r="F177" s="8" t="n">
        <x:f>IF(ISNUMBER('Monthly data'!J177),LN(1+'Monthly data'!J177),"")</x:f>
        <x:v>1.851081281972863</x:v>
      </x:c>
      <x:c r="G177" s="8" t="n">
        <x:f>IF(ISNUMBER('Monthly data'!K177),LN(1+'Monthly data'!K177),"")</x:f>
        <x:v>1.5054542262891482</x:v>
      </x:c>
      <x:c r="H177" s="8" t="n">
        <x:f>IF(ISNUMBER('Monthly data'!L177),LN(1+'Monthly data'!L177),"")</x:f>
        <x:v>0.6940467758027815</x:v>
      </x:c>
      <x:c r="I177" s="8" t="n">
        <x:f>IF(ISNUMBER('Monthly data'!M177),LN(1+'Monthly data'!M177),"")</x:f>
        <x:v>0.42179766939572444</x:v>
      </x:c>
      <x:c r="J177" s="8" t="n">
        <x:f>IF(ISNUMBER('Monthly data'!N177),LN(1+'Monthly data'!N177),"")</x:f>
        <x:v>2.8645581005031464</x:v>
      </x:c>
      <x:c r="K177" s="8" t="n">
        <x:f>IF(COUNT('Monthly data'!F175:F177)=3,'Monthly data'!F177-2*'Monthly data'!F176+'Monthly data'!F175,"")</x:f>
        <x:v>25.860000000000014</x:v>
      </x:c>
      <x:c r="L177" s="8" t="n">
        <x:f>IF(COUNT('Monthly data'!G175:G177)=3,'Monthly data'!G177-2*'Monthly data'!G176+'Monthly data'!G175,"")</x:f>
        <x:v>14.889899999999997</x:v>
      </x:c>
      <x:c r="M177" s="8" t="n">
        <x:f>IF(COUNT('Monthly data'!H175:H177)=3,'Monthly data'!H177-2*'Monthly data'!H176+'Monthly data'!H175,"")</x:f>
        <x:v>-1.7239999999999966</x:v>
      </x:c>
      <x:c r="N177" s="8" t="n">
        <x:f>IF(COUNT('Monthly data'!I175:I177)=3,'Monthly data'!I177-2*'Monthly data'!I176+'Monthly data'!I175,"")</x:f>
        <x:v>11.453899999999994</x:v>
      </x:c>
      <x:c r="O177" s="8" t="n">
        <x:f>IF(COUNT('Monthly data'!J175:J177)=3,'Monthly data'!J177-2*'Monthly data'!J176+'Monthly data'!J175,"")</x:f>
        <x:v>-0.9964000000000008</x:v>
      </x:c>
      <x:c r="P177" s="8" t="n">
        <x:f>IF(COUNT('Monthly data'!K175:K177)=3,'Monthly data'!K177-2*'Monthly data'!K176+'Monthly data'!K175,"")</x:f>
        <x:v>3.2434000000000007</x:v>
      </x:c>
      <x:c r="Q177" s="8" t="n">
        <x:f>IF(COUNT('Monthly data'!L175:L177)=3,'Monthly data'!L177-2*'Monthly data'!L176+'Monthly data'!L175,"")</x:f>
        <x:v>1.1607</x:v>
      </x:c>
      <x:c r="R177" s="8" t="n">
        <x:f>IF(COUNT('Monthly data'!M175:M177)=3,'Monthly data'!M177-2*'Monthly data'!M176+'Monthly data'!M175,"")</x:f>
        <x:v>-2.4846</x:v>
      </x:c>
      <x:c r="S177" s="8" t="n">
        <x:f>IF(COUNT('Monthly data'!N175:N177)=3,'Monthly data'!N177-2*'Monthly data'!N176+'Monthly data'!N175,"")</x:f>
        <x:v>0.31719999999999793</x:v>
      </x:c>
      <x:c r="T177" s="8" t="n">
        <x:f>IF(COUNT('Monthly data'!E176:E177)=2,'Monthly data'!E177-'Monthly data'!E176,"")</x:f>
        <x:v>-0.01377926620000025</x:v>
      </x:c>
    </x:row>
    <x:row r="178" ht="19" customHeight="1">
      <x:c r="A178" s="7" t="n">
        <x:f>'Monthly data'!A178</x:f>
        <x:v>38231</x:v>
      </x:c>
      <x:c r="B178" s="8" t="n">
        <x:f>IF(ISNUMBER('Monthly data'!F178),LN(1+'Monthly data'!F178),"")</x:f>
        <x:v>4.682964213428112</x:v>
      </x:c>
      <x:c r="C178" s="8" t="n">
        <x:f>IF(ISNUMBER('Monthly data'!G178),LN(1+'Monthly data'!G178),"")</x:f>
        <x:v>3.530159182922307</x:v>
      </x:c>
      <x:c r="D178" s="8" t="n">
        <x:f>IF(ISNUMBER('Monthly data'!H178),LN(1+'Monthly data'!H178),"")</x:f>
        <x:v>2.874897084813562</x:v>
      </x:c>
      <x:c r="E178" s="8" t="n">
        <x:f>IF(ISNUMBER('Monthly data'!I178),LN(1+'Monthly data'!I178),"")</x:f>
        <x:v>3.461981990679955</x:v>
      </x:c>
      <x:c r="F178" s="8" t="n">
        <x:f>IF(ISNUMBER('Monthly data'!J178),LN(1+'Monthly data'!J178),"")</x:f>
        <x:v>1.4415871468685992</x:v>
      </x:c>
      <x:c r="G178" s="8" t="n">
        <x:f>IF(ISNUMBER('Monthly data'!K178),LN(1+'Monthly data'!K178),"")</x:f>
        <x:v>2.277574929989878</x:v>
      </x:c>
      <x:c r="H178" s="8" t="n">
        <x:f>IF(ISNUMBER('Monthly data'!L178),LN(1+'Monthly data'!L178),"")</x:f>
        <x:v>0.5641199148237083</x:v>
      </x:c>
      <x:c r="I178" s="8" t="n">
        <x:f>IF(ISNUMBER('Monthly data'!M178),LN(1+'Monthly data'!M178),"")</x:f>
        <x:v>0.9793030890156799</x:v>
      </x:c>
      <x:c r="J178" s="8" t="n">
        <x:f>IF(ISNUMBER('Monthly data'!N178),LN(1+'Monthly data'!N178),"")</x:f>
        <x:v>2.561551282847681</x:v>
      </x:c>
      <x:c r="K178" s="8" t="n">
        <x:f>IF(COUNT('Monthly data'!F176:F178)=3,'Monthly data'!F178-2*'Monthly data'!F177+'Monthly data'!F176,"")</x:f>
        <x:v>-16.730000000000004</x:v>
      </x:c>
      <x:c r="L178" s="8" t="n">
        <x:f>IF(COUNT('Monthly data'!G176:G178)=3,'Monthly data'!G178-2*'Monthly data'!G177+'Monthly data'!G176,"")</x:f>
        <x:v>-3.1935000000000002</x:v>
      </x:c>
      <x:c r="M178" s="8" t="n">
        <x:f>IF(COUNT('Monthly data'!H176:H178)=3,'Monthly data'!H178-2*'Monthly data'!H177+'Monthly data'!H176,"")</x:f>
        <x:v>4.505699999999997</x:v>
      </x:c>
      <x:c r="N178" s="8" t="n">
        <x:f>IF(COUNT('Monthly data'!I176:I178)=3,'Monthly data'!I178-2*'Monthly data'!I177+'Monthly data'!I176,"")</x:f>
        <x:v>-16.091899999999995</x:v>
      </x:c>
      <x:c r="O178" s="8" t="n">
        <x:f>IF(COUNT('Monthly data'!J176:J178)=3,'Monthly data'!J178-2*'Monthly data'!J177+'Monthly data'!J176,"")</x:f>
        <x:v>-2.7497</x:v>
      </x:c>
      <x:c r="P178" s="8" t="n">
        <x:f>IF(COUNT('Monthly data'!K176:K178)=3,'Monthly data'!K178-2*'Monthly data'!K177+'Monthly data'!K176,"")</x:f>
        <x:v>4.479799999999999</x:v>
      </x:c>
      <x:c r="Q178" s="8" t="n">
        <x:f>IF(COUNT('Monthly data'!L176:L178)=3,'Monthly data'!L178-2*'Monthly data'!L177+'Monthly data'!L176,"")</x:f>
        <x:v>-0.922</x:v>
      </x:c>
      <x:c r="R178" s="8" t="n">
        <x:f>IF(COUNT('Monthly data'!M176:M178)=3,'Monthly data'!M178-2*'Monthly data'!M177+'Monthly data'!M176,"")</x:f>
        <x:v>2.2816</x:v>
      </x:c>
      <x:c r="S178" s="8" t="n">
        <x:f>IF(COUNT('Monthly data'!N176:N178)=3,'Monthly data'!N178-2*'Monthly data'!N177+'Monthly data'!N176,"")</x:f>
        <x:v>-5.040099999999999</x:v>
      </x:c>
      <x:c r="T178" s="8" t="n">
        <x:f>IF(COUNT('Monthly data'!E177:E178)=2,'Monthly data'!E178-'Monthly data'!E177,"")</x:f>
        <x:v>0.005983739699999546</x:v>
      </x:c>
    </x:row>
    <x:row r="179" ht="19" customHeight="1">
      <x:c r="A179" s="7" t="n">
        <x:f>'Monthly data'!A179</x:f>
        <x:v>38261</x:v>
      </x:c>
      <x:c r="B179" s="8" t="n">
        <x:f>IF(ISNUMBER('Monthly data'!F179),LN(1+'Monthly data'!F179),"")</x:f>
        <x:v>4.522005944727322</x:v>
      </x:c>
      <x:c r="C179" s="8" t="n">
        <x:f>IF(ISNUMBER('Monthly data'!G179),LN(1+'Monthly data'!G179),"")</x:f>
        <x:v>3.495331112145515</x:v>
      </x:c>
      <x:c r="D179" s="8" t="n">
        <x:f>IF(ISNUMBER('Monthly data'!H179),LN(1+'Monthly data'!H179),"")</x:f>
        <x:v>2.8447349500020622</x:v>
      </x:c>
      <x:c r="E179" s="8" t="n">
        <x:f>IF(ISNUMBER('Monthly data'!I179),LN(1+'Monthly data'!I179),"")</x:f>
        <x:v>3.066050932462944</x:v>
      </x:c>
      <x:c r="F179" s="8" t="n">
        <x:f>IF(ISNUMBER('Monthly data'!J179),LN(1+'Monthly data'!J179),"")</x:f>
        <x:v>1.774579400018202</x:v>
      </x:c>
      <x:c r="G179" s="8" t="n">
        <x:f>IF(ISNUMBER('Monthly data'!K179),LN(1+'Monthly data'!K179),"")</x:f>
        <x:v>1.718991624343544</x:v>
      </x:c>
      <x:c r="H179" s="8" t="n">
        <x:f>IF(ISNUMBER('Monthly data'!L179),LN(1+'Monthly data'!L179),"")</x:f>
        <x:v>0.25935975544719236</x:v>
      </x:c>
      <x:c r="I179" s="8" t="n">
        <x:f>IF(ISNUMBER('Monthly data'!M179),LN(1+'Monthly data'!M179),"")</x:f>
        <x:v>0.5735186931044141</x:v>
      </x:c>
      <x:c r="J179" s="8" t="n">
        <x:f>IF(ISNUMBER('Monthly data'!N179),LN(1+'Monthly data'!N179),"")</x:f>
        <x:v>2.5539117434224834</x:v>
      </x:c>
      <x:c r="K179" s="8" t="n">
        <x:f>IF(COUNT('Monthly data'!F177:F179)=3,'Monthly data'!F179-2*'Monthly data'!F178+'Monthly data'!F177,"")</x:f>
        <x:v>-12.38000000000001</x:v>
      </x:c>
      <x:c r="L179" s="8" t="n">
        <x:f>IF(COUNT('Monthly data'!G177:G179)=3,'Monthly data'!G179-2*'Monthly data'!G178+'Monthly data'!G177,"")</x:f>
        <x:v>-3.93419999999999</x:v>
      </x:c>
      <x:c r="M179" s="8" t="n">
        <x:f>IF(COUNT('Monthly data'!H177:H179)=3,'Monthly data'!H179-2*'Monthly data'!H178+'Monthly data'!H177,"")</x:f>
        <x:v>-0.7447000000000017</x:v>
      </x:c>
      <x:c r="N179" s="8" t="n">
        <x:f>IF(COUNT('Monthly data'!I177:I179)=3,'Monthly data'!I179-2*'Monthly data'!I178+'Monthly data'!I177,"")</x:f>
        <x:v>-4.332799999999999</x:v>
      </x:c>
      <x:c r="O179" s="8" t="n">
        <x:f>IF(COUNT('Monthly data'!J177:J179)=3,'Monthly data'!J179-2*'Monthly data'!J178+'Monthly data'!J177,"")</x:f>
        <x:v>3.8097000000000003</x:v>
      </x:c>
      <x:c r="P179" s="8" t="n">
        <x:f>IF(COUNT('Monthly data'!K177:K179)=3,'Monthly data'!K179-2*'Monthly data'!K178+'Monthly data'!K177,"")</x:f>
        <x:v>-9.4209</x:v>
      </x:c>
      <x:c r="Q179" s="8" t="n">
        <x:f>IF(COUNT('Monthly data'!L177:L179)=3,'Monthly data'!L179-2*'Monthly data'!L178+'Monthly data'!L177,"")</x:f>
        <x:v>-0.21789999999999998</x:v>
      </x:c>
      <x:c r="R179" s="8" t="n">
        <x:f>IF(COUNT('Monthly data'!M177:M179)=3,'Monthly data'!M179-2*'Monthly data'!M178+'Monthly data'!M177,"")</x:f>
        <x:v>-2.026</x:v>
      </x:c>
      <x:c r="S179" s="8" t="n">
        <x:f>IF(COUNT('Monthly data'!N177:N179)=3,'Monthly data'!N179-2*'Monthly data'!N178+'Monthly data'!N177,"")</x:f>
        <x:v>4.486800000000001</x:v>
      </x:c>
      <x:c r="T179" s="8" t="n">
        <x:f>IF(COUNT('Monthly data'!E178:E179)=2,'Monthly data'!E179-'Monthly data'!E178,"")</x:f>
        <x:v>0.009591383700000122</x:v>
      </x:c>
    </x:row>
    <x:row r="180" ht="19" customHeight="1">
      <x:c r="A180" s="7" t="n">
        <x:f>'Monthly data'!A180</x:f>
        <x:v>38292</x:v>
      </x:c>
      <x:c r="B180" s="8" t="n">
        <x:f>IF(ISNUMBER('Monthly data'!F180),LN(1+'Monthly data'!F180),"")</x:f>
        <x:v>4.634243433473799</x:v>
      </x:c>
      <x:c r="C180" s="8" t="n">
        <x:f>IF(ISNUMBER('Monthly data'!G180),LN(1+'Monthly data'!G180),"")</x:f>
        <x:v>3.619403430213367</x:v>
      </x:c>
      <x:c r="D180" s="8" t="n">
        <x:f>IF(ISNUMBER('Monthly data'!H180),LN(1+'Monthly data'!H180),"")</x:f>
        <x:v>3.1867451181138158</x:v>
      </x:c>
      <x:c r="E180" s="8" t="n">
        <x:f>IF(ISNUMBER('Monthly data'!I180),LN(1+'Monthly data'!I180),"")</x:f>
        <x:v>2.899540705441083</x:v>
      </x:c>
      <x:c r="F180" s="8" t="n">
        <x:f>IF(ISNUMBER('Monthly data'!J180),LN(1+'Monthly data'!J180),"")</x:f>
        <x:v>2.012259529596847</x:v>
      </x:c>
      <x:c r="G180" s="8" t="n">
        <x:f>IF(ISNUMBER('Monthly data'!K180),LN(1+'Monthly data'!K180),"")</x:f>
        <x:v>2.1001995947643453</x:v>
      </x:c>
      <x:c r="H180" s="8" t="n">
        <x:f>IF(ISNUMBER('Monthly data'!L180),LN(1+'Monthly data'!L180),"")</x:f>
        <x:v>0.44173274727870593</x:v>
      </x:c>
      <x:c r="I180" s="8" t="n">
        <x:f>IF(ISNUMBER('Monthly data'!M180),LN(1+'Monthly data'!M180),"")</x:f>
        <x:v>0.6956939348265212</x:v>
      </x:c>
      <x:c r="J180" s="8" t="n">
        <x:f>IF(ISNUMBER('Monthly data'!N180),LN(1+'Monthly data'!N180),"")</x:f>
        <x:v>2.402502823533185</x:v>
      </x:c>
      <x:c r="K180" s="8" t="n">
        <x:f>IF(COUNT('Monthly data'!F178:F180)=3,'Monthly data'!F180-2*'Monthly data'!F179+'Monthly data'!F178,"")</x:f>
        <x:v>27.000000000000014</x:v>
      </x:c>
      <x:c r="L180" s="8" t="n">
        <x:f>IF(COUNT('Monthly data'!G178:G180)=3,'Monthly data'!G180-2*'Monthly data'!G179+'Monthly data'!G178,"")</x:f>
        <x:v>5.522299999999994</x:v>
      </x:c>
      <x:c r="M180" s="8" t="n">
        <x:f>IF(COUNT('Monthly data'!H178:H180)=3,'Monthly data'!H180-2*'Monthly data'!H179+'Monthly data'!H178,"")</x:f>
        <x:v>7.539100000000001</x:v>
      </x:c>
      <x:c r="N180" s="8" t="n">
        <x:f>IF(COUNT('Monthly data'!I178:I180)=3,'Monthly data'!I180-2*'Monthly data'!I179+'Monthly data'!I178,"")</x:f>
        <x:v>7.131899999999998</x:v>
      </x:c>
      <x:c r="O180" s="8" t="n">
        <x:f>IF(COUNT('Monthly data'!J178:J180)=3,'Monthly data'!J180-2*'Monthly data'!J179+'Monthly data'!J178,"")</x:f>
        <x:v>-0.08800000000000052</x:v>
      </x:c>
      <x:c r="P180" s="8" t="n">
        <x:f>IF(COUNT('Monthly data'!K178:K180)=3,'Monthly data'!K180-2*'Monthly data'!K179+'Monthly data'!K178,"")</x:f>
        <x:v>6.763</x:v>
      </x:c>
      <x:c r="Q180" s="8" t="n">
        <x:f>IF(COUNT('Monthly data'!L178:L180)=3,'Monthly data'!L180-2*'Monthly data'!L179+'Monthly data'!L178,"")</x:f>
        <x:v>0.7211000000000001</x:v>
      </x:c>
      <x:c r="R180" s="8" t="n">
        <x:f>IF(COUNT('Monthly data'!M178:M180)=3,'Monthly data'!M180-2*'Monthly data'!M179+'Monthly data'!M178,"")</x:f>
        <x:v>1.1187000000000002</x:v>
      </x:c>
      <x:c r="S180" s="8" t="n">
        <x:f>IF(COUNT('Monthly data'!N178:N180)=3,'Monthly data'!N180-2*'Monthly data'!N179+'Monthly data'!N178,"")</x:f>
        <x:v>-1.7079000000000004</x:v>
      </x:c>
      <x:c r="T180" s="8" t="n">
        <x:f>IF(COUNT('Monthly data'!E179:E180)=2,'Monthly data'!E180-'Monthly data'!E179,"")</x:f>
        <x:v>0.0006354133999995071</x:v>
      </x:c>
    </x:row>
    <x:row r="181" ht="19" customHeight="1">
      <x:c r="A181" s="7" t="n">
        <x:f>'Monthly data'!A181</x:f>
        <x:v>38322</x:v>
      </x:c>
      <x:c r="B181" s="8" t="n">
        <x:f>IF(ISNUMBER('Monthly data'!F181),LN(1+'Monthly data'!F181),"")</x:f>
        <x:v>4.514698282824016</x:v>
      </x:c>
      <x:c r="C181" s="8" t="n">
        <x:f>IF(ISNUMBER('Monthly data'!G181),LN(1+'Monthly data'!G181),"")</x:f>
        <x:v>3.3662159367667965</x:v>
      </x:c>
      <x:c r="D181" s="8" t="n">
        <x:f>IF(ISNUMBER('Monthly data'!H181),LN(1+'Monthly data'!H181),"")</x:f>
        <x:v>3.1838246471083704</x:v>
      </x:c>
      <x:c r="E181" s="8" t="n">
        <x:f>IF(ISNUMBER('Monthly data'!I181),LN(1+'Monthly data'!I181),"")</x:f>
        <x:v>2.945138734280714</x:v>
      </x:c>
      <x:c r="F181" s="8" t="n">
        <x:f>IF(ISNUMBER('Monthly data'!J181),LN(1+'Monthly data'!J181),"")</x:f>
        <x:v>1.6225318119452583</x:v>
      </x:c>
      <x:c r="G181" s="8" t="n">
        <x:f>IF(ISNUMBER('Monthly data'!K181),LN(1+'Monthly data'!K181),"")</x:f>
        <x:v>1.3045418592476314</x:v>
      </x:c>
      <x:c r="H181" s="8" t="n">
        <x:f>IF(ISNUMBER('Monthly data'!L181),LN(1+'Monthly data'!L181),"")</x:f>
        <x:v>0.4646141319612975</x:v>
      </x:c>
      <x:c r="I181" s="8" t="n">
        <x:f>IF(ISNUMBER('Monthly data'!M181),LN(1+'Monthly data'!M181),"")</x:f>
        <x:v>0.4646141319612975</x:v>
      </x:c>
      <x:c r="J181" s="8" t="n">
        <x:f>IF(ISNUMBER('Monthly data'!N181),LN(1+'Monthly data'!N181),"")</x:f>
        <x:v>2.6598678521756627</x:v>
      </x:c>
      <x:c r="K181" s="8" t="n">
        <x:f>IF(COUNT('Monthly data'!F179:F181)=3,'Monthly data'!F181-2*'Monthly data'!F180+'Monthly data'!F179,"")</x:f>
        <x:v>-22.530000000000015</x:v>
      </x:c>
      <x:c r="L181" s="8" t="n">
        <x:f>IF(COUNT('Monthly data'!G179:G181)=3,'Monthly data'!G181-2*'Monthly data'!G180+'Monthly data'!G179,"")</x:f>
        <x:v>-12.700700000000001</x:v>
      </x:c>
      <x:c r="M181" s="8" t="n">
        <x:f>IF(COUNT('Monthly data'!H179:H181)=3,'Monthly data'!H181-2*'Monthly data'!H180+'Monthly data'!H179,"")</x:f>
        <x:v>-7.083099999999998</x:v>
      </x:c>
      <x:c r="N181" s="8" t="n">
        <x:f>IF(COUNT('Monthly data'!I179:I181)=3,'Monthly data'!I181-2*'Monthly data'!I180+'Monthly data'!I179,"")</x:f>
        <x:v>4.1387</x:v>
      </x:c>
      <x:c r="O181" s="8" t="n">
        <x:f>IF(COUNT('Monthly data'!J179:J181)=3,'Monthly data'!J181-2*'Monthly data'!J180+'Monthly data'!J179,"")</x:f>
        <x:v>-3.9967000000000006</x:v>
      </x:c>
      <x:c r="P181" s="8" t="n">
        <x:f>IF(COUNT('Monthly data'!K179:K181)=3,'Monthly data'!K181-2*'Monthly data'!K180+'Monthly data'!K179,"")</x:f>
        <x:v>-7.0706999999999995</x:v>
      </x:c>
      <x:c r="Q181" s="8" t="n">
        <x:f>IF(COUNT('Monthly data'!L179:L181)=3,'Monthly data'!L181-2*'Monthly data'!L180+'Monthly data'!L179,"")</x:f>
        <x:v>-0.2233</x:v>
      </x:c>
      <x:c r="R181" s="8" t="n">
        <x:f>IF(COUNT('Monthly data'!M179:M181)=3,'Monthly data'!M181-2*'Monthly data'!M180+'Monthly data'!M179,"")</x:f>
        <x:v>-0.6443000000000001</x:v>
      </x:c>
      <x:c r="S181" s="8" t="n">
        <x:f>IF(COUNT('Monthly data'!N179:N181)=3,'Monthly data'!N181-2*'Monthly data'!N180+'Monthly data'!N179,"")</x:f>
        <x:v>5.050099999999999</x:v>
      </x:c>
      <x:c r="T181" s="8" t="n">
        <x:f>IF(COUNT('Monthly data'!E180:E181)=2,'Monthly data'!E181-'Monthly data'!E180,"")</x:f>
        <x:v>-0.0048762375999995555</x:v>
      </x:c>
    </x:row>
    <x:row r="182" ht="19" customHeight="1">
      <x:c r="A182" s="7" t="n">
        <x:f>'Monthly data'!A182</x:f>
        <x:v>38353</x:v>
      </x:c>
      <x:c r="B182" s="8" t="n">
        <x:f>IF(ISNUMBER('Monthly data'!F182),LN(1+'Monthly data'!F182),"")</x:f>
        <x:v>4.418961082466945</x:v>
      </x:c>
      <x:c r="C182" s="8" t="n">
        <x:f>IF(ISNUMBER('Monthly data'!G182),LN(1+'Monthly data'!G182),"")</x:f>
        <x:v>3.189809461358799</x:v>
      </x:c>
      <x:c r="D182" s="8" t="n">
        <x:f>IF(ISNUMBER('Monthly data'!H182),LN(1+'Monthly data'!H182),"")</x:f>
        <x:v>2.916088236400801</x:v>
      </x:c>
      <x:c r="E182" s="8" t="n">
        <x:f>IF(ISNUMBER('Monthly data'!I182),LN(1+'Monthly data'!I182),"")</x:f>
        <x:v>2.816294554499849</x:v>
      </x:c>
      <x:c r="F182" s="8" t="n">
        <x:f>IF(ISNUMBER('Monthly data'!J182),LN(1+'Monthly data'!J182),"")</x:f>
        <x:v>1.7588401935819644</x:v>
      </x:c>
      <x:c r="G182" s="8" t="n">
        <x:f>IF(ISNUMBER('Monthly data'!K182),LN(1+'Monthly data'!K182),"")</x:f>
        <x:v>1.3059516084373521</x:v>
      </x:c>
      <x:c r="H182" s="8" t="n">
        <x:f>IF(ISNUMBER('Monthly data'!L182),LN(1+'Monthly data'!L182),"")</x:f>
        <x:v>0.23451860933571494</x:v>
      </x:c>
      <x:c r="I182" s="8" t="n">
        <x:f>IF(ISNUMBER('Monthly data'!M182),LN(1+'Monthly data'!M182),"")</x:f>
        <x:v>0.5287441242683357</x:v>
      </x:c>
      <x:c r="J182" s="8" t="n">
        <x:f>IF(ISNUMBER('Monthly data'!N182),LN(1+'Monthly data'!N182),"")</x:f>
        <x:v>2.8950496881879584</x:v>
      </x:c>
      <x:c r="K182" s="8" t="n">
        <x:f>IF(COUNT('Monthly data'!F180:F182)=3,'Monthly data'!F182-2*'Monthly data'!F181+'Monthly data'!F180,"")</x:f>
        <x:v>3.2600000000000193</x:v>
      </x:c>
      <x:c r="L182" s="8" t="n">
        <x:f>IF(COUNT('Monthly data'!G180:G182)=3,'Monthly data'!G182-2*'Monthly data'!G181+'Monthly data'!G180,"")</x:f>
        <x:v>3.6617000000000033</x:v>
      </x:c>
      <x:c r="M182" s="8" t="n">
        <x:f>IF(COUNT('Monthly data'!H180:H182)=3,'Monthly data'!H182-2*'Monthly data'!H181+'Monthly data'!H180,"")</x:f>
        <x:v>-5.599399999999999</x:v>
      </x:c>
      <x:c r="N182" s="8" t="n">
        <x:f>IF(COUNT('Monthly data'!I180:I182)=3,'Monthly data'!I182-2*'Monthly data'!I181+'Monthly data'!I180,"")</x:f>
        <x:v>-3.146000000000001</x:v>
      </x:c>
      <x:c r="O182" s="8" t="n">
        <x:f>IF(COUNT('Monthly data'!J180:J182)=3,'Monthly data'!J182-2*'Monthly data'!J181+'Monthly data'!J180,"")</x:f>
        <x:v>3.1540999999999997</x:v>
      </x:c>
      <x:c r="P182" s="8" t="n">
        <x:f>IF(COUNT('Monthly data'!K180:K182)=3,'Monthly data'!K182-2*'Monthly data'!K181+'Monthly data'!K180,"")</x:f>
        <x:v>4.487</x:v>
      </x:c>
      <x:c r="Q182" s="8" t="n">
        <x:f>IF(COUNT('Monthly data'!L180:L182)=3,'Monthly data'!L182-2*'Monthly data'!L181+'Monthly data'!L180,"")</x:f>
        <x:v>-0.3631000000000001</x:v>
      </x:c>
      <x:c r="R182" s="8" t="n">
        <x:f>IF(COUNT('Monthly data'!M180:M182)=3,'Monthly data'!M182-2*'Monthly data'!M181+'Monthly data'!M180,"")</x:f>
        <x:v>0.5191</x:v>
      </x:c>
      <x:c r="S182" s="8" t="n">
        <x:f>IF(COUNT('Monthly data'!N180:N182)=3,'Monthly data'!N182-2*'Monthly data'!N181+'Monthly data'!N180,"")</x:f>
        <x:v>0.5464000000000002</x:v>
      </x:c>
      <x:c r="T182" s="8" t="n">
        <x:f>IF(COUNT('Monthly data'!E181:E182)=2,'Monthly data'!E182-'Monthly data'!E181,"")</x:f>
        <x:v>-0.0073284582999999515</x:v>
      </x:c>
    </x:row>
    <x:row r="183" ht="19" customHeight="1">
      <x:c r="A183" s="7" t="n">
        <x:f>'Monthly data'!A183</x:f>
        <x:v>38384</x:v>
      </x:c>
      <x:c r="B183" s="8" t="n">
        <x:f>IF(ISNUMBER('Monthly data'!F183),LN(1+'Monthly data'!F183),"")</x:f>
        <x:v>4.366912996863833</x:v>
      </x:c>
      <x:c r="C183" s="8" t="n">
        <x:f>IF(ISNUMBER('Monthly data'!G183),LN(1+'Monthly data'!G183),"")</x:f>
        <x:v>2.7742373624853056</x:v>
      </x:c>
      <x:c r="D183" s="8" t="n">
        <x:f>IF(ISNUMBER('Monthly data'!H183),LN(1+'Monthly data'!H183),"")</x:f>
        <x:v>3.1706179190241714</x:v>
      </x:c>
      <x:c r="E183" s="8" t="n">
        <x:f>IF(ISNUMBER('Monthly data'!I183),LN(1+'Monthly data'!I183),"")</x:f>
        <x:v>2.6932613836287707</x:v>
      </x:c>
      <x:c r="F183" s="8" t="n">
        <x:f>IF(ISNUMBER('Monthly data'!J183),LN(1+'Monthly data'!J183),"")</x:f>
        <x:v>1.4795342174646384</x:v>
      </x:c>
      <x:c r="G183" s="8" t="n">
        <x:f>IF(ISNUMBER('Monthly data'!K183),LN(1+'Monthly data'!K183),"")</x:f>
        <x:v>2.093627937233623</x:v>
      </x:c>
      <x:c r="H183" s="8" t="n">
        <x:f>IF(ISNUMBER('Monthly data'!L183),LN(1+'Monthly data'!L183),"")</x:f>
        <x:v>1.1920722730675486</x:v>
      </x:c>
      <x:c r="I183" s="8" t="n">
        <x:f>IF(ISNUMBER('Monthly data'!M183),LN(1+'Monthly data'!M183),"")</x:f>
        <x:v>0.6750341251330183</x:v>
      </x:c>
      <x:c r="J183" s="8" t="n">
        <x:f>IF(ISNUMBER('Monthly data'!N183),LN(1+'Monthly data'!N183),"")</x:f>
        <x:v>2.595881376230295</x:v>
      </x:c>
      <x:c r="K183" s="8" t="n">
        <x:f>IF(COUNT('Monthly data'!F181:F183)=3,'Monthly data'!F183-2*'Monthly data'!F182+'Monthly data'!F181,"")</x:f>
        <x:v>4.129999999999981</x:v>
      </x:c>
      <x:c r="L183" s="8" t="n">
        <x:f>IF(COUNT('Monthly data'!G181:G183)=3,'Monthly data'!G183-2*'Monthly data'!G182+'Monthly data'!G181,"")</x:f>
        <x:v>-3.572499999999998</x:v>
      </x:c>
      <x:c r="M183" s="8" t="n">
        <x:f>IF(COUNT('Monthly data'!H181:H183)=3,'Monthly data'!H183-2*'Monthly data'!H182+'Monthly data'!H181,"")</x:f>
        <x:v>11.023299999999995</x:v>
      </x:c>
      <x:c r="N183" s="8" t="n">
        <x:f>IF(COUNT('Monthly data'!I181:I183)=3,'Monthly data'!I183-2*'Monthly data'!I182+'Monthly data'!I181,"")</x:f>
        <x:v>0.36350000000000193</x:v>
      </x:c>
      <x:c r="O183" s="8" t="n">
        <x:f>IF(COUNT('Monthly data'!J181:J183)=3,'Monthly data'!J183-2*'Monthly data'!J182+'Monthly data'!J181,"")</x:f>
        <x:v>-2.1545999999999994</x:v>
      </x:c>
      <x:c r="P183" s="8" t="n">
        <x:f>IF(COUNT('Monthly data'!K181:K183)=3,'Monthly data'!K183-2*'Monthly data'!K182+'Monthly data'!K181,"")</x:f>
        <x:v>4.4179</x:v>
      </x:c>
      <x:c r="Q183" s="8" t="n">
        <x:f>IF(COUNT('Monthly data'!L181:L183)=3,'Monthly data'!L183-2*'Monthly data'!L182+'Monthly data'!L181,"")</x:f>
        <x:v>2.3567</x:v>
      </x:c>
      <x:c r="R183" s="8" t="n">
        <x:f>IF(COUNT('Monthly data'!M181:M183)=3,'Monthly data'!M183-2*'Monthly data'!M182+'Monthly data'!M181,"")</x:f>
        <x:v>0.16190000000000004</x:v>
      </x:c>
      <x:c r="S183" s="8" t="n">
        <x:f>IF(COUNT('Monthly data'!N181:N183)=3,'Monthly data'!N183-2*'Monthly data'!N182+'Monthly data'!N181,"")</x:f>
        <x:v>-8.465999999999998</x:v>
      </x:c>
      <x:c r="T183" s="8" t="n">
        <x:f>IF(COUNT('Monthly data'!E182:E183)=2,'Monthly data'!E183-'Monthly data'!E182,"")</x:f>
        <x:v>0.010878478900000488</x:v>
      </x:c>
    </x:row>
    <x:row r="184" ht="19" customHeight="1">
      <x:c r="A184" s="7" t="n">
        <x:f>'Monthly data'!A184</x:f>
        <x:v>38412</x:v>
      </x:c>
      <x:c r="B184" s="8" t="n">
        <x:f>IF(ISNUMBER('Monthly data'!F184),LN(1+'Monthly data'!F184),"")</x:f>
        <x:v>4.331785418237135</x:v>
      </x:c>
      <x:c r="C184" s="8" t="n">
        <x:f>IF(ISNUMBER('Monthly data'!G184),LN(1+'Monthly data'!G184),"")</x:f>
        <x:v>2.7510522176467527</x:v>
      </x:c>
      <x:c r="D184" s="8" t="n">
        <x:f>IF(ISNUMBER('Monthly data'!H184),LN(1+'Monthly data'!H184),"")</x:f>
        <x:v>3.3262044026207254</x:v>
      </x:c>
      <x:c r="E184" s="8" t="n">
        <x:f>IF(ISNUMBER('Monthly data'!I184),LN(1+'Monthly data'!I184),"")</x:f>
        <x:v>2.6572410000488875</x:v>
      </x:c>
      <x:c r="F184" s="8" t="n">
        <x:f>IF(ISNUMBER('Monthly data'!J184),LN(1+'Monthly data'!J184),"")</x:f>
        <x:v>1.430239473626123</x:v>
      </x:c>
      <x:c r="G184" s="8" t="n">
        <x:f>IF(ISNUMBER('Monthly data'!K184),LN(1+'Monthly data'!K184),"")</x:f>
        <x:v>1.6167312512615657</x:v>
      </x:c>
      <x:c r="H184" s="8" t="n">
        <x:f>IF(ISNUMBER('Monthly data'!L184),LN(1+'Monthly data'!L184),"")</x:f>
        <x:v>1.0138892006380498</x:v>
      </x:c>
      <x:c r="I184" s="8" t="n">
        <x:f>IF(ISNUMBER('Monthly data'!M184),LN(1+'Monthly data'!M184),"")</x:f>
        <x:v>0.44884383141010936</x:v>
      </x:c>
      <x:c r="J184" s="8" t="n">
        <x:f>IF(ISNUMBER('Monthly data'!N184),LN(1+'Monthly data'!N184),"")</x:f>
        <x:v>2.46746373617628</x:v>
      </x:c>
      <x:c r="K184" s="8" t="n">
        <x:f>IF(COUNT('Monthly data'!F182:F184)=3,'Monthly data'!F184-2*'Monthly data'!F183+'Monthly data'!F182,"")</x:f>
        <x:v>1.490000000000009</x:v>
      </x:c>
      <x:c r="L184" s="8" t="n">
        <x:f>IF(COUNT('Monthly data'!G182:G184)=3,'Monthly data'!G184-2*'Monthly data'!G183+'Monthly data'!G182,"")</x:f>
        <x:v>7.890099999999999</x:v>
      </x:c>
      <x:c r="M184" s="8" t="n">
        <x:f>IF(COUNT('Monthly data'!H182:H184)=3,'Monthly data'!H184-2*'Monthly data'!H183+'Monthly data'!H182,"")</x:f>
        <x:v>-1.3429999999999964</x:v>
      </x:c>
      <x:c r="N184" s="8" t="n">
        <x:f>IF(COUNT('Monthly data'!I182:I184)=3,'Monthly data'!I184-2*'Monthly data'!I183+'Monthly data'!I182,"")</x:f>
        <x:v>1.4121000000000006</x:v>
      </x:c>
      <x:c r="O184" s="8" t="n">
        <x:f>IF(COUNT('Monthly data'!J182:J184)=3,'Monthly data'!J184-2*'Monthly data'!J183+'Monthly data'!J182,"")</x:f>
        <x:v>1.2036000000000002</x:v>
      </x:c>
      <x:c r="P184" s="8" t="n">
        <x:f>IF(COUNT('Monthly data'!K182:K184)=3,'Monthly data'!K184-2*'Monthly data'!K183+'Monthly data'!K182,"")</x:f>
        <x:v>-7.5008</x:v>
      </x:c>
      <x:c r="Q184" s="8" t="n">
        <x:f>IF(COUNT('Monthly data'!L182:L184)=3,'Monthly data'!L184-2*'Monthly data'!L183+'Monthly data'!L182,"")</x:f>
        <x:v>-2.5671999999999997</x:v>
      </x:c>
      <x:c r="R184" s="8" t="n">
        <x:f>IF(COUNT('Monthly data'!M182:M184)=3,'Monthly data'!M184-2*'Monthly data'!M183+'Monthly data'!M182,"")</x:f>
        <x:v>-0.6648999999999999</x:v>
      </x:c>
      <x:c r="S184" s="8" t="n">
        <x:f>IF(COUNT('Monthly data'!N182:N184)=3,'Monthly data'!N184-2*'Monthly data'!N183+'Monthly data'!N182,"")</x:f>
        <x:v>3.0600999999999985</x:v>
      </x:c>
      <x:c r="T184" s="8" t="n">
        <x:f>IF(COUNT('Monthly data'!E183:E184)=2,'Monthly data'!E184-'Monthly data'!E183,"")</x:f>
        <x:v>-0.0005189974000003872</x:v>
      </x:c>
    </x:row>
    <x:row r="185" ht="19" customHeight="1">
      <x:c r="A185" s="7" t="n">
        <x:f>'Monthly data'!A185</x:f>
        <x:v>38443</x:v>
      </x:c>
      <x:c r="B185" s="8" t="n">
        <x:f>IF(ISNUMBER('Monthly data'!F185),LN(1+'Monthly data'!F185),"")</x:f>
        <x:v>4.154969184038536</x:v>
      </x:c>
      <x:c r="C185" s="8" t="n">
        <x:f>IF(ISNUMBER('Monthly data'!G185),LN(1+'Monthly data'!G185),"")</x:f>
        <x:v>2.5333396073095904</x:v>
      </x:c>
      <x:c r="D185" s="8" t="n">
        <x:f>IF(ISNUMBER('Monthly data'!H185),LN(1+'Monthly data'!H185),"")</x:f>
        <x:v>3.1327033686134196</x:v>
      </x:c>
      <x:c r="E185" s="8" t="n">
        <x:f>IF(ISNUMBER('Monthly data'!I185),LN(1+'Monthly data'!I185),"")</x:f>
        <x:v>2.5714206808994473</x:v>
      </x:c>
      <x:c r="F185" s="8" t="n">
        <x:f>IF(ISNUMBER('Monthly data'!J185),LN(1+'Monthly data'!J185),"")</x:f>
        <x:v>1.4616337176657062</x:v>
      </x:c>
      <x:c r="G185" s="8" t="n">
        <x:f>IF(ISNUMBER('Monthly data'!K185),LN(1+'Monthly data'!K185),"")</x:f>
        <x:v>1.4376526533950327</x:v>
      </x:c>
      <x:c r="H185" s="8" t="n">
        <x:f>IF(ISNUMBER('Monthly data'!L185),LN(1+'Monthly data'!L185),"")</x:f>
        <x:v>0.6819851158537534</x:v>
      </x:c>
      <x:c r="I185" s="8" t="n">
        <x:f>IF(ISNUMBER('Monthly data'!M185),LN(1+'Monthly data'!M185),"")</x:f>
        <x:v>0.4505659353532604</x:v>
      </x:c>
      <x:c r="J185" s="8" t="n">
        <x:f>IF(ISNUMBER('Monthly data'!N185),LN(1+'Monthly data'!N185),"")</x:f>
        <x:v>2.3088951426900675</x:v>
      </x:c>
      <x:c r="K185" s="8" t="n">
        <x:f>IF(COUNT('Monthly data'!F183:F185)=3,'Monthly data'!F185-2*'Monthly data'!F184+'Monthly data'!F183,"")</x:f>
        <x:v>-9.61</x:v>
      </x:c>
      <x:c r="L185" s="8" t="n">
        <x:f>IF(COUNT('Monthly data'!G183:G185)=3,'Monthly data'!G185-2*'Monthly data'!G184+'Monthly data'!G183,"")</x:f>
        <x:v>-2.6963000000000026</x:v>
      </x:c>
      <x:c r="M185" s="8" t="n">
        <x:f>IF(COUNT('Monthly data'!H183:H185)=3,'Monthly data'!H185-2*'Monthly data'!H184+'Monthly data'!H183,"")</x:f>
        <x:v>-8.9069</x:v>
      </x:c>
      <x:c r="N185" s="8" t="n">
        <x:f>IF(COUNT('Monthly data'!I183:I185)=3,'Monthly data'!I185-2*'Monthly data'!I184+'Monthly data'!I183,"")</x:f>
        <x:v>-0.6495999999999995</x:v>
      </x:c>
      <x:c r="O185" s="8" t="n">
        <x:f>IF(COUNT('Monthly data'!J183:J185)=3,'Monthly data'!J185-2*'Monthly data'!J184+'Monthly data'!J183,"")</x:f>
        <x:v>0.34450000000000003</x:v>
      </x:c>
      <x:c r="P185" s="8" t="n">
        <x:f>IF(COUNT('Monthly data'!K183:K185)=3,'Monthly data'!K185-2*'Monthly data'!K184+'Monthly data'!K183,"")</x:f>
        <x:v>2.2519</x:v>
      </x:c>
      <x:c r="Q185" s="8" t="n">
        <x:f>IF(COUNT('Monthly data'!L183:L185)=3,'Monthly data'!L185-2*'Monthly data'!L184+'Monthly data'!L183,"")</x:f>
        <x:v>-0.2408999999999999</x:v>
      </x:c>
      <x:c r="R185" s="8" t="n">
        <x:f>IF(COUNT('Monthly data'!M183:M185)=3,'Monthly data'!M185-2*'Monthly data'!M184+'Monthly data'!M183,"")</x:f>
        <x:v>0.4003</x:v>
      </x:c>
      <x:c r="S185" s="8" t="n">
        <x:f>IF(COUNT('Monthly data'!N183:N185)=3,'Monthly data'!N185-2*'Monthly data'!N184+'Monthly data'!N183,"")</x:f>
        <x:v>-0.11330000000000062</x:v>
      </x:c>
      <x:c r="T185" s="8" t="n">
        <x:f>IF(COUNT('Monthly data'!E184:E185)=2,'Monthly data'!E185-'Monthly data'!E184,"")</x:f>
        <x:v>0.0073554831999995685</x:v>
      </x:c>
    </x:row>
    <x:row r="186" ht="19" customHeight="1">
      <x:c r="A186" s="7" t="n">
        <x:f>'Monthly data'!A186</x:f>
        <x:v>38473</x:v>
      </x:c>
      <x:c r="B186" s="8" t="n">
        <x:f>IF(ISNUMBER('Monthly data'!F186),LN(1+'Monthly data'!F186),"")</x:f>
        <x:v>4.371092069621102</x:v>
      </x:c>
      <x:c r="C186" s="8" t="n">
        <x:f>IF(ISNUMBER('Monthly data'!G186),LN(1+'Monthly data'!G186),"")</x:f>
        <x:v>2.8341599547024825</x:v>
      </x:c>
      <x:c r="D186" s="8" t="n">
        <x:f>IF(ISNUMBER('Monthly data'!H186),LN(1+'Monthly data'!H186),"")</x:f>
        <x:v>3.2943357398780617</x:v>
      </x:c>
      <x:c r="E186" s="8" t="n">
        <x:f>IF(ISNUMBER('Monthly data'!I186),LN(1+'Monthly data'!I186),"")</x:f>
        <x:v>2.6737416700699397</x:v>
      </x:c>
      <x:c r="F186" s="8" t="n">
        <x:f>IF(ISNUMBER('Monthly data'!J186),LN(1+'Monthly data'!J186),"")</x:f>
        <x:v>1.723159377735798</x:v>
      </x:c>
      <x:c r="G186" s="8" t="n">
        <x:f>IF(ISNUMBER('Monthly data'!K186),LN(1+'Monthly data'!K186),"")</x:f>
        <x:v>2.084478833197104</x:v>
      </x:c>
      <x:c r="H186" s="8" t="n">
        <x:f>IF(ISNUMBER('Monthly data'!L186),LN(1+'Monthly data'!L186),"")</x:f>
        <x:v>0.3116671177022417</x:v>
      </x:c>
      <x:c r="I186" s="8" t="n">
        <x:f>IF(ISNUMBER('Monthly data'!M186),LN(1+'Monthly data'!M186),"")</x:f>
        <x:v>0.38689372252272897</x:v>
      </x:c>
      <x:c r="J186" s="8" t="n">
        <x:f>IF(ISNUMBER('Monthly data'!N186),LN(1+'Monthly data'!N186),"")</x:f>
        <x:v>2.414090688911586</x:v>
      </x:c>
      <x:c r="K186" s="8" t="n">
        <x:f>IF(COUNT('Monthly data'!F184:F186)=3,'Monthly data'!F186-2*'Monthly data'!F185+'Monthly data'!F184,"")</x:f>
        <x:v>27.709999999999994</x:v>
      </x:c>
      <x:c r="L186" s="8" t="n">
        <x:f>IF(COUNT('Monthly data'!G184:G186)=3,'Monthly data'!G186-2*'Monthly data'!G185+'Monthly data'!G184,"")</x:f>
        <x:v>7.484200000000003</x:v>
      </x:c>
      <x:c r="M186" s="8" t="n">
        <x:f>IF(COUNT('Monthly data'!H184:H186)=3,'Monthly data'!H186-2*'Monthly data'!H185+'Monthly data'!H184,"")</x:f>
        <x:v>8.920199999999998</x:v>
      </x:c>
      <x:c r="N186" s="8" t="n">
        <x:f>IF(COUNT('Monthly data'!I184:I186)=3,'Monthly data'!I186-2*'Monthly data'!I185+'Monthly data'!I184,"")</x:f>
        <x:v>2.5821999999999985</x:v>
      </x:c>
      <x:c r="O186" s="8" t="n">
        <x:f>IF(COUNT('Monthly data'!J184:J186)=3,'Monthly data'!J186-2*'Monthly data'!J185+'Monthly data'!J184,"")</x:f>
        <x:v>1.1558999999999995</x:v>
      </x:c>
      <x:c r="P186" s="8" t="n">
        <x:f>IF(COUNT('Monthly data'!K184:K186)=3,'Monthly data'!K186-2*'Monthly data'!K185+'Monthly data'!K184,"")</x:f>
        <x:v>4.6554</x:v>
      </x:c>
      <x:c r="Q186" s="8" t="n">
        <x:f>IF(COUNT('Monthly data'!L184:L186)=3,'Monthly data'!L186-2*'Monthly data'!L185+'Monthly data'!L184,"")</x:f>
        <x:v>0.16639999999999988</x:v>
      </x:c>
      <x:c r="R186" s="8" t="n">
        <x:f>IF(COUNT('Monthly data'!M184:M186)=3,'Monthly data'!M186-2*'Monthly data'!M185+'Monthly data'!M184,"")</x:f>
        <x:v>-0.09950000000000014</x:v>
      </x:c>
      <x:c r="S186" s="8" t="n">
        <x:f>IF(COUNT('Monthly data'!N184:N186)=3,'Monthly data'!N186-2*'Monthly data'!N185+'Monthly data'!N184,"")</x:f>
        <x:v>2.8455000000000013</x:v>
      </x:c>
      <x:c r="T186" s="8" t="n">
        <x:f>IF(COUNT('Monthly data'!E185:E186)=2,'Monthly data'!E186-'Monthly data'!E185,"")</x:f>
        <x:v>0.0032972188000002234</x:v>
      </x:c>
    </x:row>
    <x:row r="187" ht="19" customHeight="1">
      <x:c r="A187" s="7" t="n">
        <x:f>'Monthly data'!A187</x:f>
        <x:v>38504</x:v>
      </x:c>
      <x:c r="B187" s="8" t="n">
        <x:f>IF(ISNUMBER('Monthly data'!F187),LN(1+'Monthly data'!F187),"")</x:f>
        <x:v>4.296877159632186</x:v>
      </x:c>
      <x:c r="C187" s="8" t="n">
        <x:f>IF(ISNUMBER('Monthly data'!G187),LN(1+'Monthly data'!G187),"")</x:f>
        <x:v>3.0231966510086705</x:v>
      </x:c>
      <x:c r="D187" s="8" t="n">
        <x:f>IF(ISNUMBER('Monthly data'!H187),LN(1+'Monthly data'!H187),"")</x:f>
        <x:v>3.148410441195696</x:v>
      </x:c>
      <x:c r="E187" s="8" t="n">
        <x:f>IF(ISNUMBER('Monthly data'!I187),LN(1+'Monthly data'!I187),"")</x:f>
        <x:v>2.6870580666227886</x:v>
      </x:c>
      <x:c r="F187" s="8" t="n">
        <x:f>IF(ISNUMBER('Monthly data'!J187),LN(1+'Monthly data'!J187),"")</x:f>
        <x:v>1.4782124305812196</x:v>
      </x:c>
      <x:c r="G187" s="8" t="n">
        <x:f>IF(ISNUMBER('Monthly data'!K187),LN(1+'Monthly data'!K187),"")</x:f>
        <x:v>1.4782124305812196</x:v>
      </x:c>
      <x:c r="H187" s="8" t="n">
        <x:f>IF(ISNUMBER('Monthly data'!L187),LN(1+'Monthly data'!L187),"")</x:f>
        <x:v>0.29266961396282004</x:v>
      </x:c>
      <x:c r="I187" s="8" t="n">
        <x:f>IF(ISNUMBER('Monthly data'!M187),LN(1+'Monthly data'!M187),"")</x:f>
        <x:v>0.1506588762851132</x:v>
      </x:c>
      <x:c r="J187" s="8" t="n">
        <x:f>IF(ISNUMBER('Monthly data'!N187),LN(1+'Monthly data'!N187),"")</x:f>
        <x:v>2.365822768398569</x:v>
      </x:c>
      <x:c r="K187" s="8" t="n">
        <x:f>IF(COUNT('Monthly data'!F185:F187)=3,'Monthly data'!F187-2*'Monthly data'!F186+'Monthly data'!F185,"")</x:f>
        <x:v>-21.039999999999992</x:v>
      </x:c>
      <x:c r="L187" s="8" t="n">
        <x:f>IF(COUNT('Monthly data'!G185:G187)=3,'Monthly data'!G187-2*'Monthly data'!G186+'Monthly data'!G185,"")</x:f>
        <x:v>-0.8798000000000048</x:v>
      </x:c>
      <x:c r="M187" s="8" t="n">
        <x:f>IF(COUNT('Monthly data'!H185:H187)=3,'Monthly data'!H187-2*'Monthly data'!H186+'Monthly data'!H185,"")</x:f>
        <x:v>-7.684099999999997</x:v>
      </x:c>
      <x:c r="N187" s="8" t="n">
        <x:f>IF(COUNT('Monthly data'!I185:I187)=3,'Monthly data'!I187-2*'Monthly data'!I186+'Monthly data'!I185,"")</x:f>
        <x:v>-1.215399999999999</x:v>
      </x:c>
      <x:c r="O187" s="8" t="n">
        <x:f>IF(COUNT('Monthly data'!J185:J187)=3,'Monthly data'!J187-2*'Monthly data'!J186+'Monthly data'!J185,"")</x:f>
        <x:v>-2.5063</x:v>
      </x:c>
      <x:c r="P187" s="8" t="n">
        <x:f>IF(COUNT('Monthly data'!K185:K187)=3,'Monthly data'!K187-2*'Monthly data'!K186+'Monthly data'!K185,"")</x:f>
        <x:v>-7.4849000000000006</x:v>
      </x:c>
      <x:c r="Q187" s="8" t="n">
        <x:f>IF(COUNT('Monthly data'!L185:L187)=3,'Monthly data'!L187-2*'Monthly data'!L186+'Monthly data'!L185,"")</x:f>
        <x:v>0.5864</x:v>
      </x:c>
      <x:c r="R187" s="8" t="n">
        <x:f>IF(COUNT('Monthly data'!M185:M187)=3,'Monthly data'!M187-2*'Monthly data'!M186+'Monthly data'!M185,"")</x:f>
        <x:v>-0.21299999999999997</x:v>
      </x:c>
      <x:c r="S187" s="8" t="n">
        <x:f>IF(COUNT('Monthly data'!N185:N187)=3,'Monthly data'!N187-2*'Monthly data'!N186+'Monthly data'!N185,"")</x:f>
        <x:v>-1.6431000000000022</x:v>
      </x:c>
      <x:c r="T187" s="8" t="n">
        <x:f>IF(COUNT('Monthly data'!E186:E187)=2,'Monthly data'!E187-'Monthly data'!E186,"")</x:f>
        <x:v>-0.00817854699999998</x:v>
      </x:c>
    </x:row>
    <x:row r="188" ht="19" customHeight="1">
      <x:c r="A188" s="7" t="n">
        <x:f>'Monthly data'!A188</x:f>
        <x:v>38534</x:v>
      </x:c>
      <x:c r="B188" s="8" t="n">
        <x:f>IF(ISNUMBER('Monthly data'!F188),LN(1+'Monthly data'!F188),"")</x:f>
        <x:v>4.6076670661866785</x:v>
      </x:c>
      <x:c r="C188" s="8" t="n">
        <x:f>IF(ISNUMBER('Monthly data'!G188),LN(1+'Monthly data'!G188),"")</x:f>
        <x:v>2.836167798882648</x:v>
      </x:c>
      <x:c r="D188" s="8" t="n">
        <x:f>IF(ISNUMBER('Monthly data'!H188),LN(1+'Monthly data'!H188),"")</x:f>
        <x:v>3.120159851929043</x:v>
      </x:c>
      <x:c r="E188" s="8" t="n">
        <x:f>IF(ISNUMBER('Monthly data'!I188),LN(1+'Monthly data'!I188),"")</x:f>
        <x:v>3.812925061092456</x:v>
      </x:c>
      <x:c r="F188" s="8" t="n">
        <x:f>IF(ISNUMBER('Monthly data'!J188),LN(1+'Monthly data'!J188),"")</x:f>
        <x:v>1.3810807940670031</x:v>
      </x:c>
      <x:c r="G188" s="8" t="n">
        <x:f>IF(ISNUMBER('Monthly data'!K188),LN(1+'Monthly data'!K188),"")</x:f>
        <x:v>1.3037004853158707</x:v>
      </x:c>
      <x:c r="H188" s="8" t="n">
        <x:f>IF(ISNUMBER('Monthly data'!L188),LN(1+'Monthly data'!L188),"")</x:f>
        <x:v>0.11760524207426343</x:v>
      </x:c>
      <x:c r="I188" s="8" t="n">
        <x:f>IF(ISNUMBER('Monthly data'!M188),LN(1+'Monthly data'!M188),"")</x:f>
        <x:v>0.39440416074873946</x:v>
      </x:c>
      <x:c r="J188" s="8" t="n">
        <x:f>IF(ISNUMBER('Monthly data'!N188),LN(1+'Monthly data'!N188),"")</x:f>
        <x:v>2.4846232763081946</x:v>
      </x:c>
      <x:c r="K188" s="8" t="n">
        <x:f>IF(COUNT('Monthly data'!F186:F188)=3,'Monthly data'!F188-2*'Monthly data'!F187+'Monthly data'!F186,"")</x:f>
        <x:v>32.44</x:v>
      </x:c>
      <x:c r="L188" s="8" t="n">
        <x:f>IF(COUNT('Monthly data'!G186:G188)=3,'Monthly data'!G188-2*'Monthly data'!G187+'Monthly data'!G186,"")</x:f>
        <x:v>-7.047399999999996</x:v>
      </x:c>
      <x:c r="M188" s="8" t="n">
        <x:f>IF(COUNT('Monthly data'!H186:H188)=3,'Monthly data'!H188-2*'Monthly data'!H187+'Monthly data'!H186,"")</x:f>
        <x:v>3.011499999999998</x:v>
      </x:c>
      <x:c r="N188" s="8" t="n">
        <x:f>IF(COUNT('Monthly data'!I186:I188)=3,'Monthly data'!I188-2*'Monthly data'!I187+'Monthly data'!I186,"")</x:f>
        <x:v>30.4</x:v>
      </x:c>
      <x:c r="O188" s="8" t="n">
        <x:f>IF(COUNT('Monthly data'!J186:J188)=3,'Monthly data'!J188-2*'Monthly data'!J187+'Monthly data'!J186,"")</x:f>
        <x:v>0.8111999999999999</x:v>
      </x:c>
      <x:c r="P188" s="8" t="n">
        <x:f>IF(COUNT('Monthly data'!K186:K188)=3,'Monthly data'!K188-2*'Monthly data'!K187+'Monthly data'!K186,"")</x:f>
        <x:v>2.9531</x:v>
      </x:c>
      <x:c r="Q188" s="8" t="n">
        <x:f>IF(COUNT('Monthly data'!L186:L188)=3,'Monthly data'!L188-2*'Monthly data'!L187+'Monthly data'!L186,"")</x:f>
        <x:v>-0.1895</x:v>
      </x:c>
      <x:c r="R188" s="8" t="n">
        <x:f>IF(COUNT('Monthly data'!M186:M188)=3,'Monthly data'!M188-2*'Monthly data'!M187+'Monthly data'!M186,"")</x:f>
        <x:v>0.6307</x:v>
      </x:c>
      <x:c r="S188" s="8" t="n">
        <x:f>IF(COUNT('Monthly data'!N186:N188)=3,'Monthly data'!N188-2*'Monthly data'!N187+'Monthly data'!N186,"")</x:f>
        <x:v>1.8706000000000031</x:v>
      </x:c>
      <x:c r="T188" s="8" t="n">
        <x:f>IF(COUNT('Monthly data'!E187:E188)=2,'Monthly data'!E188-'Monthly data'!E187,"")</x:f>
        <x:v>0.000994512400000147</x:v>
      </x:c>
    </x:row>
    <x:row r="189" ht="19" customHeight="1">
      <x:c r="A189" s="7" t="n">
        <x:f>'Monthly data'!A189</x:f>
        <x:v>38565</x:v>
      </x:c>
      <x:c r="B189" s="8" t="n">
        <x:f>IF(ISNUMBER('Monthly data'!F189),LN(1+'Monthly data'!F189),"")</x:f>
        <x:v>4.478245492414424</x:v>
      </x:c>
      <x:c r="C189" s="8" t="n">
        <x:f>IF(ISNUMBER('Monthly data'!G189),LN(1+'Monthly data'!G189),"")</x:f>
        <x:v>3.1241122956232292</x:v>
      </x:c>
      <x:c r="D189" s="8" t="n">
        <x:f>IF(ISNUMBER('Monthly data'!H189),LN(1+'Monthly data'!H189),"")</x:f>
        <x:v>3.147989733800066</x:v>
      </x:c>
      <x:c r="E189" s="8" t="n">
        <x:f>IF(ISNUMBER('Monthly data'!I189),LN(1+'Monthly data'!I189),"")</x:f>
        <x:v>3.0216582715532336</x:v>
      </x:c>
      <x:c r="F189" s="8" t="n">
        <x:f>IF(ISNUMBER('Monthly data'!J189),LN(1+'Monthly data'!J189),"")</x:f>
        <x:v>1.9232262319703606</x:v>
      </x:c>
      <x:c r="G189" s="8" t="n">
        <x:f>IF(ISNUMBER('Monthly data'!K189),LN(1+'Monthly data'!K189),"")</x:f>
        <x:v>1.858592231580456</x:v>
      </x:c>
      <x:c r="H189" s="8" t="n">
        <x:f>IF(ISNUMBER('Monthly data'!L189),LN(1+'Monthly data'!L189),"")</x:f>
        <x:v>0.4888253834863232</x:v>
      </x:c>
      <x:c r="I189" s="8" t="n">
        <x:f>IF(ISNUMBER('Monthly data'!M189),LN(1+'Monthly data'!M189),"")</x:f>
        <x:v>0.1773090149704103</x:v>
      </x:c>
      <x:c r="J189" s="8" t="n">
        <x:f>IF(ISNUMBER('Monthly data'!N189),LN(1+'Monthly data'!N189),"")</x:f>
        <x:v>2.521206434513618</x:v>
      </x:c>
      <x:c r="K189" s="8" t="n">
        <x:f>IF(COUNT('Monthly data'!F187:F189)=3,'Monthly data'!F189-2*'Monthly data'!F188+'Monthly data'!F187,"")</x:f>
        <x:v>-38.95</x:v>
      </x:c>
      <x:c r="L189" s="8" t="n">
        <x:f>IF(COUNT('Monthly data'!G187:G189)=3,'Monthly data'!G189-2*'Monthly data'!G188+'Monthly data'!G187,"")</x:f>
        <x:v>9.195999999999998</x:v>
      </x:c>
      <x:c r="M189" s="8" t="n">
        <x:f>IF(COUNT('Monthly data'!H187:H189)=3,'Monthly data'!H189-2*'Monthly data'!H188+'Monthly data'!H187,"")</x:f>
        <x:v>1.2882000000000033</x:v>
      </x:c>
      <x:c r="N189" s="8" t="n">
        <x:f>IF(COUNT('Monthly data'!I187:I189)=3,'Monthly data'!I189-2*'Monthly data'!I188+'Monthly data'!I187,"")</x:f>
        <x:v>-55.351699999999994</x:v>
      </x:c>
      <x:c r="O189" s="8" t="n">
        <x:f>IF(COUNT('Monthly data'!J187:J189)=3,'Monthly data'!J189-2*'Monthly data'!J188+'Monthly data'!J187,"")</x:f>
        <x:v>3.2697</x:v>
      </x:c>
      <x:c r="P189" s="8" t="n">
        <x:f>IF(COUNT('Monthly data'!K187:K189)=3,'Monthly data'!K189-2*'Monthly data'!K188+'Monthly data'!K187,"")</x:f>
        <x:v>3.4339999999999997</x:v>
      </x:c>
      <x:c r="Q189" s="8" t="n">
        <x:f>IF(COUNT('Monthly data'!L187:L189)=3,'Monthly data'!L189-2*'Monthly data'!L188+'Monthly data'!L187,"")</x:f>
        <x:v>0.7208</x:v>
      </x:c>
      <x:c r="R189" s="8" t="n">
        <x:f>IF(COUNT('Monthly data'!M187:M189)=3,'Monthly data'!M189-2*'Monthly data'!M188+'Monthly data'!M187,"")</x:f>
        <x:v>-0.6103999999999999</x:v>
      </x:c>
      <x:c r="S189" s="8" t="n">
        <x:f>IF(COUNT('Monthly data'!N187:N189)=3,'Monthly data'!N189-2*'Monthly data'!N188+'Monthly data'!N187,"")</x:f>
        <x:v>-0.8968000000000025</x:v>
      </x:c>
      <x:c r="T189" s="8" t="n">
        <x:f>IF(COUNT('Monthly data'!E188:E189)=2,'Monthly data'!E189-'Monthly data'!E188,"")</x:f>
        <x:v>0.0012839221999989547</x:v>
      </x:c>
    </x:row>
    <x:row r="190" ht="19" customHeight="1">
      <x:c r="A190" s="7" t="n">
        <x:f>'Monthly data'!A190</x:f>
        <x:v>38596</x:v>
      </x:c>
      <x:c r="B190" s="8" t="n">
        <x:f>IF(ISNUMBER('Monthly data'!F190),LN(1+'Monthly data'!F190),"")</x:f>
        <x:v>4.09817056705563</x:v>
      </x:c>
      <x:c r="C190" s="8" t="n">
        <x:f>IF(ISNUMBER('Monthly data'!G190),LN(1+'Monthly data'!G190),"")</x:f>
        <x:v>2.7090297212157104</x:v>
      </x:c>
      <x:c r="D190" s="8" t="n">
        <x:f>IF(ISNUMBER('Monthly data'!H190),LN(1+'Monthly data'!H190),"")</x:f>
        <x:v>2.8064283970011257</x:v>
      </x:c>
      <x:c r="E190" s="8" t="n">
        <x:f>IF(ISNUMBER('Monthly data'!I190),LN(1+'Monthly data'!I190),"")</x:f>
        <x:v>2.5365894516410012</x:v>
      </x:c>
      <x:c r="F190" s="8" t="n">
        <x:f>IF(ISNUMBER('Monthly data'!J190),LN(1+'Monthly data'!J190),"")</x:f>
        <x:v>1.5343263599389716</x:v>
      </x:c>
      <x:c r="G190" s="8" t="n">
        <x:f>IF(ISNUMBER('Monthly data'!K190),LN(1+'Monthly data'!K190),"")</x:f>
        <x:v>1.6683669799633878</x:v>
      </x:c>
      <x:c r="H190" s="8" t="n">
        <x:f>IF(ISNUMBER('Monthly data'!L190),LN(1+'Monthly data'!L190),"")</x:f>
        <x:v>0.014100124378781626</x:v>
      </x:c>
      <x:c r="I190" s="8" t="n">
        <x:f>IF(ISNUMBER('Monthly data'!M190),LN(1+'Monthly data'!M190),"")</x:f>
        <x:v>0.16889853646181388</x:v>
      </x:c>
      <x:c r="J190" s="8" t="n">
        <x:f>IF(ISNUMBER('Monthly data'!N190),LN(1+'Monthly data'!N190),"")</x:f>
        <x:v>2.387679634026896</x:v>
      </x:c>
      <x:c r="K190" s="8" t="n">
        <x:f>IF(COUNT('Monthly data'!F188:F190)=3,'Monthly data'!F190-2*'Monthly data'!F189+'Monthly data'!F188,"")</x:f>
        <x:v>-15.680000000000007</x:v>
      </x:c>
      <x:c r="L190" s="8" t="n">
        <x:f>IF(COUNT('Monthly data'!G188:G190)=3,'Monthly data'!G190-2*'Monthly data'!G189+'Monthly data'!G188,"")</x:f>
        <x:v>-13.4144</x:v>
      </x:c>
      <x:c r="M190" s="8" t="n">
        <x:f>IF(COUNT('Monthly data'!H188:H190)=3,'Monthly data'!H190-2*'Monthly data'!H189+'Monthly data'!H188,"")</x:f>
        <x:v>-7.377700000000004</x:v>
      </x:c>
      <x:c r="N190" s="8" t="n">
        <x:f>IF(COUNT('Monthly data'!I188:I190)=3,'Monthly data'!I190-2*'Monthly data'!I189+'Monthly data'!I188,"")</x:f>
        <x:v>16.868599999999994</x:v>
      </x:c>
      <x:c r="O190" s="8" t="n">
        <x:f>IF(COUNT('Monthly data'!J188:J190)=3,'Monthly data'!J190-2*'Monthly data'!J189+'Monthly data'!J188,"")</x:f>
        <x:v>-5.0686</x:v>
      </x:c>
      <x:c r="P190" s="8" t="n">
        <x:f>IF(COUNT('Monthly data'!K188:K190)=3,'Monthly data'!K190-2*'Monthly data'!K189+'Monthly data'!K188,"")</x:f>
        <x:v>-3.843</x:v>
      </x:c>
      <x:c r="Q190" s="8" t="n">
        <x:f>IF(COUNT('Monthly data'!L188:L190)=3,'Monthly data'!L190-2*'Monthly data'!L189+'Monthly data'!L188,"")</x:f>
        <x:v>-1.1218</x:v>
      </x:c>
      <x:c r="R190" s="8" t="n">
        <x:f>IF(COUNT('Monthly data'!M188:M190)=3,'Monthly data'!M190-2*'Monthly data'!M189+'Monthly data'!M188,"")</x:f>
        <x:v>0.27949999999999997</x:v>
      </x:c>
      <x:c r="S190" s="8" t="n">
        <x:f>IF(COUNT('Monthly data'!N188:N190)=3,'Monthly data'!N190-2*'Monthly data'!N189+'Monthly data'!N188,"")</x:f>
        <x:v>-2.0023999999999997</x:v>
      </x:c>
      <x:c r="T190" s="8" t="n">
        <x:f>IF(COUNT('Monthly data'!E189:E190)=2,'Monthly data'!E190-'Monthly data'!E189,"")</x:f>
        <x:v>-0.017425184399998628</x:v>
      </x:c>
    </x:row>
    <x:row r="191" ht="19" customHeight="1">
      <x:c r="A191" s="7" t="n">
        <x:f>'Monthly data'!A191</x:f>
        <x:v>38626</x:v>
      </x:c>
      <x:c r="B191" s="8" t="n">
        <x:f>IF(ISNUMBER('Monthly data'!F191),LN(1+'Monthly data'!F191),"")</x:f>
        <x:v>4.186619838331271</x:v>
      </x:c>
      <x:c r="C191" s="8" t="n">
        <x:f>IF(ISNUMBER('Monthly data'!G191),LN(1+'Monthly data'!G191),"")</x:f>
        <x:v>2.714376812491367</x:v>
      </x:c>
      <x:c r="D191" s="8" t="n">
        <x:f>IF(ISNUMBER('Monthly data'!H191),LN(1+'Monthly data'!H191),"")</x:f>
        <x:v>2.930820349376848</x:v>
      </x:c>
      <x:c r="E191" s="8" t="n">
        <x:f>IF(ISNUMBER('Monthly data'!I191),LN(1+'Monthly data'!I191),"")</x:f>
        <x:v>2.728773972642186</x:v>
      </x:c>
      <x:c r="F191" s="8" t="n">
        <x:f>IF(ISNUMBER('Monthly data'!J191),LN(1+'Monthly data'!J191),"")</x:f>
        <x:v>1.5363939893639282</x:v>
      </x:c>
      <x:c r="G191" s="8" t="n">
        <x:f>IF(ISNUMBER('Monthly data'!K191),LN(1+'Monthly data'!K191),"")</x:f>
        <x:v>0.8511760447848554</x:v>
      </x:c>
      <x:c r="H191" s="8" t="n">
        <x:f>IF(ISNUMBER('Monthly data'!L191),LN(1+'Monthly data'!L191),"")</x:f>
        <x:v>0.1858984852842971</x:v>
      </x:c>
      <x:c r="I191" s="8" t="n">
        <x:f>IF(ISNUMBER('Monthly data'!M191),LN(1+'Monthly data'!M191),"")</x:f>
        <x:v>0.7392193686623284</x:v>
      </x:c>
      <x:c r="J191" s="8" t="n">
        <x:f>IF(ISNUMBER('Monthly data'!N191),LN(1+'Monthly data'!N191),"")</x:f>
        <x:v>2.592175343715128</x:v>
      </x:c>
      <x:c r="K191" s="8" t="n">
        <x:f>IF(COUNT('Monthly data'!F189:F191)=3,'Monthly data'!F191-2*'Monthly data'!F190+'Monthly data'!F189,"")</x:f>
        <x:v>33.42</x:v>
      </x:c>
      <x:c r="L191" s="8" t="n">
        <x:f>IF(COUNT('Monthly data'!G189:G191)=3,'Monthly data'!G191-2*'Monthly data'!G190+'Monthly data'!G189,"")</x:f>
        <x:v>7.8055</x:v>
      </x:c>
      <x:c r="M191" s="8" t="n">
        <x:f>IF(COUNT('Monthly data'!H189:H191)=3,'Monthly data'!H191-2*'Monthly data'!H190+'Monthly data'!H189,"")</x:f>
        <x:v>8.930799999999998</x:v>
      </x:c>
      <x:c r="N191" s="8" t="n">
        <x:f>IF(COUNT('Monthly data'!I189:I191)=3,'Monthly data'!I191-2*'Monthly data'!I190+'Monthly data'!I189,"")</x:f>
        <x:v>10.566400000000002</x:v>
      </x:c>
      <x:c r="O191" s="8" t="n">
        <x:f>IF(COUNT('Monthly data'!J189:J191)=3,'Monthly data'!J191-2*'Monthly data'!J190+'Monthly data'!J189,"")</x:f>
        <x:v>2.2144000000000004</x:v>
      </x:c>
      <x:c r="P191" s="8" t="n">
        <x:f>IF(COUNT('Monthly data'!K189:K191)=3,'Monthly data'!K191-2*'Monthly data'!K190+'Monthly data'!K189,"")</x:f>
        <x:v>-1.8498999999999999</x:v>
      </x:c>
      <x:c r="Q191" s="8" t="n">
        <x:f>IF(COUNT('Monthly data'!L189:L191)=3,'Monthly data'!L191-2*'Monthly data'!L190+'Monthly data'!L189,"")</x:f>
        <x:v>0.8063</x:v>
      </x:c>
      <x:c r="R191" s="8" t="n">
        <x:f>IF(COUNT('Monthly data'!M189:M191)=3,'Monthly data'!M191-2*'Monthly data'!M190+'Monthly data'!M189,"")</x:f>
        <x:v>0.9203000000000001</x:v>
      </x:c>
      <x:c r="S191" s="8" t="n">
        <x:f>IF(COUNT('Monthly data'!N189:N191)=3,'Monthly data'!N191-2*'Monthly data'!N190+'Monthly data'!N189,"")</x:f>
        <x:v>4.026000000000002</x:v>
      </x:c>
      <x:c r="T191" s="8" t="n">
        <x:f>IF(COUNT('Monthly data'!E190:E191)=2,'Monthly data'!E191-'Monthly data'!E190,"")</x:f>
        <x:v>0.00903435789999918</x:v>
      </x:c>
    </x:row>
    <x:row r="192" ht="19" customHeight="1">
      <x:c r="A192" s="7" t="n">
        <x:f>'Monthly data'!A192</x:f>
        <x:v>38657</x:v>
      </x:c>
      <x:c r="B192" s="8" t="n">
        <x:f>IF(ISNUMBER('Monthly data'!F192),LN(1+'Monthly data'!F192),"")</x:f>
        <x:v>4.2878533084066195</x:v>
      </x:c>
      <x:c r="C192" s="8" t="n">
        <x:f>IF(ISNUMBER('Monthly data'!G192),LN(1+'Monthly data'!G192),"")</x:f>
        <x:v>2.8355224407451645</x:v>
      </x:c>
      <x:c r="D192" s="8" t="n">
        <x:f>IF(ISNUMBER('Monthly data'!H192),LN(1+'Monthly data'!H192),"")</x:f>
        <x:v>3.087901161025368</x:v>
      </x:c>
      <x:c r="E192" s="8" t="n">
        <x:f>IF(ISNUMBER('Monthly data'!I192),LN(1+'Monthly data'!I192),"")</x:f>
        <x:v>2.8614119984148947</x:v>
      </x:c>
      <x:c r="F192" s="8" t="n">
        <x:f>IF(ISNUMBER('Monthly data'!J192),LN(1+'Monthly data'!J192),"")</x:f>
        <x:v>1.9774365012242499</x:v>
      </x:c>
      <x:c r="G192" s="8" t="n">
        <x:f>IF(ISNUMBER('Monthly data'!K192),LN(1+'Monthly data'!K192),"")</x:f>
        <x:v>1.2634485311210448</x:v>
      </x:c>
      <x:c r="H192" s="8" t="n">
        <x:f>IF(ISNUMBER('Monthly data'!L192),LN(1+'Monthly data'!L192),"")</x:f>
        <x:v>0</x:v>
      </x:c>
      <x:c r="I192" s="8" t="n">
        <x:f>IF(ISNUMBER('Monthly data'!M192),LN(1+'Monthly data'!M192),"")</x:f>
        <x:v>0.38035240729308917</x:v>
      </x:c>
      <x:c r="J192" s="8" t="n">
        <x:f>IF(ISNUMBER('Monthly data'!N192),LN(1+'Monthly data'!N192),"")</x:f>
        <x:v>2.3153927240130185</x:v>
      </x:c>
      <x:c r="K192" s="8" t="n">
        <x:f>IF(COUNT('Monthly data'!F190:F192)=3,'Monthly data'!F192-2*'Monthly data'!F191+'Monthly data'!F190,"")</x:f>
        <x:v>1.4400000000000048</x:v>
      </x:c>
      <x:c r="L192" s="8" t="n">
        <x:f>IF(COUNT('Monthly data'!G190:G192)=3,'Monthly data'!G192-2*'Monthly data'!G191+'Monthly data'!G190,"")</x:f>
        <x:v>1.8636</x:v>
      </x:c>
      <x:c r="M192" s="8" t="n">
        <x:f>IF(COUNT('Monthly data'!H190:H192)=3,'Monthly data'!H192-2*'Monthly data'!H191+'Monthly data'!H190,"")</x:f>
        <x:v>0.9957000000000047</x:v>
      </x:c>
      <x:c r="N192" s="8" t="n">
        <x:f>IF(COUNT('Monthly data'!I190:I192)=3,'Monthly data'!I192-2*'Monthly data'!I191+'Monthly data'!I190,"")</x:f>
        <x:v>-0.5054999999999996</x:v>
      </x:c>
      <x:c r="O192" s="8" t="n">
        <x:f>IF(COUNT('Monthly data'!J190:J192)=3,'Monthly data'!J192-2*'Monthly data'!J191+'Monthly data'!J190,"")</x:f>
        <x:v>2.5667999999999993</x:v>
      </x:c>
      <x:c r="P192" s="8" t="n">
        <x:f>IF(COUNT('Monthly data'!K190:K192)=3,'Monthly data'!K192-2*'Monthly data'!K191+'Monthly data'!K190,"")</x:f>
        <x:v>4.1563</x:v>
      </x:c>
      <x:c r="Q192" s="8" t="n">
        <x:f>IF(COUNT('Monthly data'!L190:L192)=3,'Monthly data'!L192-2*'Monthly data'!L191+'Monthly data'!L190,"")</x:f>
        <x:v>-0.39440000000000003</x:v>
      </x:c>
      <x:c r="R192" s="8" t="n">
        <x:f>IF(COUNT('Monthly data'!M190:M192)=3,'Monthly data'!M192-2*'Monthly data'!M191+'Monthly data'!M190,"")</x:f>
        <x:v>-1.5418</x:v>
      </x:c>
      <x:c r="S192" s="8" t="n">
        <x:f>IF(COUNT('Monthly data'!N190:N192)=3,'Monthly data'!N192-2*'Monthly data'!N191+'Monthly data'!N190,"")</x:f>
        <x:v>-5.700500000000002</x:v>
      </x:c>
      <x:c r="T192" s="8" t="n">
        <x:f>IF(COUNT('Monthly data'!E191:E192)=2,'Monthly data'!E192-'Monthly data'!E191,"")</x:f>
        <x:v>0.009242032299999536</x:v>
      </x:c>
    </x:row>
    <x:row r="193" ht="19" customHeight="1">
      <x:c r="A193" s="7" t="n">
        <x:f>'Monthly data'!A193</x:f>
        <x:v>38687</x:v>
      </x:c>
      <x:c r="B193" s="8" t="n">
        <x:f>IF(ISNUMBER('Monthly data'!F193),LN(1+'Monthly data'!F193),"")</x:f>
        <x:v>4.408911963455264</x:v>
      </x:c>
      <x:c r="C193" s="8" t="n">
        <x:f>IF(ISNUMBER('Monthly data'!G193),LN(1+'Monthly data'!G193),"")</x:f>
        <x:v>3.0797746641287627</x:v>
      </x:c>
      <x:c r="D193" s="8" t="n">
        <x:f>IF(ISNUMBER('Monthly data'!H193),LN(1+'Monthly data'!H193),"")</x:f>
        <x:v>3.1950256573213336</x:v>
      </x:c>
      <x:c r="E193" s="8" t="n">
        <x:f>IF(ISNUMBER('Monthly data'!I193),LN(1+'Monthly data'!I193),"")</x:f>
        <x:v>2.734984202342291</x:v>
      </x:c>
      <x:c r="F193" s="8" t="n">
        <x:f>IF(ISNUMBER('Monthly data'!J193),LN(1+'Monthly data'!J193),"")</x:f>
        <x:v>1.957556353689712</x:v>
      </x:c>
      <x:c r="G193" s="8" t="n">
        <x:f>IF(ISNUMBER('Monthly data'!K193),LN(1+'Monthly data'!K193),"")</x:f>
        <x:v>0.9373474743997652</x:v>
      </x:c>
      <x:c r="H193" s="8" t="n">
        <x:f>IF(ISNUMBER('Monthly data'!L193),LN(1+'Monthly data'!L193),"")</x:f>
        <x:v>0.01852730461388356</x:v>
      </x:c>
      <x:c r="I193" s="8" t="n">
        <x:f>IF(ISNUMBER('Monthly data'!M193),LN(1+'Monthly data'!M193),"")</x:f>
        <x:v>0.27619130573628303</x:v>
      </x:c>
      <x:c r="J193" s="8" t="n">
        <x:f>IF(ISNUMBER('Monthly data'!N193),LN(1+'Monthly data'!N193),"")</x:f>
        <x:v>2.7494544260934046</x:v>
      </x:c>
      <x:c r="K193" s="8" t="n">
        <x:f>IF(COUNT('Monthly data'!F191:F193)=3,'Monthly data'!F193-2*'Monthly data'!F192+'Monthly data'!F191,"")</x:f>
        <x:v>2.3599999999999994</x:v>
      </x:c>
      <x:c r="L193" s="8" t="n">
        <x:f>IF(COUNT('Monthly data'!G191:G193)=3,'Monthly data'!G193-2*'Monthly data'!G192+'Monthly data'!G191,"")</x:f>
        <x:v>2.7700999999999976</x:v>
      </x:c>
      <x:c r="M193" s="8" t="n">
        <x:f>IF(COUNT('Monthly data'!H191:H193)=3,'Monthly data'!H193-2*'Monthly data'!H192+'Monthly data'!H191,"")</x:f>
        <x:v>-0.708200000000005</x:v>
      </x:c>
      <x:c r="N193" s="8" t="n">
        <x:f>IF(COUNT('Monthly data'!I191:I193)=3,'Monthly data'!I193-2*'Monthly data'!I192+'Monthly data'!I191,"")</x:f>
        <x:v>-4.248799999999999</x:v>
      </x:c>
      <x:c r="O193" s="8" t="n">
        <x:f>IF(COUNT('Monthly data'!J191:J193)=3,'Monthly data'!J193-2*'Monthly data'!J192+'Monthly data'!J191,"")</x:f>
        <x:v>-2.7185999999999995</x:v>
      </x:c>
      <x:c r="P193" s="8" t="n">
        <x:f>IF(COUNT('Monthly data'!K191:K193)=3,'Monthly data'!K193-2*'Monthly data'!K192+'Monthly data'!K191,"")</x:f>
        <x:v>-2.1795999999999998</x:v>
      </x:c>
      <x:c r="Q193" s="8" t="n">
        <x:f>IF(COUNT('Monthly data'!L191:L193)=3,'Monthly data'!L193-2*'Monthly data'!L192+'Monthly data'!L191,"")</x:f>
        <x:v>0.223</x:v>
      </x:c>
      <x:c r="R193" s="8" t="n">
        <x:f>IF(COUNT('Monthly data'!M191:M193)=3,'Monthly data'!M193-2*'Monthly data'!M192+'Monthly data'!M191,"")</x:f>
        <x:v>0.4868000000000001</x:v>
      </x:c>
      <x:c r="S193" s="8" t="n">
        <x:f>IF(COUNT('Monthly data'!N191:N193)=3,'Monthly data'!N193-2*'Monthly data'!N192+'Monthly data'!N191,"")</x:f>
        <x:v>8.735100000000001</x:v>
      </x:c>
      <x:c r="T193" s="8" t="n">
        <x:f>IF(COUNT('Monthly data'!E192:E193)=2,'Monthly data'!E193-'Monthly data'!E192,"")</x:f>
        <x:v>0.0016075414000003008</x:v>
      </x:c>
    </x:row>
    <x:row r="194" ht="19" customHeight="1">
      <x:c r="A194" s="7" t="n">
        <x:f>'Monthly data'!A194</x:f>
        <x:v>38718</x:v>
      </x:c>
      <x:c r="B194" s="8" t="n">
        <x:f>IF(ISNUMBER('Monthly data'!F194),LN(1+'Monthly data'!F194),"")</x:f>
        <x:v>4.306359755748467</x:v>
      </x:c>
      <x:c r="C194" s="8" t="n">
        <x:f>IF(ISNUMBER('Monthly data'!G194),LN(1+'Monthly data'!G194),"")</x:f>
        <x:v>2.730483352462352</x:v>
      </x:c>
      <x:c r="D194" s="8" t="n">
        <x:f>IF(ISNUMBER('Monthly data'!H194),LN(1+'Monthly data'!H194),"")</x:f>
        <x:v>3.267387855123886</x:v>
      </x:c>
      <x:c r="E194" s="8" t="n">
        <x:f>IF(ISNUMBER('Monthly data'!I194),LN(1+'Monthly data'!I194),"")</x:f>
        <x:v>2.5643260863453645</x:v>
      </x:c>
      <x:c r="F194" s="8" t="n">
        <x:f>IF(ISNUMBER('Monthly data'!J194),LN(1+'Monthly data'!J194),"")</x:f>
        <x:v>1.5081800803598733</x:v>
      </x:c>
      <x:c r="G194" s="8" t="n">
        <x:f>IF(ISNUMBER('Monthly data'!K194),LN(1+'Monthly data'!K194),"")</x:f>
        <x:v>2.18882271365538</x:v>
      </x:c>
      <x:c r="H194" s="8" t="n">
        <x:f>IF(ISNUMBER('Monthly data'!L194),LN(1+'Monthly data'!L194),"")</x:f>
        <x:v>0.1356666114215335</x:v>
      </x:c>
      <x:c r="I194" s="8" t="n">
        <x:f>IF(ISNUMBER('Monthly data'!M194),LN(1+'Monthly data'!M194),"")</x:f>
        <x:v>0.5270925962298626</x:v>
      </x:c>
      <x:c r="J194" s="8" t="n">
        <x:f>IF(ISNUMBER('Monthly data'!N194),LN(1+'Monthly data'!N194),"")</x:f>
        <x:v>2.3333761454121333</x:v>
      </x:c>
      <x:c r="K194" s="8" t="n">
        <x:f>IF(COUNT('Monthly data'!F192:F194)=3,'Monthly data'!F194-2*'Monthly data'!F193+'Monthly data'!F192,"")</x:f>
        <x:v>-17.38000000000001</x:v>
      </x:c>
      <x:c r="L194" s="8" t="n">
        <x:f>IF(COUNT('Monthly data'!G192:G194)=3,'Monthly data'!G194-2*'Monthly data'!G193+'Monthly data'!G192,"")</x:f>
        <x:v>-11.127399999999998</x:v>
      </x:c>
      <x:c r="M194" s="8" t="n">
        <x:f>IF(COUNT('Monthly data'!H192:H194)=3,'Monthly data'!H194-2*'Monthly data'!H193+'Monthly data'!H192,"")</x:f>
        <x:v>-0.6478999999999964</x:v>
      </x:c>
      <x:c r="N194" s="8" t="n">
        <x:f>IF(COUNT('Monthly data'!I192:I194)=3,'Monthly data'!I194-2*'Monthly data'!I193+'Monthly data'!I192,"")</x:f>
        <x:v>-0.3409000000000013</x:v>
      </x:c>
      <x:c r="O194" s="8" t="n">
        <x:f>IF(COUNT('Monthly data'!J192:J194)=3,'Monthly data'!J194-2*'Monthly data'!J193+'Monthly data'!J192,"")</x:f>
        <x:v>-2.4213000000000005</x:v>
      </x:c>
      <x:c r="P194" s="8" t="n">
        <x:f>IF(COUNT('Monthly data'!K192:K194)=3,'Monthly data'!K194-2*'Monthly data'!K193+'Monthly data'!K192,"")</x:f>
        <x:v>7.3559</x:v>
      </x:c>
      <x:c r="Q194" s="8" t="n">
        <x:f>IF(COUNT('Monthly data'!L192:L194)=3,'Monthly data'!L194-2*'Monthly data'!L193+'Monthly data'!L192,"")</x:f>
        <x:v>0.10790000000000001</x:v>
      </x:c>
      <x:c r="R194" s="8" t="n">
        <x:f>IF(COUNT('Monthly data'!M192:M194)=3,'Monthly data'!M194-2*'Monthly data'!M193+'Monthly data'!M192,"")</x:f>
        <x:v>0.5206</x:v>
      </x:c>
      <x:c r="S194" s="8" t="n">
        <x:f>IF(COUNT('Monthly data'!N192:N194)=3,'Monthly data'!N194-2*'Monthly data'!N193+'Monthly data'!N192,"")</x:f>
        <x:v>-10.826600000000001</x:v>
      </x:c>
      <x:c r="T194" s="8" t="n">
        <x:f>IF(COUNT('Monthly data'!E193:E194)=2,'Monthly data'!E194-'Monthly data'!E193,"")</x:f>
        <x:v>-0.004707159299998764</x:v>
      </x:c>
    </x:row>
    <x:row r="195" ht="19" customHeight="1">
      <x:c r="A195" s="7" t="n">
        <x:f>'Monthly data'!A195</x:f>
        <x:v>38749</x:v>
      </x:c>
      <x:c r="B195" s="8" t="n">
        <x:f>IF(ISNUMBER('Monthly data'!F195),LN(1+'Monthly data'!F195),"")</x:f>
        <x:v>4.415098675734075</x:v>
      </x:c>
      <x:c r="C195" s="8" t="n">
        <x:f>IF(ISNUMBER('Monthly data'!G195),LN(1+'Monthly data'!G195),"")</x:f>
        <x:v>2.5690946002130257</x:v>
      </x:c>
      <x:c r="D195" s="8" t="n">
        <x:f>IF(ISNUMBER('Monthly data'!H195),LN(1+'Monthly data'!H195),"")</x:f>
        <x:v>3.5348654316153065</x:v>
      </x:c>
      <x:c r="E195" s="8" t="n">
        <x:f>IF(ISNUMBER('Monthly data'!I195),LN(1+'Monthly data'!I195),"")</x:f>
        <x:v>2.5458057437374344</x:v>
      </x:c>
      <x:c r="F195" s="8" t="n">
        <x:f>IF(ISNUMBER('Monthly data'!J195),LN(1+'Monthly data'!J195),"")</x:f>
        <x:v>2.180055811712429</x:v>
      </x:c>
      <x:c r="G195" s="8" t="n">
        <x:f>IF(ISNUMBER('Monthly data'!K195),LN(1+'Monthly data'!K195),"")</x:f>
        <x:v>1.8910465790374953</x:v>
      </x:c>
      <x:c r="H195" s="8" t="n">
        <x:f>IF(ISNUMBER('Monthly data'!L195),LN(1+'Monthly data'!L195),"")</x:f>
        <x:v>0.5014417324556497</x:v>
      </x:c>
      <x:c r="I195" s="8" t="n">
        <x:f>IF(ISNUMBER('Monthly data'!M195),LN(1+'Monthly data'!M195),"")</x:f>
        <x:v>0.8482688174272455</x:v>
      </x:c>
      <x:c r="J195" s="8" t="n">
        <x:f>IF(ISNUMBER('Monthly data'!N195),LN(1+'Monthly data'!N195),"")</x:f>
        <x:v>2.3157283408601863</x:v>
      </x:c>
      <x:c r="K195" s="8" t="n">
        <x:f>IF(COUNT('Monthly data'!F193:F195)=3,'Monthly data'!F195-2*'Monthly data'!F194+'Monthly data'!F193,"")</x:f>
        <x:v>16.53</x:v>
      </x:c>
      <x:c r="L195" s="8" t="n">
        <x:f>IF(COUNT('Monthly data'!G193:G195)=3,'Monthly data'!G195-2*'Monthly data'!G194+'Monthly data'!G193,"")</x:f>
        <x:v>4.126900000000003</x:v>
      </x:c>
      <x:c r="M195" s="8" t="n">
        <x:f>IF(COUNT('Monthly data'!H193:H195)=3,'Monthly data'!H195-2*'Monthly data'!H194+'Monthly data'!H193,"")</x:f>
        <x:v>6.215799999999998</x:v>
      </x:c>
      <x:c r="N195" s="8" t="n">
        <x:f>IF(COUNT('Monthly data'!I193:I195)=3,'Monthly data'!I195-2*'Monthly data'!I194+'Monthly data'!I193,"")</x:f>
        <x:v>2.1792000000000016</x:v>
      </x:c>
      <x:c r="O195" s="8" t="n">
        <x:f>IF(COUNT('Monthly data'!J193:J195)=3,'Monthly data'!J195-2*'Monthly data'!J194+'Monthly data'!J193,"")</x:f>
        <x:v>6.8918</x:v>
      </x:c>
      <x:c r="P195" s="8" t="n">
        <x:f>IF(COUNT('Monthly data'!K193:K195)=3,'Monthly data'!K195-2*'Monthly data'!K194+'Monthly data'!K193,"")</x:f>
        <x:v>-8.669899999999998</x:v>
      </x:c>
      <x:c r="Q195" s="8" t="n">
        <x:f>IF(COUNT('Monthly data'!L193:L195)=3,'Monthly data'!L195-2*'Monthly data'!L194+'Monthly data'!L193,"")</x:f>
        <x:v>0.3792</x:v>
      </x:c>
      <x:c r="R195" s="8" t="n">
        <x:f>IF(COUNT('Monthly data'!M193:M195)=3,'Monthly data'!M195-2*'Monthly data'!M194+'Monthly data'!M193,"")</x:f>
        <x:v>0.2657</x:v>
      </x:c>
      <x:c r="S195" s="8" t="n">
        <x:f>IF(COUNT('Monthly data'!N193:N195)=3,'Monthly data'!N195-2*'Monthly data'!N194+'Monthly data'!N193,"")</x:f>
        <x:v>5.141000000000002</x:v>
      </x:c>
      <x:c r="T195" s="8" t="n">
        <x:f>IF(COUNT('Monthly data'!E194:E195)=2,'Monthly data'!E195-'Monthly data'!E194,"")</x:f>
        <x:v>0.0063666658999999015</x:v>
      </x:c>
    </x:row>
    <x:row r="196" ht="19" customHeight="1">
      <x:c r="A196" s="7" t="n">
        <x:f>'Monthly data'!A196</x:f>
        <x:v>38777</x:v>
      </x:c>
      <x:c r="B196" s="8" t="n">
        <x:f>IF(ISNUMBER('Monthly data'!F196),LN(1+'Monthly data'!F196),"")</x:f>
        <x:v>4.340944189572651</x:v>
      </x:c>
      <x:c r="C196" s="8" t="n">
        <x:f>IF(ISNUMBER('Monthly data'!G196),LN(1+'Monthly data'!G196),"")</x:f>
        <x:v>2.7274540560888227</x:v>
      </x:c>
      <x:c r="D196" s="8" t="n">
        <x:f>IF(ISNUMBER('Monthly data'!H196),LN(1+'Monthly data'!H196),"")</x:f>
        <x:v>3.2652669231026934</x:v>
      </x:c>
      <x:c r="E196" s="8" t="n">
        <x:f>IF(ISNUMBER('Monthly data'!I196),LN(1+'Monthly data'!I196),"")</x:f>
        <x:v>2.657724859150145</x:v>
      </x:c>
      <x:c r="F196" s="8" t="n">
        <x:f>IF(ISNUMBER('Monthly data'!J196),LN(1+'Monthly data'!J196),"")</x:f>
        <x:v>2.1433431412759383</x:v>
      </x:c>
      <x:c r="G196" s="8" t="n">
        <x:f>IF(ISNUMBER('Monthly data'!K196),LN(1+'Monthly data'!K196),"")</x:f>
        <x:v>1.8003061751965215</x:v>
      </x:c>
      <x:c r="H196" s="8" t="n">
        <x:f>IF(ISNUMBER('Monthly data'!L196),LN(1+'Monthly data'!L196),"")</x:f>
        <x:v>0.39190694350931354</x:v>
      </x:c>
      <x:c r="I196" s="8" t="n">
        <x:f>IF(ISNUMBER('Monthly data'!M196),LN(1+'Monthly data'!M196),"")</x:f>
        <x:v>0.768764727018534</x:v>
      </x:c>
      <x:c r="J196" s="8" t="n">
        <x:f>IF(ISNUMBER('Monthly data'!N196),LN(1+'Monthly data'!N196),"")</x:f>
        <x:v>2.2843192841871534</x:v>
      </x:c>
      <x:c r="K196" s="8" t="n">
        <x:f>IF(COUNT('Monthly data'!F194:F196)=3,'Monthly data'!F196-2*'Monthly data'!F195+'Monthly data'!F194,"")</x:f>
        <x:v>-14.429999999999993</x:v>
      </x:c>
      <x:c r="L196" s="8" t="n">
        <x:f>IF(COUNT('Monthly data'!G194:G196)=3,'Monthly data'!G196-2*'Monthly data'!G195+'Monthly data'!G194,"")</x:f>
        <x:v>4.526199999999999</x:v>
      </x:c>
      <x:c r="M196" s="8" t="n">
        <x:f>IF(COUNT('Monthly data'!H194:H196)=3,'Monthly data'!H196-2*'Monthly data'!H195+'Monthly data'!H194,"")</x:f>
        <x:v>-16.150999999999996</x:v>
      </x:c>
      <x:c r="N196" s="8" t="n">
        <x:f>IF(COUNT('Monthly data'!I194:I196)=3,'Monthly data'!I196-2*'Monthly data'!I195+'Monthly data'!I194,"")</x:f>
        <x:v>1.7486999999999977</x:v>
      </x:c>
      <x:c r="O196" s="8" t="n">
        <x:f>IF(COUNT('Monthly data'!J194:J196)=3,'Monthly data'!J196-2*'Monthly data'!J195+'Monthly data'!J194,"")</x:f>
        <x:v>-4.6472000000000016</x:v>
      </x:c>
      <x:c r="P196" s="8" t="n">
        <x:f>IF(COUNT('Monthly data'!K194:K196)=3,'Monthly data'!K196-2*'Monthly data'!K195+'Monthly data'!K194,"")</x:f>
        <x:v>1.7236000000000002</x:v>
      </x:c>
      <x:c r="Q196" s="8" t="n">
        <x:f>IF(COUNT('Monthly data'!L194:L196)=3,'Monthly data'!L196-2*'Monthly data'!L195+'Monthly data'!L194,"")</x:f>
        <x:v>-0.6771</x:v>
      </x:c>
      <x:c r="R196" s="8" t="n">
        <x:f>IF(COUNT('Monthly data'!M194:M196)=3,'Monthly data'!M196-2*'Monthly data'!M195+'Monthly data'!M194,"")</x:f>
        <x:v>-0.8200999999999998</x:v>
      </x:c>
      <x:c r="S196" s="8" t="n">
        <x:f>IF(COUNT('Monthly data'!N194:N196)=3,'Monthly data'!N196-2*'Monthly data'!N195+'Monthly data'!N194,"")</x:f>
        <x:v>-0.13290000000000113</x:v>
      </x:c>
      <x:c r="T196" s="8" t="n">
        <x:f>IF(COUNT('Monthly data'!E195:E196)=2,'Monthly data'!E196-'Monthly data'!E195,"")</x:f>
        <x:v>0.0016502147999997163</x:v>
      </x:c>
    </x:row>
    <x:row r="197" ht="19" customHeight="1">
      <x:c r="A197" s="7" t="n">
        <x:f>'Monthly data'!A197</x:f>
        <x:v>38808</x:v>
      </x:c>
      <x:c r="B197" s="8" t="n">
        <x:f>IF(ISNUMBER('Monthly data'!F197),LN(1+'Monthly data'!F197),"")</x:f>
        <x:v>4.3527265489623295</x:v>
      </x:c>
      <x:c r="C197" s="8" t="n">
        <x:f>IF(ISNUMBER('Monthly data'!G197),LN(1+'Monthly data'!G197),"")</x:f>
        <x:v>2.833507418459159</x:v>
      </x:c>
      <x:c r="D197" s="8" t="n">
        <x:f>IF(ISNUMBER('Monthly data'!H197),LN(1+'Monthly data'!H197),"")</x:f>
        <x:v>3.048467028537856</x:v>
      </x:c>
      <x:c r="E197" s="8" t="n">
        <x:f>IF(ISNUMBER('Monthly data'!I197),LN(1+'Monthly data'!I197),"")</x:f>
        <x:v>2.642586807957904</x:v>
      </x:c>
      <x:c r="F197" s="8" t="n">
        <x:f>IF(ISNUMBER('Monthly data'!J197),LN(1+'Monthly data'!J197),"")</x:f>
        <x:v>2.315007612992603</x:v>
      </x:c>
      <x:c r="G197" s="8" t="n">
        <x:f>IF(ISNUMBER('Monthly data'!K197),LN(1+'Monthly data'!K197),"")</x:f>
        <x:v>2.209098249900582</x:v>
      </x:c>
      <x:c r="H197" s="8" t="n">
        <x:f>IF(ISNUMBER('Monthly data'!L197),LN(1+'Monthly data'!L197),"")</x:f>
        <x:v>0.3950780152216774</x:v>
      </x:c>
      <x:c r="I197" s="8" t="n">
        <x:f>IF(ISNUMBER('Monthly data'!M197),LN(1+'Monthly data'!M197),"")</x:f>
        <x:v>0.8503645817579882</x:v>
      </x:c>
      <x:c r="J197" s="8" t="n">
        <x:f>IF(ISNUMBER('Monthly data'!N197),LN(1+'Monthly data'!N197),"")</x:f>
        <x:v>2.250775876067663</x:v>
      </x:c>
      <x:c r="K197" s="8" t="n">
        <x:f>IF(COUNT('Monthly data'!F195:F197)=3,'Monthly data'!F197-2*'Monthly data'!F196+'Monthly data'!F195,"")</x:f>
        <x:v>6.819999999999993</x:v>
      </x:c>
      <x:c r="L197" s="8" t="n">
        <x:f>IF(COUNT('Monthly data'!G195:G197)=3,'Monthly data'!G197-2*'Monthly data'!G196+'Monthly data'!G195,"")</x:f>
        <x:v>-0.5288000000000022</x:v>
      </x:c>
      <x:c r="M197" s="8" t="n">
        <x:f>IF(COUNT('Monthly data'!H195:H197)=3,'Monthly data'!H197-2*'Monthly data'!H196+'Monthly data'!H195,"")</x:f>
        <x:v>2.9991999999999948</x:v>
      </x:c>
      <x:c r="N197" s="8" t="n">
        <x:f>IF(COUNT('Monthly data'!I195:I197)=3,'Monthly data'!I197-2*'Monthly data'!I196+'Monthly data'!I195,"")</x:f>
        <x:v>-1.7245999999999988</x:v>
      </x:c>
      <x:c r="O197" s="8" t="n">
        <x:f>IF(COUNT('Monthly data'!J195:J197)=3,'Monthly data'!J197-2*'Monthly data'!J196+'Monthly data'!J195,"")</x:f>
        <x:v>1.9160000000000004</x:v>
      </x:c>
      <x:c r="P197" s="8" t="n">
        <x:f>IF(COUNT('Monthly data'!K195:K197)=3,'Monthly data'!K197-2*'Monthly data'!K196+'Monthly data'!K195,"")</x:f>
        <x:v>3.6308</x:v>
      </x:c>
      <x:c r="Q197" s="8" t="n">
        <x:f>IF(COUNT('Monthly data'!L195:L197)=3,'Monthly data'!L197-2*'Monthly data'!L196+'Monthly data'!L195,"")</x:f>
        <x:v>0.176</x:v>
      </x:c>
      <x:c r="R197" s="8" t="n">
        <x:f>IF(COUNT('Monthly data'!M195:M197)=3,'Monthly data'!M197-2*'Monthly data'!M196+'Monthly data'!M195,"")</x:f>
        <x:v>0.3618999999999999</x:v>
      </x:c>
      <x:c r="S197" s="8" t="n">
        <x:f>IF(COUNT('Monthly data'!N195:N197)=3,'Monthly data'!N197-2*'Monthly data'!N196+'Monthly data'!N195,"")</x:f>
        <x:v>-0.010600000000000165</x:v>
      </x:c>
      <x:c r="T197" s="8" t="n">
        <x:f>IF(COUNT('Monthly data'!E196:E197)=2,'Monthly data'!E197-'Monthly data'!E196,"")</x:f>
        <x:v>-0.009821789300000106</x:v>
      </x:c>
    </x:row>
    <x:row r="198" ht="19" customHeight="1">
      <x:c r="A198" s="7" t="n">
        <x:f>'Monthly data'!A198</x:f>
        <x:v>38838</x:v>
      </x:c>
      <x:c r="B198" s="8" t="n">
        <x:f>IF(ISNUMBER('Monthly data'!F198),LN(1+'Monthly data'!F198),"")</x:f>
        <x:v>4.385146762010125</x:v>
      </x:c>
      <x:c r="C198" s="8" t="n">
        <x:f>IF(ISNUMBER('Monthly data'!G198),LN(1+'Monthly data'!G198),"")</x:f>
        <x:v>2.970055426764008</x:v>
      </x:c>
      <x:c r="D198" s="8" t="n">
        <x:f>IF(ISNUMBER('Monthly data'!H198),LN(1+'Monthly data'!H198),"")</x:f>
        <x:v>3.1485649423290116</x:v>
      </x:c>
      <x:c r="E198" s="8" t="n">
        <x:f>IF(ISNUMBER('Monthly data'!I198),LN(1+'Monthly data'!I198),"")</x:f>
        <x:v>2.459811039338232</x:v>
      </x:c>
      <x:c r="F198" s="8" t="n">
        <x:f>IF(ISNUMBER('Monthly data'!J198),LN(1+'Monthly data'!J198),"")</x:f>
        <x:v>2.4750330659897015</x:v>
      </x:c>
      <x:c r="G198" s="8" t="n">
        <x:f>IF(ISNUMBER('Monthly data'!K198),LN(1+'Monthly data'!K198),"")</x:f>
        <x:v>1.9011966639264302</x:v>
      </x:c>
      <x:c r="H198" s="8" t="n">
        <x:f>IF(ISNUMBER('Monthly data'!L198),LN(1+'Monthly data'!L198),"")</x:f>
        <x:v>0.5121647267672202</x:v>
      </x:c>
      <x:c r="I198" s="8" t="n">
        <x:f>IF(ISNUMBER('Monthly data'!M198),LN(1+'Monthly data'!M198),"")</x:f>
        <x:v>0.8351674405803743</x:v>
      </x:c>
      <x:c r="J198" s="8" t="n">
        <x:f>IF(ISNUMBER('Monthly data'!N198),LN(1+'Monthly data'!N198),"")</x:f>
        <x:v>2.3225445707336494</x:v>
      </x:c>
      <x:c r="K198" s="8" t="n">
        <x:f>IF(COUNT('Monthly data'!F196:F198)=3,'Monthly data'!F198-2*'Monthly data'!F197+'Monthly data'!F196,"")</x:f>
        <x:v>1.6500000000000057</x:v>
      </x:c>
      <x:c r="L198" s="8" t="n">
        <x:f>IF(COUNT('Monthly data'!G196:G198)=3,'Monthly data'!G198-2*'Monthly data'!G197+'Monthly data'!G196,"")</x:f>
        <x:v>0.7769000000000013</x:v>
      </x:c>
      <x:c r="M198" s="8" t="n">
        <x:f>IF(COUNT('Monthly data'!H196:H198)=3,'Monthly data'!H198-2*'Monthly data'!H197+'Monthly data'!H196,"")</x:f>
        <x:v>7.323700000000006</x:v>
      </x:c>
      <x:c r="N198" s="8" t="n">
        <x:f>IF(COUNT('Monthly data'!I196:I198)=3,'Monthly data'!I198-2*'Monthly data'!I197+'Monthly data'!I196,"")</x:f>
        <x:v>-2.1326</x:v>
      </x:c>
      <x:c r="O198" s="8" t="n">
        <x:f>IF(COUNT('Monthly data'!J196:J198)=3,'Monthly data'!J198-2*'Monthly data'!J197+'Monthly data'!J196,"")</x:f>
        <x:v>0.15999999999999925</x:v>
      </x:c>
      <x:c r="P198" s="8" t="n">
        <x:f>IF(COUNT('Monthly data'!K196:K198)=3,'Monthly data'!K198-2*'Monthly data'!K197+'Monthly data'!K196,"")</x:f>
        <x:v>-5.469600000000001</x:v>
      </x:c>
      <x:c r="Q198" s="8" t="n">
        <x:f>IF(COUNT('Monthly data'!L196:L198)=3,'Monthly data'!L198-2*'Monthly data'!L197+'Monthly data'!L196,"")</x:f>
        <x:v>0.17970000000000008</x:v>
      </x:c>
      <x:c r="R198" s="8" t="n">
        <x:f>IF(COUNT('Monthly data'!M196:M198)=3,'Monthly data'!M198-2*'Monthly data'!M197+'Monthly data'!M196,"")</x:f>
        <x:v>-0.21870000000000012</x:v>
      </x:c>
      <x:c r="S198" s="8" t="n">
        <x:f>IF(COUNT('Monthly data'!N196:N198)=3,'Monthly data'!N198-2*'Monthly data'!N197+'Monthly data'!N196,"")</x:f>
        <x:v>1.0303999999999984</x:v>
      </x:c>
      <x:c r="T198" s="8" t="n">
        <x:f>IF(COUNT('Monthly data'!E197:E198)=2,'Monthly data'!E198-'Monthly data'!E197,"")</x:f>
        <x:v>-0.0045361376000006</x:v>
      </x:c>
    </x:row>
    <x:row r="199" ht="19" customHeight="1">
      <x:c r="A199" s="7" t="n">
        <x:f>'Monthly data'!A199</x:f>
        <x:v>38869</x:v>
      </x:c>
      <x:c r="B199" s="8" t="n">
        <x:f>IF(ISNUMBER('Monthly data'!F199),LN(1+'Monthly data'!F199),"")</x:f>
        <x:v>4.463491407656154</x:v>
      </x:c>
      <x:c r="C199" s="8" t="n">
        <x:f>IF(ISNUMBER('Monthly data'!G199),LN(1+'Monthly data'!G199),"")</x:f>
        <x:v>3.4179364976664317</x:v>
      </x:c>
      <x:c r="D199" s="8" t="n">
        <x:f>IF(ISNUMBER('Monthly data'!H199),LN(1+'Monthly data'!H199),"")</x:f>
        <x:v>3.039734804800759</x:v>
      </x:c>
      <x:c r="E199" s="8" t="n">
        <x:f>IF(ISNUMBER('Monthly data'!I199),LN(1+'Monthly data'!I199),"")</x:f>
        <x:v>2.659364031525153</x:v>
      </x:c>
      <x:c r="F199" s="8" t="n">
        <x:f>IF(ISNUMBER('Monthly data'!J199),LN(1+'Monthly data'!J199),"")</x:f>
        <x:v>2.1198394462866745</x:v>
      </x:c>
      <x:c r="G199" s="8" t="n">
        <x:f>IF(ISNUMBER('Monthly data'!K199),LN(1+'Monthly data'!K199),"")</x:f>
        <x:v>2.065988960099955</x:v>
      </x:c>
      <x:c r="H199" s="8" t="n">
        <x:f>IF(ISNUMBER('Monthly data'!L199),LN(1+'Monthly data'!L199),"")</x:f>
        <x:v>0</x:v>
      </x:c>
      <x:c r="I199" s="8" t="n">
        <x:f>IF(ISNUMBER('Monthly data'!M199),LN(1+'Monthly data'!M199),"")</x:f>
        <x:v>0.30652836024814084</x:v>
      </x:c>
      <x:c r="J199" s="8" t="n">
        <x:f>IF(ISNUMBER('Monthly data'!N199),LN(1+'Monthly data'!N199),"")</x:f>
        <x:v>2.2528800104143785</x:v>
      </x:c>
      <x:c r="K199" s="8" t="n">
        <x:f>IF(COUNT('Monthly data'!F197:F199)=3,'Monthly data'!F199-2*'Monthly data'!F198+'Monthly data'!F197,"")</x:f>
        <x:v>3.980000000000004</x:v>
      </x:c>
      <x:c r="L199" s="8" t="n">
        <x:f>IF(COUNT('Monthly data'!G197:G199)=3,'Monthly data'!G199-2*'Monthly data'!G198+'Monthly data'!G197,"")</x:f>
        <x:v>8.525400000000001</x:v>
      </x:c>
      <x:c r="M199" s="8" t="n">
        <x:f>IF(COUNT('Monthly data'!H197:H199)=3,'Monthly data'!H199-2*'Monthly data'!H198+'Monthly data'!H197,"")</x:f>
        <x:v>-4.622500000000006</x:v>
      </x:c>
      <x:c r="N199" s="8" t="n">
        <x:f>IF(COUNT('Monthly data'!I197:I199)=3,'Monthly data'!I199-2*'Monthly data'!I198+'Monthly data'!I197,"")</x:f>
        <x:v>4.9315</x:v>
      </x:c>
      <x:c r="O199" s="8" t="n">
        <x:f>IF(COUNT('Monthly data'!J197:J199)=3,'Monthly data'!J199-2*'Monthly data'!J198+'Monthly data'!J197,"")</x:f>
        <x:v>-5.3094</x:v>
      </x:c>
      <x:c r="P199" s="8" t="n">
        <x:f>IF(COUNT('Monthly data'!K197:K199)=3,'Monthly data'!K199-2*'Monthly data'!K198+'Monthly data'!K197,"")</x:f>
        <x:v>3.612799999999999</x:v>
      </x:c>
      <x:c r="Q199" s="8" t="n">
        <x:f>IF(COUNT('Monthly data'!L197:L199)=3,'Monthly data'!L199-2*'Monthly data'!L198+'Monthly data'!L197,"")</x:f>
        <x:v>-0.8533000000000002</x:v>
      </x:c>
      <x:c r="R199" s="8" t="n">
        <x:f>IF(COUNT('Monthly data'!M197:M199)=3,'Monthly data'!M199-2*'Monthly data'!M198+'Monthly data'!M197,"")</x:f>
        <x:v>-0.9111999999999996</x:v>
      </x:c>
      <x:c r="S199" s="8" t="n">
        <x:f>IF(COUNT('Monthly data'!N197:N199)=3,'Monthly data'!N199-2*'Monthly data'!N198+'Monthly data'!N197,"")</x:f>
        <x:v>-1.3929999999999971</x:v>
      </x:c>
      <x:c r="T199" s="8" t="n">
        <x:f>IF(COUNT('Monthly data'!E198:E199)=2,'Monthly data'!E199-'Monthly data'!E198,"")</x:f>
        <x:v>0.005654362099999588</x:v>
      </x:c>
    </x:row>
    <x:row r="200" ht="19" customHeight="1">
      <x:c r="A200" s="7" t="n">
        <x:f>'Monthly data'!A200</x:f>
        <x:v>38899</x:v>
      </x:c>
      <x:c r="B200" s="8" t="n">
        <x:f>IF(ISNUMBER('Monthly data'!F200),LN(1+'Monthly data'!F200),"")</x:f>
        <x:v>4.782060352784839</x:v>
      </x:c>
      <x:c r="C200" s="8" t="n">
        <x:f>IF(ISNUMBER('Monthly data'!G200),LN(1+'Monthly data'!G200),"")</x:f>
        <x:v>4.1690809083361176</x:v>
      </x:c>
      <x:c r="D200" s="8" t="n">
        <x:f>IF(ISNUMBER('Monthly data'!H200),LN(1+'Monthly data'!H200),"")</x:f>
        <x:v>3.000212223575697</x:v>
      </x:c>
      <x:c r="E200" s="8" t="n">
        <x:f>IF(ISNUMBER('Monthly data'!I200),LN(1+'Monthly data'!I200),"")</x:f>
        <x:v>2.6845631948097557</x:v>
      </x:c>
      <x:c r="F200" s="8" t="n">
        <x:f>IF(ISNUMBER('Monthly data'!J200),LN(1+'Monthly data'!J200),"")</x:f>
        <x:v>1.9426906864283402</x:v>
      </x:c>
      <x:c r="G200" s="8" t="n">
        <x:f>IF(ISNUMBER('Monthly data'!K200),LN(1+'Monthly data'!K200),"")</x:f>
        <x:v>1.8902162085690868</x:v>
      </x:c>
      <x:c r="H200" s="8" t="n">
        <x:f>IF(ISNUMBER('Monthly data'!L200),LN(1+'Monthly data'!L200),"")</x:f>
        <x:v>0.24560929602987316</x:v>
      </x:c>
      <x:c r="I200" s="8" t="n">
        <x:f>IF(ISNUMBER('Monthly data'!M200),LN(1+'Monthly data'!M200),"")</x:f>
        <x:v>0.5586438872214661</x:v>
      </x:c>
      <x:c r="J200" s="8" t="n">
        <x:f>IF(ISNUMBER('Monthly data'!N200),LN(1+'Monthly data'!N200),"")</x:f>
        <x:v>2.3348005573564032</x:v>
      </x:c>
      <x:c r="K200" s="8" t="n">
        <x:f>IF(COUNT('Monthly data'!F198:F200)=3,'Monthly data'!F200-2*'Monthly data'!F199+'Monthly data'!F198,"")</x:f>
        <x:v>26.019999999999982</x:v>
      </x:c>
      <x:c r="L200" s="8" t="n">
        <x:f>IF(COUNT('Monthly data'!G198:G200)=3,'Monthly data'!G200-2*'Monthly data'!G199+'Monthly data'!G198,"")</x:f>
        <x:v>23.1362</x:v>
      </x:c>
      <x:c r="M200" s="8" t="n">
        <x:f>IF(COUNT('Monthly data'!H198:H200)=3,'Monthly data'!H200-2*'Monthly data'!H199+'Monthly data'!H198,"")</x:f>
        <x:v>1.5930000000000035</x:v>
      </x:c>
      <x:c r="N200" s="8" t="n">
        <x:f>IF(COUNT('Monthly data'!I198:I200)=3,'Monthly data'!I200-2*'Monthly data'!I199+'Monthly data'!I198,"")</x:f>
        <x:v>-2.2200000000000006</x:v>
      </x:c>
      <x:c r="O200" s="8" t="n">
        <x:f>IF(COUNT('Monthly data'!J198:J200)=3,'Monthly data'!J200-2*'Monthly data'!J199+'Monthly data'!J198,"")</x:f>
        <x:v>2.200000000000001</x:v>
      </x:c>
      <x:c r="P200" s="8" t="n">
        <x:f>IF(COUNT('Monthly data'!K198:K200)=3,'Monthly data'!K200-2*'Monthly data'!K199+'Monthly data'!K198,"")</x:f>
        <x:v>-2.471499999999998</x:v>
      </x:c>
      <x:c r="Q200" s="8" t="n">
        <x:f>IF(COUNT('Monthly data'!L198:L200)=3,'Monthly data'!L200-2*'Monthly data'!L199+'Monthly data'!L198,"")</x:f>
        <x:v>0.9473</x:v>
      </x:c>
      <x:c r="R200" s="8" t="n">
        <x:f>IF(COUNT('Monthly data'!M198:M200)=3,'Monthly data'!M200-2*'Monthly data'!M199+'Monthly data'!M198,"")</x:f>
        <x:v>1.3360999999999998</x:v>
      </x:c>
      <x:c r="S200" s="8" t="n">
        <x:f>IF(COUNT('Monthly data'!N198:N200)=3,'Monthly data'!N200-2*'Monthly data'!N199+'Monthly data'!N198,"")</x:f>
        <x:v>1.4987999999999992</x:v>
      </x:c>
      <x:c r="T200" s="8" t="n">
        <x:f>IF(COUNT('Monthly data'!E199:E200)=2,'Monthly data'!E200-'Monthly data'!E199,"")</x:f>
        <x:v>0.013366833600001016</x:v>
      </x:c>
    </x:row>
    <x:row r="201" ht="19" customHeight="1">
      <x:c r="A201" s="7" t="n">
        <x:f>'Monthly data'!A201</x:f>
        <x:v>38930</x:v>
      </x:c>
      <x:c r="B201" s="8" t="n">
        <x:f>IF(ISNUMBER('Monthly data'!F201),LN(1+'Monthly data'!F201),"")</x:f>
        <x:v>4.814458191011861</x:v>
      </x:c>
      <x:c r="C201" s="8" t="n">
        <x:f>IF(ISNUMBER('Monthly data'!G201),LN(1+'Monthly data'!G201),"")</x:f>
        <x:v>4.001205357478478</x:v>
      </x:c>
      <x:c r="D201" s="8" t="n">
        <x:f>IF(ISNUMBER('Monthly data'!H201),LN(1+'Monthly data'!H201),"")</x:f>
        <x:v>2.818965261673365</x:v>
      </x:c>
      <x:c r="E201" s="8" t="n">
        <x:f>IF(ISNUMBER('Monthly data'!I201),LN(1+'Monthly data'!I201),"")</x:f>
        <x:v>3.434483855327245</x:v>
      </x:c>
      <x:c r="F201" s="8" t="n">
        <x:f>IF(ISNUMBER('Monthly data'!J201),LN(1+'Monthly data'!J201),"")</x:f>
        <x:v>2.0592770989363407</x:v>
      </x:c>
      <x:c r="G201" s="8" t="n">
        <x:f>IF(ISNUMBER('Monthly data'!K201),LN(1+'Monthly data'!K201),"")</x:f>
        <x:v>1.830114423104519</x:v>
      </x:c>
      <x:c r="H201" s="8" t="n">
        <x:f>IF(ISNUMBER('Monthly data'!L201),LN(1+'Monthly data'!L201),"")</x:f>
        <x:v>0.07157619848922196</x:v>
      </x:c>
      <x:c r="I201" s="8" t="n">
        <x:f>IF(ISNUMBER('Monthly data'!M201),LN(1+'Monthly data'!M201),"")</x:f>
        <x:v>0.7829878845597347</x:v>
      </x:c>
      <x:c r="J201" s="8" t="n">
        <x:f>IF(ISNUMBER('Monthly data'!N201),LN(1+'Monthly data'!N201),"")</x:f>
        <x:v>2.351756137000495</x:v>
      </x:c>
      <x:c r="K201" s="8" t="n">
        <x:f>IF(COUNT('Monthly data'!F199:F201)=3,'Monthly data'!F201-2*'Monthly data'!F200+'Monthly data'!F199,"")</x:f>
        <x:v>-28.62999999999998</x:v>
      </x:c>
      <x:c r="L201" s="8" t="n">
        <x:f>IF(COUNT('Monthly data'!G199:G201)=3,'Monthly data'!G201-2*'Monthly data'!G200+'Monthly data'!G199,"")</x:f>
        <x:v>-44.1416</x:v>
      </x:c>
      <x:c r="M201" s="8" t="n">
        <x:f>IF(COUNT('Monthly data'!H199:H201)=3,'Monthly data'!H201-2*'Monthly data'!H200+'Monthly data'!H199,"")</x:f>
        <x:v>-2.520400000000002</x:v>
      </x:c>
      <x:c r="N201" s="8" t="n">
        <x:f>IF(COUNT('Monthly data'!I199:I201)=3,'Monthly data'!I201-2*'Monthly data'!I200+'Monthly data'!I199,"")</x:f>
        <x:v>15.999</x:v>
      </x:c>
      <x:c r="O201" s="8" t="n">
        <x:f>IF(COUNT('Monthly data'!J199:J201)=3,'Monthly data'!J201-2*'Monthly data'!J200+'Monthly data'!J199,"")</x:f>
        <x:v>2.2150999999999996</x:v>
      </x:c>
      <x:c r="P201" s="8" t="n">
        <x:f>IF(COUNT('Monthly data'!K199:K201)=3,'Monthly data'!K201-2*'Monthly data'!K200+'Monthly data'!K199,"")</x:f>
        <x:v>0.8860999999999999</x:v>
      </x:c>
      <x:c r="Q201" s="8" t="n">
        <x:f>IF(COUNT('Monthly data'!L199:L201)=3,'Monthly data'!L201-2*'Monthly data'!L200+'Monthly data'!L199,"")</x:f>
        <x:v>-0.4826</x:v>
      </x:c>
      <x:c r="R201" s="8" t="n">
        <x:f>IF(COUNT('Monthly data'!M199:M201)=3,'Monthly data'!M201-2*'Monthly data'!M200+'Monthly data'!M199,"")</x:f>
        <x:v>0.05010000000000003</x:v>
      </x:c>
      <x:c r="S201" s="8" t="n">
        <x:f>IF(COUNT('Monthly data'!N199:N201)=3,'Monthly data'!N201-2*'Monthly data'!N200+'Monthly data'!N199,"")</x:f>
        <x:v>-0.6357000000000017</x:v>
      </x:c>
      <x:c r="T201" s="8" t="n">
        <x:f>IF(COUNT('Monthly data'!E200:E201)=2,'Monthly data'!E201-'Monthly data'!E200,"")</x:f>
        <x:v>-0.01306379360000065</x:v>
      </x:c>
    </x:row>
    <x:row r="202" ht="19" customHeight="1">
      <x:c r="A202" s="7" t="n">
        <x:f>'Monthly data'!A202</x:f>
        <x:v>38961</x:v>
      </x:c>
      <x:c r="B202" s="8" t="n">
        <x:f>IF(ISNUMBER('Monthly data'!F202),LN(1+'Monthly data'!F202),"")</x:f>
        <x:v>4.585477552642355</x:v>
      </x:c>
      <x:c r="C202" s="8" t="n">
        <x:f>IF(ISNUMBER('Monthly data'!G202),LN(1+'Monthly data'!G202),"")</x:f>
        <x:v>3.4231349831800566</x:v>
      </x:c>
      <x:c r="D202" s="8" t="n">
        <x:f>IF(ISNUMBER('Monthly data'!H202),LN(1+'Monthly data'!H202),"")</x:f>
        <x:v>3.388885230572726</x:v>
      </x:c>
      <x:c r="E202" s="8" t="n">
        <x:f>IF(ISNUMBER('Monthly data'!I202),LN(1+'Monthly data'!I202),"")</x:f>
        <x:v>2.88534246551357</x:v>
      </x:c>
      <x:c r="F202" s="8" t="n">
        <x:f>IF(ISNUMBER('Monthly data'!J202),LN(1+'Monthly data'!J202),"")</x:f>
        <x:v>1.9328683301879352</x:v>
      </x:c>
      <x:c r="G202" s="8" t="n">
        <x:f>IF(ISNUMBER('Monthly data'!K202),LN(1+'Monthly data'!K202),"")</x:f>
        <x:v>1.6068746300309356</x:v>
      </x:c>
      <x:c r="H202" s="8" t="n">
        <x:f>IF(ISNUMBER('Monthly data'!L202),LN(1+'Monthly data'!L202),"")</x:f>
        <x:v>0.9632888150347378</x:v>
      </x:c>
      <x:c r="I202" s="8" t="n">
        <x:f>IF(ISNUMBER('Monthly data'!M202),LN(1+'Monthly data'!M202),"")</x:f>
        <x:v>0.8679404709331082</x:v>
      </x:c>
      <x:c r="J202" s="8" t="n">
        <x:f>IF(ISNUMBER('Monthly data'!N202),LN(1+'Monthly data'!N202),"")</x:f>
        <x:v>2.296898957523059</x:v>
      </x:c>
      <x:c r="K202" s="8" t="n">
        <x:f>IF(COUNT('Monthly data'!F200:F202)=3,'Monthly data'!F202-2*'Monthly data'!F201+'Monthly data'!F200,"")</x:f>
        <x:v>-29.159999999999997</x:v>
      </x:c>
      <x:c r="L202" s="8" t="n">
        <x:f>IF(COUNT('Monthly data'!G200:G202)=3,'Monthly data'!G202-2*'Monthly data'!G201+'Monthly data'!G200,"")</x:f>
        <x:v>-14.006599999999999</x:v>
      </x:c>
      <x:c r="M202" s="8" t="n">
        <x:f>IF(COUNT('Monthly data'!H200:H202)=3,'Monthly data'!H202-2*'Monthly data'!H201+'Monthly data'!H200,"")</x:f>
        <x:v>16.2037</x:v>
      </x:c>
      <x:c r="N202" s="8" t="n">
        <x:f>IF(COUNT('Monthly data'!I200:I202)=3,'Monthly data'!I202-2*'Monthly data'!I201+'Monthly data'!I200,"")</x:f>
        <x:v>-29.469299999999997</x:v>
      </x:c>
      <x:c r="O202" s="8" t="n">
        <x:f>IF(COUNT('Monthly data'!J200:J202)=3,'Monthly data'!J202-2*'Monthly data'!J201+'Monthly data'!J200,"")</x:f>
        <x:v>-1.7938</x:v>
      </x:c>
      <x:c r="P202" s="8" t="n">
        <x:f>IF(COUNT('Monthly data'!K200:K202)=3,'Monthly data'!K202-2*'Monthly data'!K201+'Monthly data'!K200,"")</x:f>
        <x:v>-0.8612000000000011</x:v>
      </x:c>
      <x:c r="Q202" s="8" t="n">
        <x:f>IF(COUNT('Monthly data'!L200:L202)=3,'Monthly data'!L202-2*'Monthly data'!L201+'Monthly data'!L200,"")</x:f>
        <x:v>1.7503</x:v>
      </x:c>
      <x:c r="R202" s="8" t="n">
        <x:f>IF(COUNT('Monthly data'!M200:M202)=3,'Monthly data'!M202-2*'Monthly data'!M201+'Monthly data'!M200,"")</x:f>
        <x:v>-0.24570000000000003</x:v>
      </x:c>
      <x:c r="S202" s="8" t="n">
        <x:f>IF(COUNT('Monthly data'!N200:N202)=3,'Monthly data'!N202-2*'Monthly data'!N201+'Monthly data'!N200,"")</x:f>
        <x:v>-0.7372999999999976</x:v>
      </x:c>
      <x:c r="T202" s="8" t="n">
        <x:f>IF(COUNT('Monthly data'!E201:E202)=2,'Monthly data'!E202-'Monthly data'!E201,"")</x:f>
        <x:v>-0.0009237237999997205</x:v>
      </x:c>
    </x:row>
    <x:row r="203" ht="19" customHeight="1">
      <x:c r="A203" s="7" t="n">
        <x:f>'Monthly data'!A203</x:f>
        <x:v>38991</x:v>
      </x:c>
      <x:c r="B203" s="8" t="n">
        <x:f>IF(ISNUMBER('Monthly data'!F203),LN(1+'Monthly data'!F203),"")</x:f>
        <x:v>4.515573652176335</x:v>
      </x:c>
      <x:c r="C203" s="8" t="n">
        <x:f>IF(ISNUMBER('Monthly data'!G203),LN(1+'Monthly data'!G203),"")</x:f>
        <x:v>3.315534186376118</x:v>
      </x:c>
      <x:c r="D203" s="8" t="n">
        <x:f>IF(ISNUMBER('Monthly data'!H203),LN(1+'Monthly data'!H203),"")</x:f>
        <x:v>2.978260527641951</x:v>
      </x:c>
      <x:c r="E203" s="8" t="n">
        <x:f>IF(ISNUMBER('Monthly data'!I203),LN(1+'Monthly data'!I203),"")</x:f>
        <x:v>2.573550720984549</x:v>
      </x:c>
      <x:c r="F203" s="8" t="n">
        <x:f>IF(ISNUMBER('Monthly data'!J203),LN(1+'Monthly data'!J203),"")</x:f>
        <x:v>2.2390913592093735</x:v>
      </x:c>
      <x:c r="G203" s="8" t="n">
        <x:f>IF(ISNUMBER('Monthly data'!K203),LN(1+'Monthly data'!K203),"")</x:f>
        <x:v>2.6597559139654376</x:v>
      </x:c>
      <x:c r="H203" s="8" t="n">
        <x:f>IF(ISNUMBER('Monthly data'!L203),LN(1+'Monthly data'!L203),"")</x:f>
        <x:v>0.40633139943612223</x:v>
      </x:c>
      <x:c r="I203" s="8" t="n">
        <x:f>IF(ISNUMBER('Monthly data'!M203),LN(1+'Monthly data'!M203),"")</x:f>
        <x:v>1.5753846251092165</x:v>
      </x:c>
      <x:c r="J203" s="8" t="n">
        <x:f>IF(ISNUMBER('Monthly data'!N203),LN(1+'Monthly data'!N203),"")</x:f>
        <x:v>2.093763491187385</x:v>
      </x:c>
      <x:c r="K203" s="8" t="n">
        <x:f>IF(COUNT('Monthly data'!F201:F203)=3,'Monthly data'!F203-2*'Monthly data'!F202+'Monthly data'!F201,"")</x:f>
        <x:v>18.610000000000014</x:v>
      </x:c>
      <x:c r="L203" s="8" t="n">
        <x:f>IF(COUNT('Monthly data'!G201:G203)=3,'Monthly data'!G203-2*'Monthly data'!G202+'Monthly data'!G201,"")</x:f>
        <x:v>20.8703</x:v>
      </x:c>
      <x:c r="M203" s="8" t="n">
        <x:f>IF(COUNT('Monthly data'!H201:H203)=3,'Monthly data'!H203-2*'Monthly data'!H202+'Monthly data'!H201,"")</x:f>
        <x:v>-22.852700000000002</x:v>
      </x:c>
      <x:c r="N203" s="8" t="n">
        <x:f>IF(COUNT('Monthly data'!I201:I203)=3,'Monthly data'!I203-2*'Monthly data'!I202+'Monthly data'!I201,"")</x:f>
        <x:v>8.308299999999996</x:v>
      </x:c>
      <x:c r="O203" s="8" t="n">
        <x:f>IF(COUNT('Monthly data'!J201:J203)=3,'Monthly data'!J203-2*'Monthly data'!J202+'Monthly data'!J201,"")</x:f>
        <x:v>3.4065000000000003</x:v>
      </x:c>
      <x:c r="P203" s="8" t="n">
        <x:f>IF(COUNT('Monthly data'!K201:K203)=3,'Monthly data'!K203-2*'Monthly data'!K202+'Monthly data'!K201,"")</x:f>
        <x:v>10.553</x:v>
      </x:c>
      <x:c r="Q203" s="8" t="n">
        <x:f>IF(COUNT('Monthly data'!L201:L203)=3,'Monthly data'!L203-2*'Monthly data'!L202+'Monthly data'!L201,"")</x:f>
        <x:v>-2.6651000000000002</x:v>
      </x:c>
      <x:c r="R203" s="8" t="n">
        <x:f>IF(COUNT('Monthly data'!M201:M203)=3,'Monthly data'!M203-2*'Monthly data'!M202+'Monthly data'!M201,"")</x:f>
        <x:v>2.2565999999999997</x:v>
      </x:c>
      <x:c r="S203" s="8" t="n">
        <x:f>IF(COUNT('Monthly data'!N201:N203)=3,'Monthly data'!N203-2*'Monthly data'!N202+'Monthly data'!N201,"")</x:f>
        <x:v>-1.2672000000000008</x:v>
      </x:c>
      <x:c r="T203" s="8" t="n">
        <x:f>IF(COUNT('Monthly data'!E202:E203)=2,'Monthly data'!E203-'Monthly data'!E202,"")</x:f>
        <x:v>0.0022631804999999616</x:v>
      </x:c>
    </x:row>
    <x:row r="204" ht="19" customHeight="1">
      <x:c r="A204" s="7" t="n">
        <x:f>'Monthly data'!A204</x:f>
        <x:v>39022</x:v>
      </x:c>
      <x:c r="B204" s="8" t="n">
        <x:f>IF(ISNUMBER('Monthly data'!F204),LN(1+'Monthly data'!F204),"")</x:f>
        <x:v>4.517758728977122</x:v>
      </x:c>
      <x:c r="C204" s="8" t="n">
        <x:f>IF(ISNUMBER('Monthly data'!G204),LN(1+'Monthly data'!G204),"")</x:f>
        <x:v>3.351432742846495</x:v>
      </x:c>
      <x:c r="D204" s="8" t="n">
        <x:f>IF(ISNUMBER('Monthly data'!H204),LN(1+'Monthly data'!H204),"")</x:f>
        <x:v>3.2992274079117516</x:v>
      </x:c>
      <x:c r="E204" s="8" t="n">
        <x:f>IF(ISNUMBER('Monthly data'!I204),LN(1+'Monthly data'!I204),"")</x:f>
        <x:v>2.4922049522691117</x:v>
      </x:c>
      <x:c r="F204" s="8" t="n">
        <x:f>IF(ISNUMBER('Monthly data'!J204),LN(1+'Monthly data'!J204),"")</x:f>
        <x:v>2.3927822234115474</x:v>
      </x:c>
      <x:c r="G204" s="8" t="n">
        <x:f>IF(ISNUMBER('Monthly data'!K204),LN(1+'Monthly data'!K204),"")</x:f>
        <x:v>1.7464656855902938</x:v>
      </x:c>
      <x:c r="H204" s="8" t="n">
        <x:f>IF(ISNUMBER('Monthly data'!L204),LN(1+'Monthly data'!L204),"")</x:f>
        <x:v>0.6947459019236424</x:v>
      </x:c>
      <x:c r="I204" s="8" t="n">
        <x:f>IF(ISNUMBER('Monthly data'!M204),LN(1+'Monthly data'!M204),"")</x:f>
        <x:v>0.512104805264371</x:v>
      </x:c>
      <x:c r="J204" s="8" t="n">
        <x:f>IF(ISNUMBER('Monthly data'!N204),LN(1+'Monthly data'!N204),"")</x:f>
        <x:v>2.3567607294398156</x:v>
      </x:c>
      <x:c r="K204" s="8" t="n">
        <x:f>IF(COUNT('Monthly data'!F202:F204)=3,'Monthly data'!F204-2*'Monthly data'!F203+'Monthly data'!F202,"")</x:f>
        <x:v>6.819999999999979</x:v>
      </x:c>
      <x:c r="L204" s="8" t="n">
        <x:f>IF(COUNT('Monthly data'!G202:G204)=3,'Monthly data'!G204-2*'Monthly data'!G203+'Monthly data'!G202,"")</x:f>
        <x:v>4.134800000000006</x:v>
      </x:c>
      <x:c r="M204" s="8" t="n">
        <x:f>IF(COUNT('Monthly data'!H202:H204)=3,'Monthly data'!H204-2*'Monthly data'!H203+'Monthly data'!H202,"")</x:f>
        <x:v>17.417399999999997</x:v>
      </x:c>
      <x:c r="N204" s="8" t="n">
        <x:f>IF(COUNT('Monthly data'!I202:I204)=3,'Monthly data'!I204-2*'Monthly data'!I203+'Monthly data'!I202,"")</x:f>
        <x:v>3.7730000000000015</x:v>
      </x:c>
      <x:c r="O204" s="8" t="n">
        <x:f>IF(COUNT('Monthly data'!J202:J204)=3,'Monthly data'!J204-2*'Monthly data'!J203+'Monthly data'!J202,"")</x:f>
        <x:v>-0.9164000000000012</x:v>
      </x:c>
      <x:c r="P204" s="8" t="n">
        <x:f>IF(COUNT('Monthly data'!K202:K204)=3,'Monthly data'!K204-2*'Monthly data'!K203+'Monthly data'!K202,"")</x:f>
        <x:v>-17.864099999999997</x:v>
      </x:c>
      <x:c r="Q204" s="8" t="n">
        <x:f>IF(COUNT('Monthly data'!L202:L204)=3,'Monthly data'!L204-2*'Monthly data'!L203+'Monthly data'!L202,"")</x:f>
        <x:v>1.6209000000000002</x:v>
      </x:c>
      <x:c r="R204" s="8" t="n">
        <x:f>IF(COUNT('Monthly data'!M202:M204)=3,'Monthly data'!M204-2*'Monthly data'!M203+'Monthly data'!M202,"")</x:f>
        <x:v>-5.6144</x:v>
      </x:c>
      <x:c r="S204" s="8" t="n">
        <x:f>IF(COUNT('Monthly data'!N202:N204)=3,'Monthly data'!N204-2*'Monthly data'!N203+'Monthly data'!N202,"")</x:f>
        <x:v>4.2692</x:v>
      </x:c>
      <x:c r="T204" s="8" t="n">
        <x:f>IF(COUNT('Monthly data'!E203:E204)=2,'Monthly data'!E204-'Monthly data'!E203,"")</x:f>
        <x:v>-0.0016612701999996204</x:v>
      </x:c>
    </x:row>
    <x:row r="205" ht="19" customHeight="1">
      <x:c r="A205" s="7" t="n">
        <x:f>'Monthly data'!A205</x:f>
        <x:v>39052</x:v>
      </x:c>
      <x:c r="B205" s="8" t="n">
        <x:f>IF(ISNUMBER('Monthly data'!F205),LN(1+'Monthly data'!F205),"")</x:f>
        <x:v>4.612939923252452</x:v>
      </x:c>
      <x:c r="C205" s="8" t="n">
        <x:f>IF(ISNUMBER('Monthly data'!G205),LN(1+'Monthly data'!G205),"")</x:f>
        <x:v>3.5100846709363807</x:v>
      </x:c>
      <x:c r="D205" s="8" t="n">
        <x:f>IF(ISNUMBER('Monthly data'!H205),LN(1+'Monthly data'!H205),"")</x:f>
        <x:v>3.3707003727756977</x:v>
      </x:c>
      <x:c r="E205" s="8" t="n">
        <x:f>IF(ISNUMBER('Monthly data'!I205),LN(1+'Monthly data'!I205),"")</x:f>
        <x:v>2.446650804333468</x:v>
      </x:c>
      <x:c r="F205" s="8" t="n">
        <x:f>IF(ISNUMBER('Monthly data'!J205),LN(1+'Monthly data'!J205),"")</x:f>
        <x:v>2.3690467636934653</x:v>
      </x:c>
      <x:c r="G205" s="8" t="n">
        <x:f>IF(ISNUMBER('Monthly data'!K205),LN(1+'Monthly data'!K205),"")</x:f>
        <x:v>1.515127232962859</x:v>
      </x:c>
      <x:c r="H205" s="8" t="n">
        <x:f>IF(ISNUMBER('Monthly data'!L205),LN(1+'Monthly data'!L205),"")</x:f>
        <x:v>1.0665366551956241</x:v>
      </x:c>
      <x:c r="I205" s="8" t="n">
        <x:f>IF(ISNUMBER('Monthly data'!M205),LN(1+'Monthly data'!M205),"")</x:f>
        <x:v>0.9649285034800492</x:v>
      </x:c>
      <x:c r="J205" s="8" t="n">
        <x:f>IF(ISNUMBER('Monthly data'!N205),LN(1+'Monthly data'!N205),"")</x:f>
        <x:v>2.5582655319200263</x:v>
      </x:c>
      <x:c r="K205" s="8" t="n">
        <x:f>IF(COUNT('Monthly data'!F203:F205)=3,'Monthly data'!F205-2*'Monthly data'!F204+'Monthly data'!F203,"")</x:f>
        <x:v>8.950000000000017</x:v>
      </x:c>
      <x:c r="L205" s="8" t="n">
        <x:f>IF(COUNT('Monthly data'!G203:G205)=3,'Monthly data'!G205-2*'Monthly data'!G204+'Monthly data'!G203,"")</x:f>
        <x:v>3.9009999999999927</x:v>
      </x:c>
      <x:c r="M205" s="8" t="n">
        <x:f>IF(COUNT('Monthly data'!H203:H205)=3,'Monthly data'!H205-2*'Monthly data'!H204+'Monthly data'!H203,"")</x:f>
        <x:v>-5.430899999999998</x:v>
      </x:c>
      <x:c r="N205" s="8" t="n">
        <x:f>IF(COUNT('Monthly data'!I203:I205)=3,'Monthly data'!I205-2*'Monthly data'!I204+'Monthly data'!I203,"")</x:f>
        <x:v>0.4861000000000004</x:v>
      </x:c>
      <x:c r="O205" s="8" t="n">
        <x:f>IF(COUNT('Monthly data'!J203:J205)=3,'Monthly data'!J205-2*'Monthly data'!J204+'Monthly data'!J203,"")</x:f>
        <x:v>-1.8157999999999976</x:v>
      </x:c>
      <x:c r="P205" s="8" t="n">
        <x:f>IF(COUNT('Monthly data'!K203:K205)=3,'Monthly data'!K205-2*'Monthly data'!K204+'Monthly data'!K203,"")</x:f>
        <x:v>7.374199999999999</x:v>
      </x:c>
      <x:c r="Q205" s="8" t="n">
        <x:f>IF(COUNT('Monthly data'!L203:L205)=3,'Monthly data'!L205-2*'Monthly data'!L204+'Monthly data'!L203,"")</x:f>
        <x:v>0.4001999999999998</x:v>
      </x:c>
      <x:c r="R205" s="8" t="n">
        <x:f>IF(COUNT('Monthly data'!M203:M205)=3,'Monthly data'!M205-2*'Monthly data'!M204+'Monthly data'!M203,"")</x:f>
        <x:v>4.1196</x:v>
      </x:c>
      <x:c r="S205" s="8" t="n">
        <x:f>IF(COUNT('Monthly data'!N203:N205)=3,'Monthly data'!N205-2*'Monthly data'!N204+'Monthly data'!N203,"")</x:f>
        <x:v>-0.08459999999999912</x:v>
      </x:c>
      <x:c r="T205" s="8" t="n">
        <x:f>IF(COUNT('Monthly data'!E204:E205)=2,'Monthly data'!E205-'Monthly data'!E204,"")</x:f>
        <x:v>-0.005755321500000576</x:v>
      </x:c>
    </x:row>
    <x:row r="206" ht="19" customHeight="1">
      <x:c r="A206" s="7" t="n">
        <x:f>'Monthly data'!A206</x:f>
        <x:v>39083</x:v>
      </x:c>
      <x:c r="B206" s="8" t="n">
        <x:f>IF(ISNUMBER('Monthly data'!F206),LN(1+'Monthly data'!F206),"")</x:f>
        <x:v>4.5531397778937075</x:v>
      </x:c>
      <x:c r="C206" s="8" t="n">
        <x:f>IF(ISNUMBER('Monthly data'!G206),LN(1+'Monthly data'!G206),"")</x:f>
        <x:v>3.7035463671573328</x:v>
      </x:c>
      <x:c r="D206" s="8" t="n">
        <x:f>IF(ISNUMBER('Monthly data'!H206),LN(1+'Monthly data'!H206),"")</x:f>
        <x:v>3.102746421208473</x:v>
      </x:c>
      <x:c r="E206" s="8" t="n">
        <x:f>IF(ISNUMBER('Monthly data'!I206),LN(1+'Monthly data'!I206),"")</x:f>
        <x:v>2.610738686629661</x:v>
      </x:c>
      <x:c r="F206" s="8" t="n">
        <x:f>IF(ISNUMBER('Monthly data'!J206),LN(1+'Monthly data'!J206),"")</x:f>
        <x:v>1.9492047160047434</x:v>
      </x:c>
      <x:c r="G206" s="8" t="n">
        <x:f>IF(ISNUMBER('Monthly data'!K206),LN(1+'Monthly data'!K206),"")</x:f>
        <x:v>1.5936336808891332</x:v>
      </x:c>
      <x:c r="H206" s="8" t="n">
        <x:f>IF(ISNUMBER('Monthly data'!L206),LN(1+'Monthly data'!L206),"")</x:f>
        <x:v>0.40985545640945736</x:v>
      </x:c>
      <x:c r="I206" s="8" t="n">
        <x:f>IF(ISNUMBER('Monthly data'!M206),LN(1+'Monthly data'!M206),"")</x:f>
        <x:v>0.44654306986601083</x:v>
      </x:c>
      <x:c r="J206" s="8" t="n">
        <x:f>IF(ISNUMBER('Monthly data'!N206),LN(1+'Monthly data'!N206),"")</x:f>
        <x:v>2.347252484489205</x:v>
      </x:c>
      <x:c r="K206" s="8" t="n">
        <x:f>IF(COUNT('Monthly data'!F204:F206)=3,'Monthly data'!F206-2*'Monthly data'!F205+'Monthly data'!F204,"")</x:f>
        <x:v>-15</x:v>
      </x:c>
      <x:c r="L206" s="8" t="n">
        <x:f>IF(COUNT('Monthly data'!G204:G206)=3,'Monthly data'!G206-2*'Monthly data'!G205+'Monthly data'!G204,"")</x:f>
        <x:v>2.232400000000009</x:v>
      </x:c>
      <x:c r="M206" s="8" t="n">
        <x:f>IF(COUNT('Monthly data'!H204:H206)=3,'Monthly data'!H206-2*'Monthly data'!H205+'Monthly data'!H204,"")</x:f>
        <x:v>-8.847100000000001</x:v>
      </x:c>
      <x:c r="N206" s="8" t="n">
        <x:f>IF(COUNT('Monthly data'!I204:I206)=3,'Monthly data'!I206-2*'Monthly data'!I205+'Monthly data'!I204,"")</x:f>
        <x:v>2.5977999999999994</x:v>
      </x:c>
      <x:c r="O206" s="8" t="n">
        <x:f>IF(COUNT('Monthly data'!J204:J206)=3,'Monthly data'!J206-2*'Monthly data'!J205+'Monthly data'!J204,"")</x:f>
        <x:v>-3.4074000000000026</x:v>
      </x:c>
      <x:c r="P206" s="8" t="n">
        <x:f>IF(COUNT('Monthly data'!K204:K206)=3,'Monthly data'!K206-2*'Monthly data'!K205+'Monthly data'!K204,"")</x:f>
        <x:v>1.5559000000000007</x:v>
      </x:c>
      <x:c r="Q206" s="8" t="n">
        <x:f>IF(COUNT('Monthly data'!L204:L206)=3,'Monthly data'!L206-2*'Monthly data'!L205+'Monthly data'!L204,"")</x:f>
        <x:v>-2.3007999999999997</x:v>
      </x:c>
      <x:c r="R206" s="8" t="n">
        <x:f>IF(COUNT('Monthly data'!M204:M206)=3,'Monthly data'!M206-2*'Monthly data'!M205+'Monthly data'!M204,"")</x:f>
        <x:v>-2.0175</x:v>
      </x:c>
      <x:c r="S206" s="8" t="n">
        <x:f>IF(COUNT('Monthly data'!N204:N206)=3,'Monthly data'!N206-2*'Monthly data'!N205+'Monthly data'!N204,"")</x:f>
        <x:v>-4.8133</x:v>
      </x:c>
      <x:c r="T206" s="8" t="n">
        <x:f>IF(COUNT('Monthly data'!E205:E206)=2,'Monthly data'!E206-'Monthly data'!E205,"")</x:f>
        <x:v>0.004056691200000628</x:v>
      </x:c>
    </x:row>
    <x:row r="207" ht="19" customHeight="1">
      <x:c r="A207" s="7" t="n">
        <x:f>'Monthly data'!A207</x:f>
        <x:v>39114</x:v>
      </x:c>
      <x:c r="B207" s="8" t="n">
        <x:f>IF(ISNUMBER('Monthly data'!F207),LN(1+'Monthly data'!F207),"")</x:f>
        <x:v>4.4978076676595915</x:v>
      </x:c>
      <x:c r="C207" s="8" t="n">
        <x:f>IF(ISNUMBER('Monthly data'!G207),LN(1+'Monthly data'!G207),"")</x:f>
        <x:v>3.3703979101086268</x:v>
      </x:c>
      <x:c r="D207" s="8" t="n">
        <x:f>IF(ISNUMBER('Monthly data'!H207),LN(1+'Monthly data'!H207),"")</x:f>
        <x:v>3.2535902460759076</x:v>
      </x:c>
      <x:c r="E207" s="8" t="n">
        <x:f>IF(ISNUMBER('Monthly data'!I207),LN(1+'Monthly data'!I207),"")</x:f>
        <x:v>2.6810694727704356</x:v>
      </x:c>
      <x:c r="F207" s="8" t="n">
        <x:f>IF(ISNUMBER('Monthly data'!J207),LN(1+'Monthly data'!J207),"")</x:f>
        <x:v>1.7923759458339648</x:v>
      </x:c>
      <x:c r="G207" s="8" t="n">
        <x:f>IF(ISNUMBER('Monthly data'!K207),LN(1+'Monthly data'!K207),"")</x:f>
        <x:v>1.9048649153333272</x:v>
      </x:c>
      <x:c r="H207" s="8" t="n">
        <x:f>IF(ISNUMBER('Monthly data'!L207),LN(1+'Monthly data'!L207),"")</x:f>
        <x:v>0.2839752105204545</x:v>
      </x:c>
      <x:c r="I207" s="8" t="n">
        <x:f>IF(ISNUMBER('Monthly data'!M207),LN(1+'Monthly data'!M207),"")</x:f>
        <x:v>0.7098076214530524</x:v>
      </x:c>
      <x:c r="J207" s="8" t="n">
        <x:f>IF(ISNUMBER('Monthly data'!N207),LN(1+'Monthly data'!N207),"")</x:f>
        <x:v>2.4125061933581833</x:v>
      </x:c>
      <x:c r="K207" s="8" t="n">
        <x:f>IF(COUNT('Monthly data'!F205:F207)=3,'Monthly data'!F207-2*'Monthly data'!F206+'Monthly data'!F205,"")</x:f>
        <x:v>0.7399999999999807</x:v>
      </x:c>
      <x:c r="L207" s="8" t="n">
        <x:f>IF(COUNT('Monthly data'!G205:G207)=3,'Monthly data'!G207-2*'Monthly data'!G206+'Monthly data'!G205,"")</x:f>
        <x:v>-18.640800000000006</x:v>
      </x:c>
      <x:c r="M207" s="8" t="n">
        <x:f>IF(COUNT('Monthly data'!H205:H207)=3,'Monthly data'!H207-2*'Monthly data'!H206+'Monthly data'!H205,"")</x:f>
        <x:v>10.463999999999999</x:v>
      </x:c>
      <x:c r="N207" s="8" t="n">
        <x:f>IF(COUNT('Monthly data'!I205:I207)=3,'Monthly data'!I207-2*'Monthly data'!I206+'Monthly data'!I205,"")</x:f>
        <x:v>-1.0678999999999998</x:v>
      </x:c>
      <x:c r="O207" s="8" t="n">
        <x:f>IF(COUNT('Monthly data'!J205:J207)=3,'Monthly data'!J207-2*'Monthly data'!J206+'Monthly data'!J205,"")</x:f>
        <x:v>2.6447000000000003</x:v>
      </x:c>
      <x:c r="P207" s="8" t="n">
        <x:f>IF(COUNT('Monthly data'!K205:K207)=3,'Monthly data'!K207-2*'Monthly data'!K206+'Monthly data'!K205,"")</x:f>
        <x:v>1.4252999999999991</x:v>
      </x:c>
      <x:c r="Q207" s="8" t="n">
        <x:f>IF(COUNT('Monthly data'!L205:L207)=3,'Monthly data'!L207-2*'Monthly data'!L206+'Monthly data'!L205,"")</x:f>
        <x:v>1.2205</x:v>
      </x:c>
      <x:c r="R207" s="8" t="n">
        <x:f>IF(COUNT('Monthly data'!M205:M207)=3,'Monthly data'!M207-2*'Monthly data'!M206+'Monthly data'!M205,"")</x:f>
        <x:v>1.5324000000000002</x:v>
      </x:c>
      <x:c r="S207" s="8" t="n">
        <x:f>IF(COUNT('Monthly data'!N205:N207)=3,'Monthly data'!N207-2*'Monthly data'!N206+'Monthly data'!N205,"")</x:f>
        <x:v>3.1616999999999997</x:v>
      </x:c>
      <x:c r="T207" s="8" t="n">
        <x:f>IF(COUNT('Monthly data'!E206:E207)=2,'Monthly data'!E207-'Monthly data'!E206,"")</x:f>
        <x:v>0.006202319999999872</x:v>
      </x:c>
    </x:row>
    <x:row r="208" ht="19" customHeight="1">
      <x:c r="A208" s="7" t="n">
        <x:f>'Monthly data'!A208</x:f>
        <x:v>39142</x:v>
      </x:c>
      <x:c r="B208" s="8" t="n">
        <x:f>IF(ISNUMBER('Monthly data'!F208),LN(1+'Monthly data'!F208),"")</x:f>
        <x:v>4.372985890021733</x:v>
      </x:c>
      <x:c r="C208" s="8" t="n">
        <x:f>IF(ISNUMBER('Monthly data'!G208),LN(1+'Monthly data'!G208),"")</x:f>
        <x:v>3.1065041215078697</x:v>
      </x:c>
      <x:c r="D208" s="8" t="n">
        <x:f>IF(ISNUMBER('Monthly data'!H208),LN(1+'Monthly data'!H208),"")</x:f>
        <x:v>3.350574038245925</x:v>
      </x:c>
      <x:c r="E208" s="8" t="n">
        <x:f>IF(ISNUMBER('Monthly data'!I208),LN(1+'Monthly data'!I208),"")</x:f>
        <x:v>2.503090320221629</x:v>
      </x:c>
      <x:c r="F208" s="8" t="n">
        <x:f>IF(ISNUMBER('Monthly data'!J208),LN(1+'Monthly data'!J208),"")</x:f>
        <x:v>1.8659388674023065</x:v>
      </x:c>
      <x:c r="G208" s="8" t="n">
        <x:f>IF(ISNUMBER('Monthly data'!K208),LN(1+'Monthly data'!K208),"")</x:f>
        <x:v>1.398469937050024</x:v>
      </x:c>
      <x:c r="H208" s="8" t="n">
        <x:f>IF(ISNUMBER('Monthly data'!L208),LN(1+'Monthly data'!L208),"")</x:f>
        <x:v>0.14565757242236324</x:v>
      </x:c>
      <x:c r="I208" s="8" t="n">
        <x:f>IF(ISNUMBER('Monthly data'!M208),LN(1+'Monthly data'!M208),"")</x:f>
        <x:v>1.0881578307642508</x:v>
      </x:c>
      <x:c r="J208" s="8" t="n">
        <x:f>IF(ISNUMBER('Monthly data'!N208),LN(1+'Monthly data'!N208),"")</x:f>
        <x:v>2.1472637281824474</x:v>
      </x:c>
      <x:c r="K208" s="8" t="n">
        <x:f>IF(COUNT('Monthly data'!F206:F208)=3,'Monthly data'!F208-2*'Monthly data'!F207+'Monthly data'!F206,"")</x:f>
        <x:v>-5.429999999999978</x:v>
      </x:c>
      <x:c r="L208" s="8" t="n">
        <x:f>IF(COUNT('Monthly data'!G206:G208)=3,'Monthly data'!G208-2*'Monthly data'!G207+'Monthly data'!G206,"")</x:f>
        <x:v>4.753599999999999</x:v>
      </x:c>
      <x:c r="M208" s="8" t="n">
        <x:f>IF(COUNT('Monthly data'!H206:H208)=3,'Monthly data'!H208-2*'Monthly data'!H207+'Monthly data'!H206,"")</x:f>
        <x:v>-0.9880999999999958</x:v>
      </x:c>
      <x:c r="N208" s="8" t="n">
        <x:f>IF(COUNT('Monthly data'!I206:I208)=3,'Monthly data'!I208-2*'Monthly data'!I207+'Monthly data'!I206,"")</x:f>
        <x:v>-3.3720999999999997</x:v>
      </x:c>
      <x:c r="O208" s="8" t="n">
        <x:f>IF(COUNT('Monthly data'!J206:J208)=3,'Monthly data'!J208-2*'Monthly data'!J207+'Monthly data'!J206,"")</x:f>
        <x:v>1.4776999999999996</x:v>
      </x:c>
      <x:c r="P208" s="8" t="n">
        <x:f>IF(COUNT('Monthly data'!K206:K208)=3,'Monthly data'!K208-2*'Monthly data'!K207+'Monthly data'!K206,"")</x:f>
        <x:v>-4.4664</x:v>
      </x:c>
      <x:c r="Q208" s="8" t="n">
        <x:f>IF(COUNT('Monthly data'!L206:L208)=3,'Monthly data'!L208-2*'Monthly data'!L207+'Monthly data'!L206,"")</x:f>
        <x:v>0.00660000000000005</x:v>
      </x:c>
      <x:c r="R208" s="8" t="n">
        <x:f>IF(COUNT('Monthly data'!M206:M208)=3,'Monthly data'!M208-2*'Monthly data'!M207+'Monthly data'!M206,"")</x:f>
        <x:v>0.4644999999999999</x:v>
      </x:c>
      <x:c r="S208" s="8" t="n">
        <x:f>IF(COUNT('Monthly data'!N206:N208)=3,'Monthly data'!N208-2*'Monthly data'!N207+'Monthly data'!N206,"")</x:f>
        <x:v>-3.3056</x:v>
      </x:c>
      <x:c r="T208" s="8" t="n">
        <x:f>IF(COUNT('Monthly data'!E207:E208)=2,'Monthly data'!E208-'Monthly data'!E207,"")</x:f>
        <x:v>-0.0027010455000002764</x:v>
      </x:c>
    </x:row>
    <x:row r="209" ht="19" customHeight="1">
      <x:c r="A209" s="7" t="n">
        <x:f>'Monthly data'!A209</x:f>
        <x:v>39173</x:v>
      </x:c>
      <x:c r="B209" s="8" t="n">
        <x:f>IF(ISNUMBER('Monthly data'!F209),LN(1+'Monthly data'!F209),"")</x:f>
        <x:v>4.457829598089382</x:v>
      </x:c>
      <x:c r="C209" s="8" t="n">
        <x:f>IF(ISNUMBER('Monthly data'!G209),LN(1+'Monthly data'!G209),"")</x:f>
        <x:v>3.4035313225685693</x:v>
      </x:c>
      <x:c r="D209" s="8" t="n">
        <x:f>IF(ISNUMBER('Monthly data'!H209),LN(1+'Monthly data'!H209),"")</x:f>
        <x:v>3.289095676640215</x:v>
      </x:c>
      <x:c r="E209" s="8" t="n">
        <x:f>IF(ISNUMBER('Monthly data'!I209),LN(1+'Monthly data'!I209),"")</x:f>
        <x:v>2.7236151037436334</x:v>
      </x:c>
      <x:c r="F209" s="8" t="n">
        <x:f>IF(ISNUMBER('Monthly data'!J209),LN(1+'Monthly data'!J209),"")</x:f>
        <x:v>1.5896024845999888</x:v>
      </x:c>
      <x:c r="G209" s="8" t="n">
        <x:f>IF(ISNUMBER('Monthly data'!K209),LN(1+'Monthly data'!K209),"")</x:f>
        <x:v>1.3932451483316557</x:v>
      </x:c>
      <x:c r="H209" s="8" t="n">
        <x:f>IF(ISNUMBER('Monthly data'!L209),LN(1+'Monthly data'!L209),"")</x:f>
        <x:v>0.2182516052337819</x:v>
      </x:c>
      <x:c r="I209" s="8" t="n">
        <x:f>IF(ISNUMBER('Monthly data'!M209),LN(1+'Monthly data'!M209),"")</x:f>
        <x:v>0.8931449223668426</x:v>
      </x:c>
      <x:c r="J209" s="8" t="n">
        <x:f>IF(ISNUMBER('Monthly data'!N209),LN(1+'Monthly data'!N209),"")</x:f>
        <x:v>2.1470534600898556</x:v>
      </x:c>
      <x:c r="K209" s="8" t="n">
        <x:f>IF(COUNT('Monthly data'!F207:F209)=3,'Monthly data'!F209-2*'Monthly data'!F208+'Monthly data'!F207,"")</x:f>
        <x:v>17.559999999999988</x:v>
      </x:c>
      <x:c r="L209" s="8" t="n">
        <x:f>IF(COUNT('Monthly data'!G207:G209)=3,'Monthly data'!G209-2*'Monthly data'!G208+'Monthly data'!G207,"")</x:f>
        <x:v>14.474599999999999</x:v>
      </x:c>
      <x:c r="M209" s="8" t="n">
        <x:f>IF(COUNT('Monthly data'!H207:H209)=3,'Monthly data'!H209-2*'Monthly data'!H208+'Monthly data'!H207,"")</x:f>
        <x:v>-4.3365000000000045</x:v>
      </x:c>
      <x:c r="N209" s="8" t="n">
        <x:f>IF(COUNT('Monthly data'!I207:I209)=3,'Monthly data'!I209-2*'Monthly data'!I208+'Monthly data'!I207,"")</x:f>
        <x:v>5.3956</x:v>
      </x:c>
      <x:c r="O209" s="8" t="n">
        <x:f>IF(COUNT('Monthly data'!J207:J209)=3,'Monthly data'!J209-2*'Monthly data'!J208+'Monthly data'!J207,"")</x:f>
        <x:v>-2.0184999999999995</x:v>
      </x:c>
      <x:c r="P209" s="8" t="n">
        <x:f>IF(COUNT('Monthly data'!K207:K209)=3,'Monthly data'!K209-2*'Monthly data'!K208+'Monthly data'!K207,"")</x:f>
        <x:v>2.6483999999999996</x:v>
      </x:c>
      <x:c r="Q209" s="8" t="n">
        <x:f>IF(COUNT('Monthly data'!L207:L209)=3,'Monthly data'!L209-2*'Monthly data'!L208+'Monthly data'!L207,"")</x:f>
        <x:v>0.25870000000000004</x:v>
      </x:c>
      <x:c r="R209" s="8" t="n">
        <x:f>IF(COUNT('Monthly data'!M207:M209)=3,'Monthly data'!M209-2*'Monthly data'!M208+'Monthly data'!M207,"")</x:f>
        <x:v>-1.4612</x:v>
      </x:c>
      <x:c r="S209" s="8" t="n">
        <x:f>IF(COUNT('Monthly data'!N207:N209)=3,'Monthly data'!N209-2*'Monthly data'!N208+'Monthly data'!N207,"")</x:f>
        <x:v>2.598699999999999</x:v>
      </x:c>
      <x:c r="T209" s="8" t="n">
        <x:f>IF(COUNT('Monthly data'!E208:E209)=2,'Monthly data'!E209-'Monthly data'!E208,"")</x:f>
        <x:v>0.0005139812999992444</x:v>
      </x:c>
    </x:row>
    <x:row r="210" ht="19" customHeight="1">
      <x:c r="A210" s="7" t="n">
        <x:f>'Monthly data'!A210</x:f>
        <x:v>39203</x:v>
      </x:c>
      <x:c r="B210" s="8" t="n">
        <x:f>IF(ISNUMBER('Monthly data'!F210),LN(1+'Monthly data'!F210),"")</x:f>
        <x:v>4.596835549198033</x:v>
      </x:c>
      <x:c r="C210" s="8" t="n">
        <x:f>IF(ISNUMBER('Monthly data'!G210),LN(1+'Monthly data'!G210),"")</x:f>
        <x:v>3.6019508009753216</x:v>
      </x:c>
      <x:c r="D210" s="8" t="n">
        <x:f>IF(ISNUMBER('Monthly data'!H210),LN(1+'Monthly data'!H210),"")</x:f>
        <x:v>3.314106001472355</x:v>
      </x:c>
      <x:c r="E210" s="8" t="n">
        <x:f>IF(ISNUMBER('Monthly data'!I210),LN(1+'Monthly data'!I210),"")</x:f>
        <x:v>2.7437969382645035</x:v>
      </x:c>
      <x:c r="F210" s="8" t="n">
        <x:f>IF(ISNUMBER('Monthly data'!J210),LN(1+'Monthly data'!J210),"")</x:f>
        <x:v>1.9147290315717385</x:v>
      </x:c>
      <x:c r="G210" s="8" t="n">
        <x:f>IF(ISNUMBER('Monthly data'!K210),LN(1+'Monthly data'!K210),"")</x:f>
        <x:v>1.0910168495462786</x:v>
      </x:c>
      <x:c r="H210" s="8" t="n">
        <x:f>IF(ISNUMBER('Monthly data'!L210),LN(1+'Monthly data'!L210),"")</x:f>
        <x:v>0.42435228382664664</x:v>
      </x:c>
      <x:c r="I210" s="8" t="n">
        <x:f>IF(ISNUMBER('Monthly data'!M210),LN(1+'Monthly data'!M210),"")</x:f>
        <x:v>1.1790856728179864</x:v>
      </x:c>
      <x:c r="J210" s="8" t="n">
        <x:f>IF(ISNUMBER('Monthly data'!N210),LN(1+'Monthly data'!N210),"")</x:f>
        <x:v>2.477739359349436</x:v>
      </x:c>
      <x:c r="K210" s="8" t="n">
        <x:f>IF(COUNT('Monthly data'!F208:F210)=3,'Monthly data'!F210-2*'Monthly data'!F209+'Monthly data'!F208,"")</x:f>
        <x:v>5.8500000000000085</x:v>
      </x:c>
      <x:c r="L210" s="8" t="n">
        <x:f>IF(COUNT('Monthly data'!G208:G210)=3,'Monthly data'!G210-2*'Monthly data'!G209+'Monthly data'!G208,"")</x:f>
        <x:v>-1.1277000000000008</x:v>
      </x:c>
      <x:c r="M210" s="8" t="n">
        <x:f>IF(COUNT('Monthly data'!H208:H210)=3,'Monthly data'!H210-2*'Monthly data'!H209+'Monthly data'!H208,"")</x:f>
        <x:v>2.3797000000000033</x:v>
      </x:c>
      <x:c r="N210" s="8" t="n">
        <x:f>IF(COUNT('Monthly data'!I208:I210)=3,'Monthly data'!I210-2*'Monthly data'!I209+'Monthly data'!I208,"")</x:f>
        <x:v>-2.7045000000000012</x:v>
      </x:c>
      <x:c r="O210" s="8" t="n">
        <x:f>IF(COUNT('Monthly data'!J208:J210)=3,'Monthly data'!J210-2*'Monthly data'!J209+'Monthly data'!J208,"")</x:f>
        <x:v>3.4434999999999993</x:v>
      </x:c>
      <x:c r="P210" s="8" t="n">
        <x:f>IF(COUNT('Monthly data'!K208:K210)=3,'Monthly data'!K210-2*'Monthly data'!K209+'Monthly data'!K208,"")</x:f>
        <x:v>-1.0295</x:v>
      </x:c>
      <x:c r="Q210" s="8" t="n">
        <x:f>IF(COUNT('Monthly data'!L208:L210)=3,'Monthly data'!L210-2*'Monthly data'!L209+'Monthly data'!L208,"")</x:f>
        <x:v>0.19759999999999994</x:v>
      </x:c>
      <x:c r="R210" s="8" t="n">
        <x:f>IF(COUNT('Monthly data'!M208:M210)=3,'Monthly data'!M210-2*'Monthly data'!M209+'Monthly data'!M208,"")</x:f>
        <x:v>1.3345999999999998</x:v>
      </x:c>
      <x:c r="S210" s="8" t="n">
        <x:f>IF(COUNT('Monthly data'!N208:N210)=3,'Monthly data'!N210-2*'Monthly data'!N209+'Monthly data'!N208,"")</x:f>
        <x:v>3.3565000000000014</x:v>
      </x:c>
      <x:c r="T210" s="8" t="n">
        <x:f>IF(COUNT('Monthly data'!E209:E210)=2,'Monthly data'!E210-'Monthly data'!E209,"")</x:f>
        <x:v>-0.005364963499999931</x:v>
      </x:c>
    </x:row>
    <x:row r="211" ht="19" customHeight="1">
      <x:c r="A211" s="7" t="n">
        <x:f>'Monthly data'!A211</x:f>
        <x:v>39234</x:v>
      </x:c>
      <x:c r="B211" s="8" t="n">
        <x:f>IF(ISNUMBER('Monthly data'!F211),LN(1+'Monthly data'!F211),"")</x:f>
        <x:v>4.5217885770490405</x:v>
      </x:c>
      <x:c r="C211" s="8" t="n">
        <x:f>IF(ISNUMBER('Monthly data'!G211),LN(1+'Monthly data'!G211),"")</x:f>
        <x:v>3.4471454155648633</x:v>
      </x:c>
      <x:c r="D211" s="8" t="n">
        <x:f>IF(ISNUMBER('Monthly data'!H211),LN(1+'Monthly data'!H211),"")</x:f>
        <x:v>3.2109646135968646</x:v>
      </x:c>
      <x:c r="E211" s="8" t="n">
        <x:f>IF(ISNUMBER('Monthly data'!I211),LN(1+'Monthly data'!I211),"")</x:f>
        <x:v>2.768505396802145</x:v>
      </x:c>
      <x:c r="F211" s="8" t="n">
        <x:f>IF(ISNUMBER('Monthly data'!J211),LN(1+'Monthly data'!J211),"")</x:f>
        <x:v>2.17318230878187</x:v>
      </x:c>
      <x:c r="G211" s="8" t="n">
        <x:f>IF(ISNUMBER('Monthly data'!K211),LN(1+'Monthly data'!K211),"")</x:f>
        <x:v>1.4041342792482217</x:v>
      </x:c>
      <x:c r="H211" s="8" t="n">
        <x:f>IF(ISNUMBER('Monthly data'!L211),LN(1+'Monthly data'!L211),"")</x:f>
        <x:v>0.7239673228998315</x:v>
      </x:c>
      <x:c r="I211" s="8" t="n">
        <x:f>IF(ISNUMBER('Monthly data'!M211),LN(1+'Monthly data'!M211),"")</x:f>
        <x:v>0.7786824686662082</x:v>
      </x:c>
      <x:c r="J211" s="8" t="n">
        <x:f>IF(ISNUMBER('Monthly data'!N211),LN(1+'Monthly data'!N211),"")</x:f>
        <x:v>2.2774929005822893</x:v>
      </x:c>
      <x:c r="K211" s="8" t="n">
        <x:f>IF(COUNT('Monthly data'!F209:F211)=3,'Monthly data'!F211-2*'Monthly data'!F210+'Monthly data'!F209,"")</x:f>
        <x:v>-20.040000000000006</x:v>
      </x:c>
      <x:c r="L211" s="8" t="n">
        <x:f>IF(COUNT('Monthly data'!G209:G211)=3,'Monthly data'!G211-2*'Monthly data'!G210+'Monthly data'!G209,"")</x:f>
        <x:v>-11.858699999999995</x:v>
      </x:c>
      <x:c r="M211" s="8" t="n">
        <x:f>IF(COUNT('Monthly data'!H209:H211)=3,'Monthly data'!H211-2*'Monthly data'!H210+'Monthly data'!H209,"")</x:f>
        <x:v>-3.3740000000000023</x:v>
      </x:c>
      <x:c r="N211" s="8" t="n">
        <x:f>IF(COUNT('Monthly data'!I209:I211)=3,'Monthly data'!I211-2*'Monthly data'!I210+'Monthly data'!I209,"")</x:f>
        <x:v>0.07830000000000048</x:v>
      </x:c>
      <x:c r="O211" s="8" t="n">
        <x:f>IF(COUNT('Monthly data'!J209:J211)=3,'Monthly data'!J211-2*'Monthly data'!J210+'Monthly data'!J209,"")</x:f>
        <x:v>0.11780000000000035</x:v>
      </x:c>
      <x:c r="P211" s="8" t="n">
        <x:f>IF(COUNT('Monthly data'!K209:K211)=3,'Monthly data'!K211-2*'Monthly data'!K210+'Monthly data'!K209,"")</x:f>
        <x:v>2.1452999999999998</x:v>
      </x:c>
      <x:c r="Q211" s="8" t="n">
        <x:f>IF(COUNT('Monthly data'!L209:L211)=3,'Monthly data'!L211-2*'Monthly data'!L210+'Monthly data'!L209,"")</x:f>
        <x:v>0.24930000000000008</x:v>
      </x:c>
      <x:c r="R211" s="8" t="n">
        <x:f>IF(COUNT('Monthly data'!M209:M211)=3,'Monthly data'!M211-2*'Monthly data'!M210+'Monthly data'!M209,"")</x:f>
        <x:v>-1.8813999999999993</x:v>
      </x:c>
      <x:c r="S211" s="8" t="n">
        <x:f>IF(COUNT('Monthly data'!N209:N211)=3,'Monthly data'!N211-2*'Monthly data'!N210+'Monthly data'!N209,"")</x:f>
        <x:v>-5.516800000000002</x:v>
      </x:c>
      <x:c r="T211" s="8" t="n">
        <x:f>IF(COUNT('Monthly data'!E210:E211)=2,'Monthly data'!E211-'Monthly data'!E210,"")</x:f>
        <x:v>-0.003249089499998803</x:v>
      </x:c>
    </x:row>
    <x:row r="212" ht="19" customHeight="1">
      <x:c r="A212" s="7" t="n">
        <x:f>'Monthly data'!A212</x:f>
        <x:v>39264</x:v>
      </x:c>
      <x:c r="B212" s="8" t="n">
        <x:f>IF(ISNUMBER('Monthly data'!F212),LN(1+'Monthly data'!F212),"")</x:f>
        <x:v>4.565181177771728</x:v>
      </x:c>
      <x:c r="C212" s="8" t="n">
        <x:f>IF(ISNUMBER('Monthly data'!G212),LN(1+'Monthly data'!G212),"")</x:f>
        <x:v>3.465979623097522</x:v>
      </x:c>
      <x:c r="D212" s="8" t="n">
        <x:f>IF(ISNUMBER('Monthly data'!H212),LN(1+'Monthly data'!H212),"")</x:f>
        <x:v>3.113270834884517</x:v>
      </x:c>
      <x:c r="E212" s="8" t="n">
        <x:f>IF(ISNUMBER('Monthly data'!I212),LN(1+'Monthly data'!I212),"")</x:f>
        <x:v>3.2169499716026975</x:v>
      </x:c>
      <x:c r="F212" s="8" t="n">
        <x:f>IF(ISNUMBER('Monthly data'!J212),LN(1+'Monthly data'!J212),"")</x:f>
        <x:v>1.5366951617874158</x:v>
      </x:c>
      <x:c r="G212" s="8" t="n">
        <x:f>IF(ISNUMBER('Monthly data'!K212),LN(1+'Monthly data'!K212),"")</x:f>
        <x:v>1.5457310453763862</x:v>
      </x:c>
      <x:c r="H212" s="8" t="n">
        <x:f>IF(ISNUMBER('Monthly data'!L212),LN(1+'Monthly data'!L212),"")</x:f>
        <x:v>0.29080219978802446</x:v>
      </x:c>
      <x:c r="I212" s="8" t="n">
        <x:f>IF(ISNUMBER('Monthly data'!M212),LN(1+'Monthly data'!M212),"")</x:f>
        <x:v>0.6344051605361823</x:v>
      </x:c>
      <x:c r="J212" s="8" t="n">
        <x:f>IF(ISNUMBER('Monthly data'!N212),LN(1+'Monthly data'!N212),"")</x:f>
        <x:v>2.4034886913349114</x:v>
      </x:c>
      <x:c r="K212" s="8" t="n">
        <x:f>IF(COUNT('Monthly data'!F210:F212)=3,'Monthly data'!F212-2*'Monthly data'!F211+'Monthly data'!F210,"")</x:f>
        <x:v>11.25</x:v>
      </x:c>
      <x:c r="L212" s="8" t="n">
        <x:f>IF(COUNT('Monthly data'!G210:G212)=3,'Monthly data'!G212-2*'Monthly data'!G211+'Monthly data'!G210,"")</x:f>
        <x:v>5.856300000000001</x:v>
      </x:c>
      <x:c r="M212" s="8" t="n">
        <x:f>IF(COUNT('Monthly data'!H210:H212)=3,'Monthly data'!H212-2*'Monthly data'!H211+'Monthly data'!H210,"")</x:f>
        <x:v>0.38629999999999853</x:v>
      </x:c>
      <x:c r="N212" s="8" t="n">
        <x:f>IF(COUNT('Monthly data'!I210:I212)=3,'Monthly data'!I212-2*'Monthly data'!I211+'Monthly data'!I210,"")</x:f>
        <x:v>8.6282</x:v>
      </x:c>
      <x:c r="O212" s="8" t="n">
        <x:f>IF(COUNT('Monthly data'!J210:J212)=3,'Monthly data'!J212-2*'Monthly data'!J211+'Monthly data'!J210,"")</x:f>
        <x:v>-6.1381</x:v>
      </x:c>
      <x:c r="P212" s="8" t="n">
        <x:f>IF(COUNT('Monthly data'!K210:K212)=3,'Monthly data'!K212-2*'Monthly data'!K211+'Monthly data'!K210,"")</x:f>
        <x:v>-0.4753000000000003</x:v>
      </x:c>
      <x:c r="Q212" s="8" t="n">
        <x:f>IF(COUNT('Monthly data'!L210:L212)=3,'Monthly data'!L212-2*'Monthly data'!L211+'Monthly data'!L210,"")</x:f>
        <x:v>-1.2591</x:v>
      </x:c>
      <x:c r="R212" s="8" t="n">
        <x:f>IF(COUNT('Monthly data'!M210:M212)=3,'Monthly data'!M212-2*'Monthly data'!M211+'Monthly data'!M210,"")</x:f>
        <x:v>0.7800999999999996</x:v>
      </x:c>
      <x:c r="S212" s="8" t="n">
        <x:f>IF(COUNT('Monthly data'!N210:N212)=3,'Monthly data'!N212-2*'Monthly data'!N211+'Monthly data'!N210,"")</x:f>
        <x:v>3.4716000000000005</x:v>
      </x:c>
      <x:c r="T212" s="8" t="n">
        <x:f>IF(COUNT('Monthly data'!E211:E212)=2,'Monthly data'!E212-'Monthly data'!E211,"")</x:f>
        <x:v>0.010733478699998855</x:v>
      </x:c>
    </x:row>
    <x:row r="213" ht="19" customHeight="1">
      <x:c r="A213" s="7" t="n">
        <x:f>'Monthly data'!A213</x:f>
        <x:v>39295</x:v>
      </x:c>
      <x:c r="B213" s="8" t="n">
        <x:f>IF(ISNUMBER('Monthly data'!F213),LN(1+'Monthly data'!F213),"")</x:f>
        <x:v>4.305820308668628</x:v>
      </x:c>
      <x:c r="C213" s="8" t="n">
        <x:f>IF(ISNUMBER('Monthly data'!G213),LN(1+'Monthly data'!G213),"")</x:f>
        <x:v>3.123914384247297</x:v>
      </x:c>
      <x:c r="D213" s="8" t="n">
        <x:f>IF(ISNUMBER('Monthly data'!H213),LN(1+'Monthly data'!H213),"")</x:f>
        <x:v>3.132031706617321</x:v>
      </x:c>
      <x:c r="E213" s="8" t="n">
        <x:f>IF(ISNUMBER('Monthly data'!I213),LN(1+'Monthly data'!I213),"")</x:f>
        <x:v>2.6293027653128545</x:v>
      </x:c>
      <x:c r="F213" s="8" t="n">
        <x:f>IF(ISNUMBER('Monthly data'!J213),LN(1+'Monthly data'!J213),"")</x:f>
        <x:v>1.7172693727920971</x:v>
      </x:c>
      <x:c r="G213" s="8" t="n">
        <x:f>IF(ISNUMBER('Monthly data'!K213),LN(1+'Monthly data'!K213),"")</x:f>
        <x:v>1.0481607451720116</x:v>
      </x:c>
      <x:c r="H213" s="8" t="n">
        <x:f>IF(ISNUMBER('Monthly data'!L213),LN(1+'Monthly data'!L213),"")</x:f>
        <x:v>0.3300948010833878</x:v>
      </x:c>
      <x:c r="I213" s="8" t="n">
        <x:f>IF(ISNUMBER('Monthly data'!M213),LN(1+'Monthly data'!M213),"")</x:f>
        <x:v>0.849253090535488</x:v>
      </x:c>
      <x:c r="J213" s="8" t="n">
        <x:f>IF(ISNUMBER('Monthly data'!N213),LN(1+'Monthly data'!N213),"")</x:f>
        <x:v>2.247019527544337</x:v>
      </x:c>
      <x:c r="K213" s="8" t="n">
        <x:f>IF(COUNT('Monthly data'!F211:F213)=3,'Monthly data'!F213-2*'Monthly data'!F212+'Monthly data'!F211,"")</x:f>
        <x:v>-26.03</x:v>
      </x:c>
      <x:c r="L213" s="8" t="n">
        <x:f>IF(COUNT('Monthly data'!G211:G213)=3,'Monthly data'!G213-2*'Monthly data'!G212+'Monthly data'!G211,"")</x:f>
        <x:v>-9.869800000000001</x:v>
      </x:c>
      <x:c r="M213" s="8" t="n">
        <x:f>IF(COUNT('Monthly data'!H211:H213)=3,'Monthly data'!H213-2*'Monthly data'!H212+'Monthly data'!H211,"")</x:f>
        <x:v>2.734500000000004</x:v>
      </x:c>
      <x:c r="N213" s="8" t="n">
        <x:f>IF(COUNT('Monthly data'!I211:I213)=3,'Monthly data'!I213-2*'Monthly data'!I212+'Monthly data'!I211,"")</x:f>
        <x:v>-20.104899999999997</x:v>
      </x:c>
      <x:c r="O213" s="8" t="n">
        <x:f>IF(COUNT('Monthly data'!J211:J213)=3,'Monthly data'!J213-2*'Monthly data'!J212+'Monthly data'!J211,"")</x:f>
        <x:v>5.0571</x:v>
      </x:c>
      <x:c r="P213" s="8" t="n">
        <x:f>IF(COUNT('Monthly data'!K211:K213)=3,'Monthly data'!K213-2*'Monthly data'!K212+'Monthly data'!K211,"")</x:f>
        <x:v>-2.4583999999999993</x:v>
      </x:c>
      <x:c r="Q213" s="8" t="n">
        <x:f>IF(COUNT('Monthly data'!L211:L213)=3,'Monthly data'!L213-2*'Monthly data'!L212+'Monthly data'!L211,"")</x:f>
        <x:v>0.7787</x:v>
      </x:c>
      <x:c r="R213" s="8" t="n">
        <x:f>IF(COUNT('Monthly data'!M211:M213)=3,'Monthly data'!M213-2*'Monthly data'!M212+'Monthly data'!M211,"")</x:f>
        <x:v>0.7447000000000001</x:v>
      </x:c>
      <x:c r="S213" s="8" t="n">
        <x:f>IF(COUNT('Monthly data'!N211:N213)=3,'Monthly data'!N213-2*'Monthly data'!N212+'Monthly data'!N211,"")</x:f>
        <x:v>-2.9116999999999997</x:v>
      </x:c>
      <x:c r="T213" s="8" t="n">
        <x:f>IF(COUNT('Monthly data'!E212:E213)=2,'Monthly data'!E213-'Monthly data'!E212,"")</x:f>
        <x:v>-0.012566294999999172</x:v>
      </x:c>
    </x:row>
    <x:row r="214" ht="19" customHeight="1">
      <x:c r="A214" s="7" t="n">
        <x:f>'Monthly data'!A214</x:f>
        <x:v>39326</x:v>
      </x:c>
      <x:c r="B214" s="8" t="n">
        <x:f>IF(ISNUMBER('Monthly data'!F214),LN(1+'Monthly data'!F214),"")</x:f>
        <x:v>4.437697832044343</x:v>
      </x:c>
      <x:c r="C214" s="8" t="n">
        <x:f>IF(ISNUMBER('Monthly data'!G214),LN(1+'Monthly data'!G214),"")</x:f>
        <x:v>3.3530325219491357</x:v>
      </x:c>
      <x:c r="D214" s="8" t="n">
        <x:f>IF(ISNUMBER('Monthly data'!H214),LN(1+'Monthly data'!H214),"")</x:f>
        <x:v>3.146352442742153</x:v>
      </x:c>
      <x:c r="E214" s="8" t="n">
        <x:f>IF(ISNUMBER('Monthly data'!I214),LN(1+'Monthly data'!I214),"")</x:f>
        <x:v>2.6580052500168474</x:v>
      </x:c>
      <x:c r="F214" s="8" t="n">
        <x:f>IF(ISNUMBER('Monthly data'!J214),LN(1+'Monthly data'!J214),"")</x:f>
        <x:v>1.9099572336873731</x:v>
      </x:c>
      <x:c r="G214" s="8" t="n">
        <x:f>IF(ISNUMBER('Monthly data'!K214),LN(1+'Monthly data'!K214),"")</x:f>
        <x:v>1.5208471069855736</x:v>
      </x:c>
      <x:c r="H214" s="8" t="n">
        <x:f>IF(ISNUMBER('Monthly data'!L214),LN(1+'Monthly data'!L214),"")</x:f>
        <x:v>0.09866817179670123</x:v>
      </x:c>
      <x:c r="I214" s="8" t="n">
        <x:f>IF(ISNUMBER('Monthly data'!M214),LN(1+'Monthly data'!M214),"")</x:f>
        <x:v>1.1056872023400717</x:v>
      </x:c>
      <x:c r="J214" s="8" t="n">
        <x:f>IF(ISNUMBER('Monthly data'!N214),LN(1+'Monthly data'!N214),"")</x:f>
        <x:v>2.304373492853262</x:v>
      </x:c>
      <x:c r="K214" s="8" t="n">
        <x:f>IF(COUNT('Monthly data'!F212:F214)=3,'Monthly data'!F214-2*'Monthly data'!F213+'Monthly data'!F212,"")</x:f>
        <x:v>32.400000000000006</x:v>
      </x:c>
      <x:c r="L214" s="8" t="n">
        <x:f>IF(COUNT('Monthly data'!G212:G214)=3,'Monthly data'!G214-2*'Monthly data'!G213+'Monthly data'!G212,"")</x:f>
        <x:v>15.126700000000003</x:v>
      </x:c>
      <x:c r="M214" s="8" t="n">
        <x:f>IF(COUNT('Monthly data'!H212:H214)=3,'Monthly data'!H214-2*'Monthly data'!H213+'Monthly data'!H212,"")</x:f>
        <x:v>-0.09540000000000148</x:v>
      </x:c>
      <x:c r="N214" s="8" t="n">
        <x:f>IF(COUNT('Monthly data'!I212:I214)=3,'Monthly data'!I214-2*'Monthly data'!I213+'Monthly data'!I212,"")</x:f>
        <x:v>11.491499999999997</x:v>
      </x:c>
      <x:c r="O214" s="8" t="n">
        <x:f>IF(COUNT('Monthly data'!J212:J214)=3,'Monthly data'!J214-2*'Monthly data'!J213+'Monthly data'!J212,"")</x:f>
        <x:v>0.2633999999999994</x:v>
      </x:c>
      <x:c r="P214" s="8" t="n">
        <x:f>IF(COUNT('Monthly data'!K212:K214)=3,'Monthly data'!K214-2*'Monthly data'!K213+'Monthly data'!K212,"")</x:f>
        <x:v>3.5626999999999995</x:v>
      </x:c>
      <x:c r="Q214" s="8" t="n">
        <x:f>IF(COUNT('Monthly data'!L212:L214)=3,'Monthly data'!L214-2*'Monthly data'!L213+'Monthly data'!L212,"")</x:f>
        <x:v>-0.34099999999999997</x:v>
      </x:c>
      <x:c r="R214" s="8" t="n">
        <x:f>IF(COUNT('Monthly data'!M212:M214)=3,'Monthly data'!M214-2*'Monthly data'!M213+'Monthly data'!M212,"")</x:f>
        <x:v>0.23139999999999994</x:v>
      </x:c>
      <x:c r="S214" s="8" t="n">
        <x:f>IF(COUNT('Monthly data'!N212:N214)=3,'Monthly data'!N214-2*'Monthly data'!N213+'Monthly data'!N212,"")</x:f>
        <x:v>2.1605999999999987</x:v>
      </x:c>
      <x:c r="T214" s="8" t="n">
        <x:f>IF(COUNT('Monthly data'!E213:E214)=2,'Monthly data'!E214-'Monthly data'!E213,"")</x:f>
        <x:v>0.004914646599999628</x:v>
      </x:c>
    </x:row>
    <x:row r="215" ht="19" customHeight="1">
      <x:c r="A215" s="7" t="n">
        <x:f>'Monthly data'!A215</x:f>
        <x:v>39356</x:v>
      </x:c>
      <x:c r="B215" s="8" t="n">
        <x:f>IF(ISNUMBER('Monthly data'!F215),LN(1+'Monthly data'!F215),"")</x:f>
        <x:v>4.358374106008653</x:v>
      </x:c>
      <x:c r="C215" s="8" t="n">
        <x:f>IF(ISNUMBER('Monthly data'!G215),LN(1+'Monthly data'!G215),"")</x:f>
        <x:v>3.1737654818444967</x:v>
      </x:c>
      <x:c r="D215" s="8" t="n">
        <x:f>IF(ISNUMBER('Monthly data'!H215),LN(1+'Monthly data'!H215),"")</x:f>
        <x:v>3.3385202381969146</x:v>
      </x:c>
      <x:c r="E215" s="8" t="n">
        <x:f>IF(ISNUMBER('Monthly data'!I215),LN(1+'Monthly data'!I215),"")</x:f>
        <x:v>2.2719609234502367</x:v>
      </x:c>
      <x:c r="F215" s="8" t="n">
        <x:f>IF(ISNUMBER('Monthly data'!J215),LN(1+'Monthly data'!J215),"")</x:f>
        <x:v>1.459451881737617</x:v>
      </x:c>
      <x:c r="G215" s="8" t="n">
        <x:f>IF(ISNUMBER('Monthly data'!K215),LN(1+'Monthly data'!K215),"")</x:f>
        <x:v>1.6389578789700923</x:v>
      </x:c>
      <x:c r="H215" s="8" t="n">
        <x:f>IF(ISNUMBER('Monthly data'!L215),LN(1+'Monthly data'!L215),"")</x:f>
        <x:v>0.12239460821360598</x:v>
      </x:c>
      <x:c r="I215" s="8" t="n">
        <x:f>IF(ISNUMBER('Monthly data'!M215),LN(1+'Monthly data'!M215),"")</x:f>
        <x:v>1.2405168615065492</x:v>
      </x:c>
      <x:c r="J215" s="8" t="n">
        <x:f>IF(ISNUMBER('Monthly data'!N215),LN(1+'Monthly data'!N215),"")</x:f>
        <x:v>2.2317226177437868</x:v>
      </x:c>
      <x:c r="K215" s="8" t="n">
        <x:f>IF(COUNT('Monthly data'!F213:F215)=3,'Monthly data'!F215-2*'Monthly data'!F214+'Monthly data'!F213,"")</x:f>
        <x:v>-16.900000000000006</x:v>
      </x:c>
      <x:c r="L215" s="8" t="n">
        <x:f>IF(COUNT('Monthly data'!G213:G215)=3,'Monthly data'!G215-2*'Monthly data'!G214+'Monthly data'!G213,"")</x:f>
        <x:v>-10.546100000000003</x:v>
      </x:c>
      <x:c r="M215" s="8" t="n">
        <x:f>IF(COUNT('Monthly data'!H213:H215)=3,'Monthly data'!H215-2*'Monthly data'!H214+'Monthly data'!H213,"")</x:f>
        <x:v>4.595699999999997</x:v>
      </x:c>
      <x:c r="N215" s="8" t="n">
        <x:f>IF(COUNT('Monthly data'!I213:I215)=3,'Monthly data'!I215-2*'Monthly data'!I214+'Monthly data'!I213,"")</x:f>
        <x:v>-4.973099999999999</x:v>
      </x:c>
      <x:c r="O215" s="8" t="n">
        <x:f>IF(COUNT('Monthly data'!J213:J215)=3,'Monthly data'!J215-2*'Monthly data'!J214+'Monthly data'!J213,"")</x:f>
        <x:v>-3.6327</x:v>
      </x:c>
      <x:c r="P215" s="8" t="n">
        <x:f>IF(COUNT('Monthly data'!K213:K215)=3,'Monthly data'!K215-2*'Monthly data'!K214+'Monthly data'!K213,"")</x:f>
        <x:v>-1.1499999999999997</x:v>
      </x:c>
      <x:c r="Q215" s="8" t="n">
        <x:f>IF(COUNT('Monthly data'!L213:L215)=3,'Monthly data'!L215-2*'Monthly data'!L214+'Monthly data'!L213,"")</x:f>
        <x:v>0.3139</x:v>
      </x:c>
      <x:c r="R215" s="8" t="n">
        <x:f>IF(COUNT('Monthly data'!M213:M215)=3,'Monthly data'!M215-2*'Monthly data'!M214+'Monthly data'!M213,"")</x:f>
        <x:v>-0.2473000000000003</x:v>
      </x:c>
      <x:c r="S215" s="8" t="n">
        <x:f>IF(COUNT('Monthly data'!N213:N215)=3,'Monthly data'!N215-2*'Monthly data'!N214+'Monthly data'!N213,"")</x:f>
        <x:v>-1.2603999999999989</x:v>
      </x:c>
      <x:c r="T215" s="8" t="n">
        <x:f>IF(COUNT('Monthly data'!E214:E215)=2,'Monthly data'!E215-'Monthly data'!E214,"")</x:f>
        <x:v>0.01626919449999953</x:v>
      </x:c>
    </x:row>
    <x:row r="216" ht="19" customHeight="1">
      <x:c r="A216" s="7" t="n">
        <x:f>'Monthly data'!A216</x:f>
        <x:v>39387</x:v>
      </x:c>
      <x:c r="B216" s="8" t="n">
        <x:f>IF(ISNUMBER('Monthly data'!F216),LN(1+'Monthly data'!F216),"")</x:f>
        <x:v>4.364753306003425</x:v>
      </x:c>
      <x:c r="C216" s="8" t="n">
        <x:f>IF(ISNUMBER('Monthly data'!G216),LN(1+'Monthly data'!G216),"")</x:f>
        <x:v>2.840375867130475</x:v>
      </x:c>
      <x:c r="D216" s="8" t="n">
        <x:f>IF(ISNUMBER('Monthly data'!H216),LN(1+'Monthly data'!H216),"")</x:f>
        <x:v>3.474692547040535</x:v>
      </x:c>
      <x:c r="E216" s="8" t="n">
        <x:f>IF(ISNUMBER('Monthly data'!I216),LN(1+'Monthly data'!I216),"")</x:f>
        <x:v>2.352317670095735</x:v>
      </x:c>
      <x:c r="F216" s="8" t="n">
        <x:f>IF(ISNUMBER('Monthly data'!J216),LN(1+'Monthly data'!J216),"")</x:f>
        <x:v>1.8570789353486976</x:v>
      </x:c>
      <x:c r="G216" s="8" t="n">
        <x:f>IF(ISNUMBER('Monthly data'!K216),LN(1+'Monthly data'!K216),"")</x:f>
        <x:v>1.5064080121145564</x:v>
      </x:c>
      <x:c r="H216" s="8" t="n">
        <x:f>IF(ISNUMBER('Monthly data'!L216),LN(1+'Monthly data'!L216),"")</x:f>
        <x:v>1.4114502810010088</x:v>
      </x:c>
      <x:c r="I216" s="8" t="n">
        <x:f>IF(ISNUMBER('Monthly data'!M216),LN(1+'Monthly data'!M216),"")</x:f>
        <x:v>0.8569228200668016</x:v>
      </x:c>
      <x:c r="J216" s="8" t="n">
        <x:f>IF(ISNUMBER('Monthly data'!N216),LN(1+'Monthly data'!N216),"")</x:f>
        <x:v>2.1206674546140643</x:v>
      </x:c>
      <x:c r="K216" s="8" t="n">
        <x:f>IF(COUNT('Monthly data'!F214:F216)=3,'Monthly data'!F216-2*'Monthly data'!F215+'Monthly data'!F214,"")</x:f>
        <x:v>6.950000000000003</x:v>
      </x:c>
      <x:c r="L216" s="8" t="n">
        <x:f>IF(COUNT('Monthly data'!G214:G216)=3,'Monthly data'!G216-2*'Monthly data'!G215+'Monthly data'!G214,"")</x:f>
        <x:v>-2.0831000000000017</x:v>
      </x:c>
      <x:c r="M216" s="8" t="n">
        <x:f>IF(COUNT('Monthly data'!H214:H216)=3,'Monthly data'!H216-2*'Monthly data'!H215+'Monthly data'!H214,"")</x:f>
        <x:v>-0.8157999999999959</x:v>
      </x:c>
      <x:c r="N216" s="8" t="n">
        <x:f>IF(COUNT('Monthly data'!I214:I216)=3,'Monthly data'!I216-2*'Monthly data'!I215+'Monthly data'!I214,"")</x:f>
        <x:v>5.3809000000000005</x:v>
      </x:c>
      <x:c r="O216" s="8" t="n">
        <x:f>IF(COUNT('Monthly data'!J214:J216)=3,'Monthly data'!J216-2*'Monthly data'!J215+'Monthly data'!J214,"")</x:f>
        <x:v>4.5506</x:v>
      </x:c>
      <x:c r="P216" s="8" t="n">
        <x:f>IF(COUNT('Monthly data'!K214:K216)=3,'Monthly data'!K216-2*'Monthly data'!K215+'Monthly data'!K214,"")</x:f>
        <x:v>-1.2129999999999996</x:v>
      </x:c>
      <x:c r="Q216" s="8" t="n">
        <x:f>IF(COUNT('Monthly data'!L214:L216)=3,'Monthly data'!L216-2*'Monthly data'!L215+'Monthly data'!L214,"")</x:f>
        <x:v>2.9452</x:v>
      </x:c>
      <x:c r="R216" s="8" t="n">
        <x:f>IF(COUNT('Monthly data'!M214:M216)=3,'Monthly data'!M216-2*'Monthly data'!M215+'Monthly data'!M214,"")</x:f>
        <x:v>-1.5375999999999994</x:v>
      </x:c>
      <x:c r="S216" s="8" t="n">
        <x:f>IF(COUNT('Monthly data'!N214:N216)=3,'Monthly data'!N216-2*'Monthly data'!N215+'Monthly data'!N214,"")</x:f>
        <x:v>-0.2771999999999988</x:v>
      </x:c>
      <x:c r="T216" s="8" t="n">
        <x:f>IF(COUNT('Monthly data'!E215:E216)=2,'Monthly data'!E216-'Monthly data'!E215,"")</x:f>
        <x:v>-0.007198016699998533</x:v>
      </x:c>
    </x:row>
    <x:row r="217" ht="19" customHeight="1">
      <x:c r="A217" s="7" t="n">
        <x:f>'Monthly data'!A217</x:f>
        <x:v>39417</x:v>
      </x:c>
      <x:c r="B217" s="8" t="n">
        <x:f>IF(ISNUMBER('Monthly data'!F217),LN(1+'Monthly data'!F217),"")</x:f>
        <x:v>4.400971050674819</x:v>
      </x:c>
      <x:c r="C217" s="8" t="n">
        <x:f>IF(ISNUMBER('Monthly data'!G217),LN(1+'Monthly data'!G217),"")</x:f>
        <x:v>2.8146779135269644</x:v>
      </x:c>
      <x:c r="D217" s="8" t="n">
        <x:f>IF(ISNUMBER('Monthly data'!H217),LN(1+'Monthly data'!H217),"")</x:f>
        <x:v>3.1678561772464846</x:v>
      </x:c>
      <x:c r="E217" s="8" t="n">
        <x:f>IF(ISNUMBER('Monthly data'!I217),LN(1+'Monthly data'!I217),"")</x:f>
        <x:v>2.989221121938334</x:v>
      </x:c>
      <x:c r="F217" s="8" t="n">
        <x:f>IF(ISNUMBER('Monthly data'!J217),LN(1+'Monthly data'!J217),"")</x:f>
        <x:v>1.698858052689428</x:v>
      </x:c>
      <x:c r="G217" s="8" t="n">
        <x:f>IF(ISNUMBER('Monthly data'!K217),LN(1+'Monthly data'!K217),"")</x:f>
        <x:v>2.148092688118767</x:v>
      </x:c>
      <x:c r="H217" s="8" t="n">
        <x:f>IF(ISNUMBER('Monthly data'!L217),LN(1+'Monthly data'!L217),"")</x:f>
        <x:v>0.4774756440844366</x:v>
      </x:c>
      <x:c r="I217" s="8" t="n">
        <x:f>IF(ISNUMBER('Monthly data'!M217),LN(1+'Monthly data'!M217),"")</x:f>
        <x:v>0.8870678731972518</x:v>
      </x:c>
      <x:c r="J217" s="8" t="n">
        <x:f>IF(ISNUMBER('Monthly data'!N217),LN(1+'Monthly data'!N217),"")</x:f>
        <x:v>2.3164189622495415</x:v>
      </x:c>
      <x:c r="K217" s="8" t="n">
        <x:f>IF(COUNT('Monthly data'!F215:F217)=3,'Monthly data'!F217-2*'Monthly data'!F216+'Monthly data'!F215,"")</x:f>
        <x:v>2.4000000000000057</x:v>
      </x:c>
      <x:c r="L217" s="8" t="n">
        <x:f>IF(COUNT('Monthly data'!G215:G217)=3,'Monthly data'!G217-2*'Monthly data'!G216+'Monthly data'!G215,"")</x:f>
        <x:v>6.340700000000002</x:v>
      </x:c>
      <x:c r="M217" s="8" t="n">
        <x:f>IF(COUNT('Monthly data'!H215:H217)=3,'Monthly data'!H217-2*'Monthly data'!H216+'Monthly data'!H215,"")</x:f>
        <x:v>-12.6419</x:v>
      </x:c>
      <x:c r="N217" s="8" t="n">
        <x:f>IF(COUNT('Monthly data'!I215:I217)=3,'Monthly data'!I217-2*'Monthly data'!I216+'Monthly data'!I215,"")</x:f>
        <x:v>8.5488</x:v>
      </x:c>
      <x:c r="O217" s="8" t="n">
        <x:f>IF(COUNT('Monthly data'!J215:J217)=3,'Monthly data'!J217-2*'Monthly data'!J216+'Monthly data'!J215,"")</x:f>
        <x:v>-3.038700000000001</x:v>
      </x:c>
      <x:c r="P217" s="8" t="n">
        <x:f>IF(COUNT('Monthly data'!K215:K217)=3,'Monthly data'!K217-2*'Monthly data'!K216+'Monthly data'!K215,"")</x:f>
        <x:v>4.6973</x:v>
      </x:c>
      <x:c r="Q217" s="8" t="n">
        <x:f>IF(COUNT('Monthly data'!L215:L217)=3,'Monthly data'!L217-2*'Monthly data'!L216+'Monthly data'!L215,"")</x:f>
        <x:v>-5.4616</x:v>
      </x:c>
      <x:c r="R217" s="8" t="n">
        <x:f>IF(COUNT('Monthly data'!M215:M217)=3,'Monthly data'!M217-2*'Monthly data'!M216+'Monthly data'!M215,"")</x:f>
        <x:v>1.1735999999999995</x:v>
      </x:c>
      <x:c r="S217" s="8" t="n">
        <x:f>IF(COUNT('Monthly data'!N215:N217)=3,'Monthly data'!N217-2*'Monthly data'!N216+'Monthly data'!N215,"")</x:f>
        <x:v>2.7817999999999987</x:v>
      </x:c>
      <x:c r="T217" s="8" t="n">
        <x:f>IF(COUNT('Monthly data'!E216:E217)=2,'Monthly data'!E217-'Monthly data'!E216,"")</x:f>
        <x:v>0.005521874399999405</x:v>
      </x:c>
    </x:row>
    <x:row r="218" ht="19" customHeight="1">
      <x:c r="A218" s="7" t="n">
        <x:f>'Monthly data'!A218</x:f>
        <x:v>39448</x:v>
      </x:c>
      <x:c r="B218" s="8" t="n">
        <x:f>IF(ISNUMBER('Monthly data'!F218),LN(1+'Monthly data'!F218),"")</x:f>
        <x:v>4.413888607822626</x:v>
      </x:c>
      <x:c r="C218" s="8" t="n">
        <x:f>IF(ISNUMBER('Monthly data'!G218),LN(1+'Monthly data'!G218),"")</x:f>
        <x:v>2.9295764452800084</x:v>
      </x:c>
      <x:c r="D218" s="8" t="n">
        <x:f>IF(ISNUMBER('Monthly data'!H218),LN(1+'Monthly data'!H218),"")</x:f>
        <x:v>3.187575026231582</x:v>
      </x:c>
      <x:c r="E218" s="8" t="n">
        <x:f>IF(ISNUMBER('Monthly data'!I218),LN(1+'Monthly data'!I218),"")</x:f>
        <x:v>2.736689486866893</x:v>
      </x:c>
      <x:c r="F218" s="8" t="n">
        <x:f>IF(ISNUMBER('Monthly data'!J218),LN(1+'Monthly data'!J218),"")</x:f>
        <x:v>2.456772914988668</x:v>
      </x:c>
      <x:c r="G218" s="8" t="n">
        <x:f>IF(ISNUMBER('Monthly data'!K218),LN(1+'Monthly data'!K218),"")</x:f>
        <x:v>1.3576891041095562</x:v>
      </x:c>
      <x:c r="H218" s="8" t="n">
        <x:f>IF(ISNUMBER('Monthly data'!L218),LN(1+'Monthly data'!L218),"")</x:f>
        <x:v>0.33411231132958863</x:v>
      </x:c>
      <x:c r="I218" s="8" t="n">
        <x:f>IF(ISNUMBER('Monthly data'!M218),LN(1+'Monthly data'!M218),"")</x:f>
        <x:v>1.0554959975944818</x:v>
      </x:c>
      <x:c r="J218" s="8" t="n">
        <x:f>IF(ISNUMBER('Monthly data'!N218),LN(1+'Monthly data'!N218),"")</x:f>
        <x:v>2.4319101513856483</x:v>
      </x:c>
      <x:c r="K218" s="8" t="n">
        <x:f>IF(COUNT('Monthly data'!F216:F218)=3,'Monthly data'!F218-2*'Monthly data'!F217+'Monthly data'!F216,"")</x:f>
        <x:v>-1.8400000000000034</x:v>
      </x:c>
      <x:c r="L218" s="8" t="n">
        <x:f>IF(COUNT('Monthly data'!G216:G218)=3,'Monthly data'!G218-2*'Monthly data'!G217+'Monthly data'!G216,"")</x:f>
        <x:v>2.4663000000000004</x:v>
      </x:c>
      <x:c r="M218" s="8" t="n">
        <x:f>IF(COUNT('Monthly data'!H216:H218)=3,'Monthly data'!H218-2*'Monthly data'!H217+'Monthly data'!H216,"")</x:f>
        <x:v>9.004500000000004</x:v>
      </x:c>
      <x:c r="N218" s="8" t="n">
        <x:f>IF(COUNT('Monthly data'!I216:I218)=3,'Monthly data'!I218-2*'Monthly data'!I217+'Monthly data'!I216,"")</x:f>
        <x:v>-13.7947</x:v>
      </x:c>
      <x:c r="O218" s="8" t="n">
        <x:f>IF(COUNT('Monthly data'!J216:J218)=3,'Monthly data'!J218-2*'Monthly data'!J217+'Monthly data'!J216,"")</x:f>
        <x:v>7.1367</x:v>
      </x:c>
      <x:c r="P218" s="8" t="n">
        <x:f>IF(COUNT('Monthly data'!K216:K218)=3,'Monthly data'!K218-2*'Monthly data'!K217+'Monthly data'!K216,"")</x:f>
        <x:v>-8.7393</x:v>
      </x:c>
      <x:c r="Q218" s="8" t="n">
        <x:f>IF(COUNT('Monthly data'!L216:L218)=3,'Monthly data'!L218-2*'Monthly data'!L217+'Monthly data'!L216,"")</x:f>
        <x:v>2.2746000000000004</x:v>
      </x:c>
      <x:c r="R218" s="8" t="n">
        <x:f>IF(COUNT('Monthly data'!M216:M218)=3,'Monthly data'!M218-2*'Monthly data'!M217+'Monthly data'!M216,"")</x:f>
        <x:v>0.3733000000000002</x:v>
      </x:c>
      <x:c r="S218" s="8" t="n">
        <x:f>IF(COUNT('Monthly data'!N216:N218)=3,'Monthly data'!N218-2*'Monthly data'!N217+'Monthly data'!N216,"")</x:f>
        <x:v>-0.561300000000001</x:v>
      </x:c>
      <x:c r="T218" s="8" t="n">
        <x:f>IF(COUNT('Monthly data'!E217:E218)=2,'Monthly data'!E218-'Monthly data'!E217,"")</x:f>
        <x:v>-0.00283677080000011</x:v>
      </x:c>
    </x:row>
    <x:row r="219" ht="19" customHeight="1">
      <x:c r="A219" s="7" t="n">
        <x:f>'Monthly data'!A219</x:f>
        <x:v>39479</x:v>
      </x:c>
      <x:c r="B219" s="8" t="n">
        <x:f>IF(ISNUMBER('Monthly data'!F219),LN(1+'Monthly data'!F219),"")</x:f>
        <x:v>4.4776776654728145</x:v>
      </x:c>
      <x:c r="C219" s="8" t="n">
        <x:f>IF(ISNUMBER('Monthly data'!G219),LN(1+'Monthly data'!G219),"")</x:f>
        <x:v>3.1087171497654196</x:v>
      </x:c>
      <x:c r="D219" s="8" t="n">
        <x:f>IF(ISNUMBER('Monthly data'!H219),LN(1+'Monthly data'!H219),"")</x:f>
        <x:v>3.3430667306468917</x:v>
      </x:c>
      <x:c r="E219" s="8" t="n">
        <x:f>IF(ISNUMBER('Monthly data'!I219),LN(1+'Monthly data'!I219),"")</x:f>
        <x:v>2.8371936474225548</x:v>
      </x:c>
      <x:c r="F219" s="8" t="n">
        <x:f>IF(ISNUMBER('Monthly data'!J219),LN(1+'Monthly data'!J219),"")</x:f>
        <x:v>1.9470238144140652</x:v>
      </x:c>
      <x:c r="G219" s="8" t="n">
        <x:f>IF(ISNUMBER('Monthly data'!K219),LN(1+'Monthly data'!K219),"")</x:f>
        <x:v>1.547328438770589</x:v>
      </x:c>
      <x:c r="H219" s="8" t="n">
        <x:f>IF(ISNUMBER('Monthly data'!L219),LN(1+'Monthly data'!L219),"")</x:f>
        <x:v>0.9194058747743004</x:v>
      </x:c>
      <x:c r="I219" s="8" t="n">
        <x:f>IF(ISNUMBER('Monthly data'!M219),LN(1+'Monthly data'!M219),"")</x:f>
        <x:v>0.7341931499959463</x:v>
      </x:c>
      <x:c r="J219" s="8" t="n">
        <x:f>IF(ISNUMBER('Monthly data'!N219),LN(1+'Monthly data'!N219),"")</x:f>
        <x:v>2.3947813386247674</x:v>
      </x:c>
      <x:c r="K219" s="8" t="n">
        <x:f>IF(COUNT('Monthly data'!F217:F219)=3,'Monthly data'!F219-2*'Monthly data'!F218+'Monthly data'!F217,"")</x:f>
        <x:v>4.3799999999999955</x:v>
      </x:c>
      <x:c r="L219" s="8" t="n">
        <x:f>IF(COUNT('Monthly data'!G217:G219)=3,'Monthly data'!G219-2*'Monthly data'!G218+'Monthly data'!G217,"")</x:f>
        <x:v>1.640699999999999</x:v>
      </x:c>
      <x:c r="M219" s="8" t="n">
        <x:f>IF(COUNT('Monthly data'!H217:H219)=3,'Monthly data'!H219-2*'Monthly data'!H218+'Monthly data'!H217,"")</x:f>
        <x:v>3.6030999999999977</x:v>
      </x:c>
      <x:c r="N219" s="8" t="n">
        <x:f>IF(COUNT('Monthly data'!I217:I219)=3,'Monthly data'!I219-2*'Monthly data'!I218+'Monthly data'!I217,"")</x:f>
        <x:v>6.066399999999998</x:v>
      </x:c>
      <x:c r="O219" s="8" t="n">
        <x:f>IF(COUNT('Monthly data'!J217:J219)=3,'Monthly data'!J219-2*'Monthly data'!J218+'Monthly data'!J217,"")</x:f>
        <x:v>-10.858699999999999</x:v>
      </x:c>
      <x:c r="P219" s="8" t="n">
        <x:f>IF(COUNT('Monthly data'!K217:K219)=3,'Monthly data'!K219-2*'Monthly data'!K218+'Monthly data'!K217,"")</x:f>
        <x:v>5.493</x:v>
      </x:c>
      <x:c r="Q219" s="8" t="n">
        <x:f>IF(COUNT('Monthly data'!L217:L219)=3,'Monthly data'!L219-2*'Monthly data'!L218+'Monthly data'!L217,"")</x:f>
        <x:v>1.3264</x:v>
      </x:c>
      <x:c r="R219" s="8" t="n">
        <x:f>IF(COUNT('Monthly data'!M217:M219)=3,'Monthly data'!M219-2*'Monthly data'!M218+'Monthly data'!M217,"")</x:f>
        <x:v>-1.2349999999999999</x:v>
      </x:c>
      <x:c r="S219" s="8" t="n">
        <x:f>IF(COUNT('Monthly data'!N217:N219)=3,'Monthly data'!N219-2*'Monthly data'!N218+'Monthly data'!N217,"")</x:f>
        <x:v>-1.6560999999999986</x:v>
      </x:c>
      <x:c r="T219" s="8" t="n">
        <x:f>IF(COUNT('Monthly data'!E218:E219)=2,'Monthly data'!E219-'Monthly data'!E218,"")</x:f>
        <x:v>0.0012709266000001662</x:v>
      </x:c>
    </x:row>
    <x:row r="220" ht="19" customHeight="1">
      <x:c r="A220" s="7" t="n">
        <x:f>'Monthly data'!A220</x:f>
        <x:v>39508</x:v>
      </x:c>
      <x:c r="B220" s="8" t="n">
        <x:f>IF(ISNUMBER('Monthly data'!F220),LN(1+'Monthly data'!F220),"")</x:f>
        <x:v>4.443121734033692</x:v>
      </x:c>
      <x:c r="C220" s="8" t="n">
        <x:f>IF(ISNUMBER('Monthly data'!G220),LN(1+'Monthly data'!G220),"")</x:f>
        <x:v>3.1951608342497053</x:v>
      </x:c>
      <x:c r="D220" s="8" t="n">
        <x:f>IF(ISNUMBER('Monthly data'!H220),LN(1+'Monthly data'!H220),"")</x:f>
        <x:v>3.3948338439023393</x:v>
      </x:c>
      <x:c r="E220" s="8" t="n">
        <x:f>IF(ISNUMBER('Monthly data'!I220),LN(1+'Monthly data'!I220),"")</x:f>
        <x:v>2.594059963684523</x:v>
      </x:c>
      <x:c r="F220" s="8" t="n">
        <x:f>IF(ISNUMBER('Monthly data'!J220),LN(1+'Monthly data'!J220),"")</x:f>
        <x:v>2.021600541989986</x:v>
      </x:c>
      <x:c r="G220" s="8" t="n">
        <x:f>IF(ISNUMBER('Monthly data'!K220),LN(1+'Monthly data'!K220),"")</x:f>
        <x:v>1.3829136529604131</x:v>
      </x:c>
      <x:c r="H220" s="8" t="n">
        <x:f>IF(ISNUMBER('Monthly data'!L220),LN(1+'Monthly data'!L220),"")</x:f>
        <x:v>0.14781637469421868</x:v>
      </x:c>
      <x:c r="I220" s="8" t="n">
        <x:f>IF(ISNUMBER('Monthly data'!M220),LN(1+'Monthly data'!M220),"")</x:f>
        <x:v>0.4430819716794712</x:v>
      </x:c>
      <x:c r="J220" s="8" t="n">
        <x:f>IF(ISNUMBER('Monthly data'!N220),LN(1+'Monthly data'!N220),"")</x:f>
        <x:v>2.3202776525249638</x:v>
      </x:c>
      <x:c r="K220" s="8" t="n">
        <x:f>IF(COUNT('Monthly data'!F218:F220)=3,'Monthly data'!F220-2*'Monthly data'!F219+'Monthly data'!F218,"")</x:f>
        <x:v>-8.429999999999993</x:v>
      </x:c>
      <x:c r="L220" s="8" t="n">
        <x:f>IF(COUNT('Monthly data'!G218:G220)=3,'Monthly data'!G220-2*'Monthly data'!G219+'Monthly data'!G218,"")</x:f>
        <x:v>-1.6507999999999967</x:v>
      </x:c>
      <x:c r="M220" s="8" t="n">
        <x:f>IF(COUNT('Monthly data'!H218:H220)=3,'Monthly data'!H220-2*'Monthly data'!H219+'Monthly data'!H218,"")</x:f>
        <x:v>-2.572300000000002</x:v>
      </x:c>
      <x:c r="N220" s="8" t="n">
        <x:f>IF(COUNT('Monthly data'!I218:I220)=3,'Monthly data'!I220-2*'Monthly data'!I219+'Monthly data'!I218,"")</x:f>
        <x:v>-5.315799999999996</x:v>
      </x:c>
      <x:c r="O220" s="8" t="n">
        <x:f>IF(COUNT('Monthly data'!J218:J220)=3,'Monthly data'!J220-2*'Monthly data'!J219+'Monthly data'!J218,"")</x:f>
        <x:v>5.2019</x:v>
      </x:c>
      <x:c r="P220" s="8" t="n">
        <x:f>IF(COUNT('Monthly data'!K218:K220)=3,'Monthly data'!K220-2*'Monthly data'!K219+'Monthly data'!K218,"")</x:f>
        <x:v>-1.5241000000000007</x:v>
      </x:c>
      <x:c r="Q220" s="8" t="n">
        <x:f>IF(COUNT('Monthly data'!L218:L220)=3,'Monthly data'!L220-2*'Monthly data'!L219+'Monthly data'!L218,"")</x:f>
        <x:v>-2.4596</x:v>
      </x:c>
      <x:c r="R220" s="8" t="n">
        <x:f>IF(COUNT('Monthly data'!M218:M220)=3,'Monthly data'!M220-2*'Monthly data'!M219+'Monthly data'!M218,"")</x:f>
        <x:v>0.26329999999999987</x:v>
      </x:c>
      <x:c r="S220" s="8" t="n">
        <x:f>IF(COUNT('Monthly data'!N218:N220)=3,'Monthly data'!N220-2*'Monthly data'!N219+'Monthly data'!N218,"")</x:f>
        <x:v>-0.3725000000000005</x:v>
      </x:c>
      <x:c r="T220" s="8" t="n">
        <x:f>IF(COUNT('Monthly data'!E219:E220)=2,'Monthly data'!E220-'Monthly data'!E219,"")</x:f>
        <x:v>0.002960330500000552</x:v>
      </x:c>
    </x:row>
    <x:row r="221" ht="19" customHeight="1">
      <x:c r="A221" s="7" t="n">
        <x:f>'Monthly data'!A221</x:f>
        <x:v>39539</x:v>
      </x:c>
      <x:c r="B221" s="8" t="n">
        <x:f>IF(ISNUMBER('Monthly data'!F221),LN(1+'Monthly data'!F221),"")</x:f>
        <x:v>4.396176057778301</x:v>
      </x:c>
      <x:c r="C221" s="8" t="n">
        <x:f>IF(ISNUMBER('Monthly data'!G221),LN(1+'Monthly data'!G221),"")</x:f>
        <x:v>3.184950824641742</x:v>
      </x:c>
      <x:c r="D221" s="8" t="n">
        <x:f>IF(ISNUMBER('Monthly data'!H221),LN(1+'Monthly data'!H221),"")</x:f>
        <x:v>3.3157193739153414</x:v>
      </x:c>
      <x:c r="E221" s="8" t="n">
        <x:f>IF(ISNUMBER('Monthly data'!I221),LN(1+'Monthly data'!I221),"")</x:f>
        <x:v>2.2614505496354904</x:v>
      </x:c>
      <x:c r="F221" s="8" t="n">
        <x:f>IF(ISNUMBER('Monthly data'!J221),LN(1+'Monthly data'!J221),"")</x:f>
        <x:v>1.8683655090870808</x:v>
      </x:c>
      <x:c r="G221" s="8" t="n">
        <x:f>IF(ISNUMBER('Monthly data'!K221),LN(1+'Monthly data'!K221),"")</x:f>
        <x:v>1.5372542414708312</x:v>
      </x:c>
      <x:c r="H221" s="8" t="n">
        <x:f>IF(ISNUMBER('Monthly data'!L221),LN(1+'Monthly data'!L221),"")</x:f>
        <x:v>0.4514577119586372</x:v>
      </x:c>
      <x:c r="I221" s="8" t="n">
        <x:f>IF(ISNUMBER('Monthly data'!M221),LN(1+'Monthly data'!M221),"")</x:f>
        <x:v>0.3360435733296593</x:v>
      </x:c>
      <x:c r="J221" s="8" t="n">
        <x:f>IF(ISNUMBER('Monthly data'!N221),LN(1+'Monthly data'!N221),"")</x:f>
        <x:v>2.5443698130587893</x:v>
      </x:c>
      <x:c r="K221" s="8" t="n">
        <x:f>IF(COUNT('Monthly data'!F219:F221)=3,'Monthly data'!F221-2*'Monthly data'!F220+'Monthly data'!F219,"")</x:f>
        <x:v>-0.9100000000000108</x:v>
      </x:c>
      <x:c r="L221" s="8" t="n">
        <x:f>IF(COUNT('Monthly data'!G219:G221)=3,'Monthly data'!G221-2*'Monthly data'!G220+'Monthly data'!G219,"")</x:f>
        <x:v>-2.2698000000000036</x:v>
      </x:c>
      <x:c r="M221" s="8" t="n">
        <x:f>IF(COUNT('Monthly data'!H219:H221)=3,'Monthly data'!H221-2*'Monthly data'!H220+'Monthly data'!H219,"")</x:f>
        <x:v>-3.7713999999999963</x:v>
      </x:c>
      <x:c r="N221" s="8" t="n">
        <x:f>IF(COUNT('Monthly data'!I219:I221)=3,'Monthly data'!I221-2*'Monthly data'!I220+'Monthly data'!I219,"")</x:f>
        <x:v>-0.10320000000000107</x:v>
      </x:c>
      <x:c r="O221" s="8" t="n">
        <x:f>IF(COUNT('Monthly data'!J219:J221)=3,'Monthly data'!J221-2*'Monthly data'!J220+'Monthly data'!J219,"")</x:f>
        <x:v>-1.6153000000000004</x:v>
      </x:c>
      <x:c r="P221" s="8" t="n">
        <x:f>IF(COUNT('Monthly data'!K219:K221)=3,'Monthly data'!K221-2*'Monthly data'!K220+'Monthly data'!K219,"")</x:f>
        <x:v>1.3777000000000004</x:v>
      </x:c>
      <x:c r="Q221" s="8" t="n">
        <x:f>IF(COUNT('Monthly data'!L219:L221)=3,'Monthly data'!L221-2*'Monthly data'!L220+'Monthly data'!L219,"")</x:f>
        <x:v>1.7598</x:v>
      </x:c>
      <x:c r="R221" s="8" t="n">
        <x:f>IF(COUNT('Monthly data'!M219:M221)=3,'Monthly data'!M221-2*'Monthly data'!M220+'Monthly data'!M219,"")</x:f>
        <x:v>0.3682000000000001</x:v>
      </x:c>
      <x:c r="S221" s="8" t="n">
        <x:f>IF(COUNT('Monthly data'!N219:N221)=3,'Monthly data'!N221-2*'Monthly data'!N220+'Monthly data'!N219,"")</x:f>
        <x:v>3.344000000000001</x:v>
      </x:c>
      <x:c r="T221" s="8" t="n">
        <x:f>IF(COUNT('Monthly data'!E220:E221)=2,'Monthly data'!E221-'Monthly data'!E220,"")</x:f>
        <x:v>-0.007481729000000215</x:v>
      </x:c>
    </x:row>
    <x:row r="222" ht="19" customHeight="1">
      <x:c r="A222" s="7" t="n">
        <x:f>'Monthly data'!A222</x:f>
        <x:v>39569</x:v>
      </x:c>
      <x:c r="B222" s="8" t="n">
        <x:f>IF(ISNUMBER('Monthly data'!F222),LN(1+'Monthly data'!F222),"")</x:f>
        <x:v>4.3400320779712045</x:v>
      </x:c>
      <x:c r="C222" s="8" t="n">
        <x:f>IF(ISNUMBER('Monthly data'!G222),LN(1+'Monthly data'!G222),"")</x:f>
        <x:v>2.8772077130359905</x:v>
      </x:c>
      <x:c r="D222" s="8" t="n">
        <x:f>IF(ISNUMBER('Monthly data'!H222),LN(1+'Monthly data'!H222),"")</x:f>
        <x:v>3.173665047045428</x:v>
      </x:c>
      <x:c r="E222" s="8" t="n">
        <x:f>IF(ISNUMBER('Monthly data'!I222),LN(1+'Monthly data'!I222),"")</x:f>
        <x:v>2.393430776293622</x:v>
      </x:c>
      <x:c r="F222" s="8" t="n">
        <x:f>IF(ISNUMBER('Monthly data'!J222),LN(1+'Monthly data'!J222),"")</x:f>
        <x:v>2.09214797198933</x:v>
      </x:c>
      <x:c r="G222" s="8" t="n">
        <x:f>IF(ISNUMBER('Monthly data'!K222),LN(1+'Monthly data'!K222),"")</x:f>
        <x:v>1.4293059567131383</x:v>
      </x:c>
      <x:c r="H222" s="8" t="n">
        <x:f>IF(ISNUMBER('Monthly data'!L222),LN(1+'Monthly data'!L222),"")</x:f>
        <x:v>0.6030036307069793</x:v>
      </x:c>
      <x:c r="I222" s="8" t="n">
        <x:f>IF(ISNUMBER('Monthly data'!M222),LN(1+'Monthly data'!M222),"")</x:f>
        <x:v>0.17605194378035915</x:v>
      </x:c>
      <x:c r="J222" s="8" t="n">
        <x:f>IF(ISNUMBER('Monthly data'!N222),LN(1+'Monthly data'!N222),"")</x:f>
        <x:v>2.7600922151292453</x:v>
      </x:c>
      <x:c r="K222" s="8" t="n">
        <x:f>IF(COUNT('Monthly data'!F220:F222)=3,'Monthly data'!F222-2*'Monthly data'!F221+'Monthly data'!F220,"")</x:f>
        <x:v>-0.5300000000000011</x:v>
      </x:c>
      <x:c r="L222" s="8" t="n">
        <x:f>IF(COUNT('Monthly data'!G220:G222)=3,'Monthly data'!G222-2*'Monthly data'!G221+'Monthly data'!G220,"")</x:f>
        <x:v>-6.1534999999999975</x:v>
      </x:c>
      <x:c r="M222" s="8" t="n">
        <x:f>IF(COUNT('Monthly data'!H220:H222)=3,'Monthly data'!H222-2*'Monthly data'!H221+'Monthly data'!H220,"")</x:f>
        <x:v>-1.379800000000003</x:v>
      </x:c>
      <x:c r="N222" s="8" t="n">
        <x:f>IF(COUNT('Monthly data'!I220:I222)=3,'Monthly data'!I222-2*'Monthly data'!I221+'Monthly data'!I220,"")</x:f>
        <x:v>5.141000000000002</x:v>
      </x:c>
      <x:c r="O222" s="8" t="n">
        <x:f>IF(COUNT('Monthly data'!J220:J222)=3,'Monthly data'!J222-2*'Monthly data'!J221+'Monthly data'!J220,"")</x:f>
        <x:v>2.6973000000000003</x:v>
      </x:c>
      <x:c r="P222" s="8" t="n">
        <x:f>IF(COUNT('Monthly data'!K220:K222)=3,'Monthly data'!K222-2*'Monthly data'!K221+'Monthly data'!K220,"")</x:f>
        <x:v>-1.1413000000000006</x:v>
      </x:c>
      <x:c r="Q222" s="8" t="n">
        <x:f>IF(COUNT('Monthly data'!L220:L222)=3,'Monthly data'!L222-2*'Monthly data'!L221+'Monthly data'!L220,"")</x:f>
        <x:v>-0.1543</x:v>
      </x:c>
      <x:c r="R222" s="8" t="n">
        <x:f>IF(COUNT('Monthly data'!M220:M222)=3,'Monthly data'!M222-2*'Monthly data'!M221+'Monthly data'!M220,"")</x:f>
        <x:v>-0.048799999999999955</x:v>
      </x:c>
      <x:c r="S222" s="8" t="n">
        <x:f>IF(COUNT('Monthly data'!N220:N222)=3,'Monthly data'!N222-2*'Monthly data'!N221+'Monthly data'!N220,"")</x:f>
        <x:v>0.5093999999999976</x:v>
      </x:c>
      <x:c r="T222" s="8" t="n">
        <x:f>IF(COUNT('Monthly data'!E221:E222)=2,'Monthly data'!E222-'Monthly data'!E221,"")</x:f>
        <x:v>0.004080785799999376</x:v>
      </x:c>
    </x:row>
    <x:row r="223" ht="19" customHeight="1">
      <x:c r="A223" s="7" t="n">
        <x:f>'Monthly data'!A223</x:f>
        <x:v>39600</x:v>
      </x:c>
      <x:c r="B223" s="8" t="n">
        <x:f>IF(ISNUMBER('Monthly data'!F223),LN(1+'Monthly data'!F223),"")</x:f>
        <x:v>4.399620943074833</x:v>
      </x:c>
      <x:c r="C223" s="8" t="n">
        <x:f>IF(ISNUMBER('Monthly data'!G223),LN(1+'Monthly data'!G223),"")</x:f>
        <x:v>3.0479736183996544</x:v>
      </x:c>
      <x:c r="D223" s="8" t="n">
        <x:f>IF(ISNUMBER('Monthly data'!H223),LN(1+'Monthly data'!H223),"")</x:f>
        <x:v>3.3425154549243996</x:v>
      </x:c>
      <x:c r="E223" s="8" t="n">
        <x:f>IF(ISNUMBER('Monthly data'!I223),LN(1+'Monthly data'!I223),"")</x:f>
        <x:v>2.3958295042032747</x:v>
      </x:c>
      <x:c r="F223" s="8" t="n">
        <x:f>IF(ISNUMBER('Monthly data'!J223),LN(1+'Monthly data'!J223),"")</x:f>
        <x:v>1.6663474064071804</x:v>
      </x:c>
      <x:c r="G223" s="8" t="n">
        <x:f>IF(ISNUMBER('Monthly data'!K223),LN(1+'Monthly data'!K223),"")</x:f>
        <x:v>1.791842799089359</x:v>
      </x:c>
      <x:c r="H223" s="8" t="n">
        <x:f>IF(ISNUMBER('Monthly data'!L223),LN(1+'Monthly data'!L223),"")</x:f>
        <x:v>0.2117994496135527</x:v>
      </x:c>
      <x:c r="I223" s="8" t="n">
        <x:f>IF(ISNUMBER('Monthly data'!M223),LN(1+'Monthly data'!M223),"")</x:f>
        <x:v>1.0353884585010742</x:v>
      </x:c>
      <x:c r="J223" s="8" t="n">
        <x:f>IF(ISNUMBER('Monthly data'!N223),LN(1+'Monthly data'!N223),"")</x:f>
        <x:v>2.5443226984367575</x:v>
      </x:c>
      <x:c r="K223" s="8" t="n">
        <x:f>IF(COUNT('Monthly data'!F221:F223)=3,'Monthly data'!F223-2*'Monthly data'!F222+'Monthly data'!F221,"")</x:f>
        <x:v>9.140000000000015</x:v>
      </x:c>
      <x:c r="L223" s="8" t="n">
        <x:f>IF(COUNT('Monthly data'!G221:G223)=3,'Monthly data'!G223-2*'Monthly data'!G222+'Monthly data'!G221,"")</x:f>
        <x:v>9.709499999999998</x:v>
      </x:c>
      <x:c r="M223" s="8" t="n">
        <x:f>IF(COUNT('Monthly data'!H221:H223)=3,'Monthly data'!H223-2*'Monthly data'!H222+'Monthly data'!H221,"")</x:f>
        <x:v>8.0426</x:v>
      </x:c>
      <x:c r="N223" s="8" t="n">
        <x:f>IF(COUNT('Monthly data'!I221:I223)=3,'Monthly data'!I223-2*'Monthly data'!I222+'Monthly data'!I221,"")</x:f>
        <x:v>-1.3277000000000019</x:v>
      </x:c>
      <x:c r="O223" s="8" t="n">
        <x:f>IF(COUNT('Monthly data'!J221:J223)=3,'Monthly data'!J223-2*'Monthly data'!J222+'Monthly data'!J221,"")</x:f>
        <x:v>-4.4341</x:v>
      </x:c>
      <x:c r="P223" s="8" t="n">
        <x:f>IF(COUNT('Monthly data'!K221:K223)=3,'Monthly data'!K223-2*'Monthly data'!K222+'Monthly data'!K221,"")</x:f>
        <x:v>2.3006999999999995</x:v>
      </x:c>
      <x:c r="Q223" s="8" t="n">
        <x:f>IF(COUNT('Monthly data'!L221:L223)=3,'Monthly data'!L223-2*'Monthly data'!L222+'Monthly data'!L221,"")</x:f>
        <x:v>-0.8487</x:v>
      </x:c>
      <x:c r="R223" s="8" t="n">
        <x:f>IF(COUNT('Monthly data'!M221:M223)=3,'Monthly data'!M223-2*'Monthly data'!M222+'Monthly data'!M221,"")</x:f>
        <x:v>1.8306</x:v>
      </x:c>
      <x:c r="S223" s="8" t="n">
        <x:f>IF(COUNT('Monthly data'!N221:N223)=3,'Monthly data'!N223-2*'Monthly data'!N222+'Monthly data'!N221,"")</x:f>
        <x:v>-6.132799999999998</x:v>
      </x:c>
      <x:c r="T223" s="8" t="n">
        <x:f>IF(COUNT('Monthly data'!E222:E223)=2,'Monthly data'!E223-'Monthly data'!E222,"")</x:f>
        <x:v>0.00028478089999950384</x:v>
      </x:c>
    </x:row>
    <x:row r="224" ht="19" customHeight="1">
      <x:c r="A224" s="7" t="n">
        <x:f>'Monthly data'!A224</x:f>
        <x:v>39630</x:v>
      </x:c>
      <x:c r="B224" s="8" t="n">
        <x:f>IF(ISNUMBER('Monthly data'!F224),LN(1+'Monthly data'!F224),"")</x:f>
        <x:v>4.489647094732552</x:v>
      </x:c>
      <x:c r="C224" s="8" t="n">
        <x:f>IF(ISNUMBER('Monthly data'!G224),LN(1+'Monthly data'!G224),"")</x:f>
        <x:v>3.0460545967014996</x:v>
      </x:c>
      <x:c r="D224" s="8" t="n">
        <x:f>IF(ISNUMBER('Monthly data'!H224),LN(1+'Monthly data'!H224),"")</x:f>
        <x:v>3.424204020952409</x:v>
      </x:c>
      <x:c r="E224" s="8" t="n">
        <x:f>IF(ISNUMBER('Monthly data'!I224),LN(1+'Monthly data'!I224),"")</x:f>
        <x:v>2.803117927274604</x:v>
      </x:c>
      <x:c r="F224" s="8" t="n">
        <x:f>IF(ISNUMBER('Monthly data'!J224),LN(1+'Monthly data'!J224),"")</x:f>
        <x:v>1.5244027632375197</x:v>
      </x:c>
      <x:c r="G224" s="8" t="n">
        <x:f>IF(ISNUMBER('Monthly data'!K224),LN(1+'Monthly data'!K224),"")</x:f>
        <x:v>1.722248606463926</x:v>
      </x:c>
      <x:c r="H224" s="8" t="n">
        <x:f>IF(ISNUMBER('Monthly data'!L224),LN(1+'Monthly data'!L224),"")</x:f>
        <x:v>0.47555071567485213</x:v>
      </x:c>
      <x:c r="I224" s="8" t="n">
        <x:f>IF(ISNUMBER('Monthly data'!M224),LN(1+'Monthly data'!M224),"")</x:f>
        <x:v>1.101707493575412</x:v>
      </x:c>
      <x:c r="J224" s="8" t="n">
        <x:f>IF(ISNUMBER('Monthly data'!N224),LN(1+'Monthly data'!N224),"")</x:f>
        <x:v>2.569240138878693</x:v>
      </x:c>
      <x:c r="K224" s="8" t="n">
        <x:f>IF(COUNT('Monthly data'!F222:F224)=3,'Monthly data'!F224-2*'Monthly data'!F223+'Monthly data'!F222,"")</x:f>
        <x:v>2.9599999999999937</x:v>
      </x:c>
      <x:c r="L224" s="8" t="n">
        <x:f>IF(COUNT('Monthly data'!G222:G224)=3,'Monthly data'!G224-2*'Monthly data'!G223+'Monthly data'!G222,"")</x:f>
        <x:v>-3.3484000000000016</x:v>
      </x:c>
      <x:c r="M224" s="8" t="n">
        <x:f>IF(COUNT('Monthly data'!H222:H224)=3,'Monthly data'!H224-2*'Monthly data'!H223+'Monthly data'!H222,"")</x:f>
        <x:v>-1.9872999999999976</x:v>
      </x:c>
      <x:c r="N224" s="8" t="n">
        <x:f>IF(COUNT('Monthly data'!I222:I224)=3,'Monthly data'!I224-2*'Monthly data'!I223+'Monthly data'!I222,"")</x:f>
        <x:v>5.492400000000002</x:v>
      </x:c>
      <x:c r="O224" s="8" t="n">
        <x:f>IF(COUNT('Monthly data'!J222:J224)=3,'Monthly data'!J224-2*'Monthly data'!J223+'Monthly data'!J222,"")</x:f>
        <x:v>2.1090999999999998</x:v>
      </x:c>
      <x:c r="P224" s="8" t="n">
        <x:f>IF(COUNT('Monthly data'!K222:K224)=3,'Monthly data'!K224-2*'Monthly data'!K223+'Monthly data'!K222,"")</x:f>
        <x:v>-2.228099999999999</x:v>
      </x:c>
      <x:c r="Q224" s="8" t="n">
        <x:f>IF(COUNT('Monthly data'!L222:L224)=3,'Monthly data'!L224-2*'Monthly data'!L223+'Monthly data'!L222,"")</x:f>
        <x:v>0.9647</x:v>
      </x:c>
      <x:c r="R224" s="8" t="n">
        <x:f>IF(COUNT('Monthly data'!M222:M224)=3,'Monthly data'!M224-2*'Monthly data'!M223+'Monthly data'!M222,"")</x:f>
        <x:v>-1.4306</x:v>
      </x:c>
      <x:c r="S224" s="8" t="n">
        <x:f>IF(COUNT('Monthly data'!N222:N224)=3,'Monthly data'!N224-2*'Monthly data'!N223+'Monthly data'!N222,"")</x:f>
        <x:v>3.387999999999998</x:v>
      </x:c>
      <x:c r="T224" s="8" t="n">
        <x:f>IF(COUNT('Monthly data'!E223:E224)=2,'Monthly data'!E224-'Monthly data'!E223,"")</x:f>
        <x:v>0.01007320300000103</x:v>
      </x:c>
    </x:row>
    <x:row r="225" ht="19" customHeight="1">
      <x:c r="A225" s="7" t="n">
        <x:f>'Monthly data'!A225</x:f>
        <x:v>39661</x:v>
      </x:c>
      <x:c r="B225" s="8" t="n">
        <x:f>IF(ISNUMBER('Monthly data'!F225),LN(1+'Monthly data'!F225),"")</x:f>
        <x:v>4.604369865817322</x:v>
      </x:c>
      <x:c r="C225" s="8" t="n">
        <x:f>IF(ISNUMBER('Monthly data'!G225),LN(1+'Monthly data'!G225),"")</x:f>
        <x:v>3.7844964050410064</x:v>
      </x:c>
      <x:c r="D225" s="8" t="n">
        <x:f>IF(ISNUMBER('Monthly data'!H225),LN(1+'Monthly data'!H225),"")</x:f>
        <x:v>3.081295101903436</x:v>
      </x:c>
      <x:c r="E225" s="8" t="n">
        <x:f>IF(ISNUMBER('Monthly data'!I225),LN(1+'Monthly data'!I225),"")</x:f>
        <x:v>2.8720720007247316</x:v>
      </x:c>
      <x:c r="F225" s="8" t="n">
        <x:f>IF(ISNUMBER('Monthly data'!J225),LN(1+'Monthly data'!J225),"")</x:f>
        <x:v>1.7706549948966337</x:v>
      </x:c>
      <x:c r="G225" s="8" t="n">
        <x:f>IF(ISNUMBER('Monthly data'!K225),LN(1+'Monthly data'!K225),"")</x:f>
        <x:v>1.3343166220271776</x:v>
      </x:c>
      <x:c r="H225" s="8" t="n">
        <x:f>IF(ISNUMBER('Monthly data'!L225),LN(1+'Monthly data'!L225),"")</x:f>
        <x:v>0.9033675865836654</x:v>
      </x:c>
      <x:c r="I225" s="8" t="n">
        <x:f>IF(ISNUMBER('Monthly data'!M225),LN(1+'Monthly data'!M225),"")</x:f>
        <x:v>0.6048076492364219</x:v>
      </x:c>
      <x:c r="J225" s="8" t="n">
        <x:f>IF(ISNUMBER('Monthly data'!N225),LN(1+'Monthly data'!N225),"")</x:f>
        <x:v>2.24868841273638</x:v>
      </x:c>
      <x:c r="K225" s="8" t="n">
        <x:f>IF(COUNT('Monthly data'!F223:F225)=3,'Monthly data'!F225-2*'Monthly data'!F224+'Monthly data'!F223,"")</x:f>
        <x:v>3.1599999999999966</x:v>
      </x:c>
      <x:c r="L225" s="8" t="n">
        <x:f>IF(COUNT('Monthly data'!G223:G225)=3,'Monthly data'!G225-2*'Monthly data'!G224+'Monthly data'!G223,"")</x:f>
        <x:v>23.021700000000003</x:v>
      </x:c>
      <x:c r="M225" s="8" t="n">
        <x:f>IF(COUNT('Monthly data'!H223:H225)=3,'Monthly data'!H225-2*'Monthly data'!H224+'Monthly data'!H223,"")</x:f>
        <x:v>-11.319600000000001</x:v>
      </x:c>
      <x:c r="N225" s="8" t="n">
        <x:f>IF(COUNT('Monthly data'!I223:I225)=3,'Monthly data'!I225-2*'Monthly data'!I224+'Monthly data'!I223,"")</x:f>
        <x:v>-4.341100000000001</x:v>
      </x:c>
      <x:c r="O225" s="8" t="n">
        <x:f>IF(COUNT('Monthly data'!J223:J225)=3,'Monthly data'!J225-2*'Monthly data'!J224+'Monthly data'!J223,"")</x:f>
        <x:v>1.9826999999999995</x:v>
      </x:c>
      <x:c r="P225" s="8" t="n">
        <x:f>IF(COUNT('Monthly data'!K223:K225)=3,'Monthly data'!K225-2*'Monthly data'!K224+'Monthly data'!K223,"")</x:f>
        <x:v>-1.396300000000001</x:v>
      </x:c>
      <x:c r="Q225" s="8" t="n">
        <x:f>IF(COUNT('Monthly data'!L223:L225)=3,'Monthly data'!L225-2*'Monthly data'!L224+'Monthly data'!L223,"")</x:f>
        <x:v>0.486</x:v>
      </x:c>
      <x:c r="R225" s="8" t="n">
        <x:f>IF(COUNT('Monthly data'!M223:M225)=3,'Monthly data'!M225-2*'Monthly data'!M224+'Monthly data'!M223,"")</x:f>
        <x:v>-1.3715000000000004</x:v>
      </x:c>
      <x:c r="S225" s="8" t="n">
        <x:f>IF(COUNT('Monthly data'!N223:N225)=3,'Monthly data'!N225-2*'Monthly data'!N224+'Monthly data'!N223,"")</x:f>
        <x:v>-3.9018999999999977</x:v>
      </x:c>
      <x:c r="T225" s="8" t="n">
        <x:f>IF(COUNT('Monthly data'!E224:E225)=2,'Monthly data'!E225-'Monthly data'!E224,"")</x:f>
        <x:v>-0.014491250600000782</x:v>
      </x:c>
    </x:row>
    <x:row r="226" ht="19" customHeight="1">
      <x:c r="A226" s="7" t="n">
        <x:f>'Monthly data'!A226</x:f>
        <x:v>39692</x:v>
      </x:c>
      <x:c r="B226" s="8" t="n">
        <x:f>IF(ISNUMBER('Monthly data'!F226),LN(1+'Monthly data'!F226),"")</x:f>
        <x:v>4.397038392294319</x:v>
      </x:c>
      <x:c r="C226" s="8" t="n">
        <x:f>IF(ISNUMBER('Monthly data'!G226),LN(1+'Monthly data'!G226),"")</x:f>
        <x:v>3.410186854999953</x:v>
      </x:c>
      <x:c r="D226" s="8" t="n">
        <x:f>IF(ISNUMBER('Monthly data'!H226),LN(1+'Monthly data'!H226),"")</x:f>
        <x:v>2.8849124384487475</x:v>
      </x:c>
      <x:c r="E226" s="8" t="n">
        <x:f>IF(ISNUMBER('Monthly data'!I226),LN(1+'Monthly data'!I226),"")</x:f>
        <x:v>2.7428895351447444</x:v>
      </x:c>
      <x:c r="F226" s="8" t="n">
        <x:f>IF(ISNUMBER('Monthly data'!J226),LN(1+'Monthly data'!J226),"")</x:f>
        <x:v>1.3612841981157229</x:v>
      </x:c>
      <x:c r="G226" s="8" t="n">
        <x:f>IF(ISNUMBER('Monthly data'!K226),LN(1+'Monthly data'!K226),"")</x:f>
        <x:v>1.866495815342072</x:v>
      </x:c>
      <x:c r="H226" s="8" t="n">
        <x:f>IF(ISNUMBER('Monthly data'!L226),LN(1+'Monthly data'!L226),"")</x:f>
        <x:v>0.4993196835797886</x:v>
      </x:c>
      <x:c r="I226" s="8" t="n">
        <x:f>IF(ISNUMBER('Monthly data'!M226),LN(1+'Monthly data'!M226),"")</x:f>
        <x:v>0.5302752475873039</x:v>
      </x:c>
      <x:c r="J226" s="8" t="n">
        <x:f>IF(ISNUMBER('Monthly data'!N226),LN(1+'Monthly data'!N226),"")</x:f>
        <x:v>2.378758787216888</x:v>
      </x:c>
      <x:c r="K226" s="8" t="n">
        <x:f>IF(COUNT('Monthly data'!F224:F226)=3,'Monthly data'!F226-2*'Monthly data'!F225+'Monthly data'!F224,"")</x:f>
        <x:v>-29.540000000000006</x:v>
      </x:c>
      <x:c r="L226" s="8" t="n">
        <x:f>IF(COUNT('Monthly data'!G224:G226)=3,'Monthly data'!G226-2*'Monthly data'!G225+'Monthly data'!G224,"")</x:f>
        <x:v>-36.7239</x:v>
      </x:c>
      <x:c r="M226" s="8" t="n">
        <x:f>IF(COUNT('Monthly data'!H224:H226)=3,'Monthly data'!H226-2*'Monthly data'!H225+'Monthly data'!H224,"")</x:f>
        <x:v>5.027000000000001</x:v>
      </x:c>
      <x:c r="N226" s="8" t="n">
        <x:f>IF(COUNT('Monthly data'!I224:I226)=3,'Monthly data'!I226-2*'Monthly data'!I225+'Monthly data'!I224,"")</x:f>
        <x:v>-3.3194</x:v>
      </x:c>
      <x:c r="O226" s="8" t="n">
        <x:f>IF(COUNT('Monthly data'!J224:J226)=3,'Monthly data'!J226-2*'Monthly data'!J225+'Monthly data'!J224,"")</x:f>
        <x:v>-3.2558000000000002</x:v>
      </x:c>
      <x:c r="P226" s="8" t="n">
        <x:f>IF(COUNT('Monthly data'!K224:K226)=3,'Monthly data'!K226-2*'Monthly data'!K225+'Monthly data'!K224,"")</x:f>
        <x:v>4.4679</x:v>
      </x:c>
      <x:c r="Q226" s="8" t="n">
        <x:f>IF(COUNT('Monthly data'!L224:L226)=3,'Monthly data'!L226-2*'Monthly data'!L225+'Monthly data'!L224,"")</x:f>
        <x:v>-1.6792999999999998</x:v>
      </x:c>
      <x:c r="R226" s="8" t="n">
        <x:f>IF(COUNT('Monthly data'!M224:M226)=3,'Monthly data'!M226-2*'Monthly data'!M225+'Monthly data'!M224,"")</x:f>
        <x:v>1.0469000000000002</x:v>
      </x:c>
      <x:c r="S226" s="8" t="n">
        <x:f>IF(COUNT('Monthly data'!N224:N226)=3,'Monthly data'!N226-2*'Monthly data'!N225+'Monthly data'!N224,"")</x:f>
        <x:v>4.896799999999997</x:v>
      </x:c>
      <x:c r="T226" s="8" t="n">
        <x:f>IF(COUNT('Monthly data'!E225:E226)=2,'Monthly data'!E226-'Monthly data'!E225,"")</x:f>
        <x:v>-0.013461539199999706</x:v>
      </x:c>
    </x:row>
    <x:row r="227" ht="19" customHeight="1">
      <x:c r="A227" s="7" t="n">
        <x:f>'Monthly data'!A227</x:f>
        <x:v>39722</x:v>
      </x:c>
      <x:c r="B227" s="8" t="n">
        <x:f>IF(ISNUMBER('Monthly data'!F227),LN(1+'Monthly data'!F227),"")</x:f>
        <x:v>4.188896879163323</x:v>
      </x:c>
      <x:c r="C227" s="8" t="n">
        <x:f>IF(ISNUMBER('Monthly data'!G227),LN(1+'Monthly data'!G227),"")</x:f>
        <x:v>3.0175231191121137</x:v>
      </x:c>
      <x:c r="D227" s="8" t="n">
        <x:f>IF(ISNUMBER('Monthly data'!H227),LN(1+'Monthly data'!H227),"")</x:f>
        <x:v>2.956643151742189</x:v>
      </x:c>
      <x:c r="E227" s="8" t="n">
        <x:f>IF(ISNUMBER('Monthly data'!I227),LN(1+'Monthly data'!I227),"")</x:f>
        <x:v>2.3640658188370662</x:v>
      </x:c>
      <x:c r="F227" s="8" t="n">
        <x:f>IF(ISNUMBER('Monthly data'!J227),LN(1+'Monthly data'!J227),"")</x:f>
        <x:v>1.3373404335419636</x:v>
      </x:c>
      <x:c r="G227" s="8" t="n">
        <x:f>IF(ISNUMBER('Monthly data'!K227),LN(1+'Monthly data'!K227),"")</x:f>
        <x:v>1.0637447533390338</x:v>
      </x:c>
      <x:c r="H227" s="8" t="n">
        <x:f>IF(ISNUMBER('Monthly data'!L227),LN(1+'Monthly data'!L227),"")</x:f>
        <x:v>0.17990196527518718</x:v>
      </x:c>
      <x:c r="I227" s="8" t="n">
        <x:f>IF(ISNUMBER('Monthly data'!M227),LN(1+'Monthly data'!M227),"")</x:f>
        <x:v>0.4799539600989037</x:v>
      </x:c>
      <x:c r="J227" s="8" t="n">
        <x:f>IF(ISNUMBER('Monthly data'!N227),LN(1+'Monthly data'!N227),"")</x:f>
        <x:v>2.57434355502646</x:v>
      </x:c>
      <x:c r="K227" s="8" t="n">
        <x:f>IF(COUNT('Monthly data'!F225:F227)=3,'Monthly data'!F227-2*'Monthly data'!F226+'Monthly data'!F225,"")</x:f>
        <x:v>3.450000000000017</x:v>
      </x:c>
      <x:c r="L227" s="8" t="n">
        <x:f>IF(COUNT('Monthly data'!G225:G227)=3,'Monthly data'!G227-2*'Monthly data'!G226+'Monthly data'!G225,"")</x:f>
        <x:v>3.912299999999995</x:v>
      </x:c>
      <x:c r="M227" s="8" t="n">
        <x:f>IF(COUNT('Monthly data'!H225:H227)=3,'Monthly data'!H227-2*'Monthly data'!H226+'Monthly data'!H225,"")</x:f>
        <x:v>5.215899999999998</x:v>
      </x:c>
      <x:c r="N227" s="8" t="n">
        <x:f>IF(COUNT('Monthly data'!I225:I227)=3,'Monthly data'!I227-2*'Monthly data'!I226+'Monthly data'!I225,"")</x:f>
        <x:v>-2.7559000000000005</x:v>
      </x:c>
      <x:c r="O227" s="8" t="n">
        <x:f>IF(COUNT('Monthly data'!J225:J227)=3,'Monthly data'!J227-2*'Monthly data'!J226+'Monthly data'!J225,"")</x:f>
        <x:v>1.8812000000000002</x:v>
      </x:c>
      <x:c r="P227" s="8" t="n">
        <x:f>IF(COUNT('Monthly data'!K225:K227)=3,'Monthly data'!K227-2*'Monthly data'!K226+'Monthly data'!K225,"")</x:f>
        <x:v>-6.236600000000001</x:v>
      </x:c>
      <x:c r="Q227" s="8" t="n">
        <x:f>IF(COUNT('Monthly data'!L225:L227)=3,'Monthly data'!L227-2*'Monthly data'!L226+'Monthly data'!L225,"")</x:f>
        <x:v>0.36980000000000013</x:v>
      </x:c>
      <x:c r="R227" s="8" t="n">
        <x:f>IF(COUNT('Monthly data'!M225:M227)=3,'Monthly data'!M227-2*'Monthly data'!M226+'Monthly data'!M225,"")</x:f>
        <x:v>0.04809999999999992</x:v>
      </x:c>
      <x:c r="S227" s="8" t="n">
        <x:f>IF(COUNT('Monthly data'!N225:N227)=3,'Monthly data'!N227-2*'Monthly data'!N226+'Monthly data'!N225,"")</x:f>
        <x:v>1.0150000000000023</x:v>
      </x:c>
      <x:c r="T227" s="8" t="n">
        <x:f>IF(COUNT('Monthly data'!E226:E227)=2,'Monthly data'!E227-'Monthly data'!E226,"")</x:f>
        <x:v>0.013383772699999241</x:v>
      </x:c>
    </x:row>
    <x:row r="228" ht="19" customHeight="1">
      <x:c r="A228" s="7" t="n">
        <x:f>'Monthly data'!A228</x:f>
        <x:v>39753</x:v>
      </x:c>
      <x:c r="B228" s="8" t="n">
        <x:f>IF(ISNUMBER('Monthly data'!F228),LN(1+'Monthly data'!F228),"")</x:f>
        <x:v>4.35259782398307</x:v>
      </x:c>
      <x:c r="C228" s="8" t="n">
        <x:f>IF(ISNUMBER('Monthly data'!G228),LN(1+'Monthly data'!G228),"")</x:f>
        <x:v>3.089582296939508</x:v>
      </x:c>
      <x:c r="D228" s="8" t="n">
        <x:f>IF(ISNUMBER('Monthly data'!H228),LN(1+'Monthly data'!H228),"")</x:f>
        <x:v>3.11983308773066</x:v>
      </x:c>
      <x:c r="E228" s="8" t="n">
        <x:f>IF(ISNUMBER('Monthly data'!I228),LN(1+'Monthly data'!I228),"")</x:f>
        <x:v>2.846762317240277</x:v>
      </x:c>
      <x:c r="F228" s="8" t="n">
        <x:f>IF(ISNUMBER('Monthly data'!J228),LN(1+'Monthly data'!J228),"")</x:f>
        <x:v>1.6401222945650953</x:v>
      </x:c>
      <x:c r="G228" s="8" t="n">
        <x:f>IF(ISNUMBER('Monthly data'!K228),LN(1+'Monthly data'!K228),"")</x:f>
        <x:v>1.1242475462599408</x:v>
      </x:c>
      <x:c r="H228" s="8" t="n">
        <x:f>IF(ISNUMBER('Monthly data'!L228),LN(1+'Monthly data'!L228),"")</x:f>
        <x:v>0.1500565962066791</x:v>
      </x:c>
      <x:c r="I228" s="8" t="n">
        <x:f>IF(ISNUMBER('Monthly data'!M228),LN(1+'Monthly data'!M228),"")</x:f>
        <x:v>0.3006970095292756</x:v>
      </x:c>
      <x:c r="J228" s="8" t="n">
        <x:f>IF(ISNUMBER('Monthly data'!N228),LN(1+'Monthly data'!N228),"")</x:f>
        <x:v>2.492469644772415</x:v>
      </x:c>
      <x:c r="K228" s="8" t="n">
        <x:f>IF(COUNT('Monthly data'!F226:F228)=3,'Monthly data'!F228-2*'Monthly data'!F227+'Monthly data'!F226,"")</x:f>
        <x:v>26.989999999999995</x:v>
      </x:c>
      <x:c r="L228" s="8" t="n">
        <x:f>IF(COUNT('Monthly data'!G226:G228)=3,'Monthly data'!G228-2*'Monthly data'!G227+'Monthly data'!G226,"")</x:f>
        <x:v>11.357600000000001</x:v>
      </x:c>
      <x:c r="M228" s="8" t="n">
        <x:f>IF(COUNT('Monthly data'!H226:H228)=3,'Monthly data'!H228-2*'Monthly data'!H227+'Monthly data'!H226,"")</x:f>
        <x:v>2.078000000000003</x:v>
      </x:c>
      <x:c r="N228" s="8" t="n">
        <x:f>IF(COUNT('Monthly data'!I226:I228)=3,'Monthly data'!I228-2*'Monthly data'!I227+'Monthly data'!I226,"")</x:f>
        <x:v>11.4955</x:v>
      </x:c>
      <x:c r="O228" s="8" t="n">
        <x:f>IF(COUNT('Monthly data'!J226:J228)=3,'Monthly data'!J228-2*'Monthly data'!J227+'Monthly data'!J226,"")</x:f>
        <x:v>1.4392</x:v>
      </x:c>
      <x:c r="P228" s="8" t="n">
        <x:f>IF(COUNT('Monthly data'!K226:K228)=3,'Monthly data'!K228-2*'Monthly data'!K227+'Monthly data'!K226,"")</x:f>
        <x:v>3.7491000000000003</x:v>
      </x:c>
      <x:c r="Q228" s="8" t="n">
        <x:f>IF(COUNT('Monthly data'!L226:L228)=3,'Monthly data'!L228-2*'Monthly data'!L227+'Monthly data'!L226,"")</x:f>
        <x:v>0.41529999999999995</x:v>
      </x:c>
      <x:c r="R228" s="8" t="n">
        <x:f>IF(COUNT('Monthly data'!M226:M228)=3,'Monthly data'!M228-2*'Monthly data'!M227+'Monthly data'!M226,"")</x:f>
        <x:v>-0.18179999999999996</x:v>
      </x:c>
      <x:c r="S228" s="8" t="n">
        <x:f>IF(COUNT('Monthly data'!N226:N228)=3,'Monthly data'!N228-2*'Monthly data'!N227+'Monthly data'!N226,"")</x:f>
        <x:v>-3.3628</x:v>
      </x:c>
      <x:c r="T228" s="8" t="n">
        <x:f>IF(COUNT('Monthly data'!E227:E228)=2,'Monthly data'!E228-'Monthly data'!E227,"")</x:f>
        <x:v>-0.0021046097999999347</x:v>
      </x:c>
    </x:row>
    <x:row r="229" ht="19" customHeight="1">
      <x:c r="A229" s="7" t="n">
        <x:f>'Monthly data'!A229</x:f>
        <x:v>39783</x:v>
      </x:c>
      <x:c r="B229" s="8" t="n">
        <x:f>IF(ISNUMBER('Monthly data'!F229),LN(1+'Monthly data'!F229),"")</x:f>
        <x:v>4.53828224044646</x:v>
      </x:c>
      <x:c r="C229" s="8" t="n">
        <x:f>IF(ISNUMBER('Monthly data'!G229),LN(1+'Monthly data'!G229),"")</x:f>
        <x:v>3.193521093125314</x:v>
      </x:c>
      <x:c r="D229" s="8" t="n">
        <x:f>IF(ISNUMBER('Monthly data'!H229),LN(1+'Monthly data'!H229),"")</x:f>
        <x:v>3.156864241665342</x:v>
      </x:c>
      <x:c r="E229" s="8" t="n">
        <x:f>IF(ISNUMBER('Monthly data'!I229),LN(1+'Monthly data'!I229),"")</x:f>
        <x:v>3.2618931678466274</x:v>
      </x:c>
      <x:c r="F229" s="8" t="n">
        <x:f>IF(ISNUMBER('Monthly data'!J229),LN(1+'Monthly data'!J229),"")</x:f>
        <x:v>1.6866211511047502</x:v>
      </x:c>
      <x:c r="G229" s="8" t="n">
        <x:f>IF(ISNUMBER('Monthly data'!K229),LN(1+'Monthly data'!K229),"")</x:f>
        <x:v>1.3871689785305514</x:v>
      </x:c>
      <x:c r="H229" s="8" t="n">
        <x:f>IF(ISNUMBER('Monthly data'!L229),LN(1+'Monthly data'!L229),"")</x:f>
        <x:v>1.1998442937421558</x:v>
      </x:c>
      <x:c r="I229" s="8" t="n">
        <x:f>IF(ISNUMBER('Monthly data'!M229),LN(1+'Monthly data'!M229),"")</x:f>
        <x:v>0.5558945871335688</x:v>
      </x:c>
      <x:c r="J229" s="8" t="n">
        <x:f>IF(ISNUMBER('Monthly data'!N229),LN(1+'Monthly data'!N229),"")</x:f>
        <x:v>2.4925688864010516</x:v>
      </x:c>
      <x:c r="K229" s="8" t="n">
        <x:f>IF(COUNT('Monthly data'!F227:F229)=3,'Monthly data'!F229-2*'Monthly data'!F228+'Monthly data'!F227,"")</x:f>
        <x:v>4.11999999999999</x:v>
      </x:c>
      <x:c r="L229" s="8" t="n">
        <x:f>IF(COUNT('Monthly data'!G227:G229)=3,'Monthly data'!G229-2*'Monthly data'!G228+'Monthly data'!G227,"")</x:f>
        <x:v>0.878899999999998</x:v>
      </x:c>
      <x:c r="M229" s="8" t="n">
        <x:f>IF(COUNT('Monthly data'!H227:H229)=3,'Monthly data'!H229-2*'Monthly data'!H228+'Monthly data'!H227,"")</x:f>
        <x:v>-2.555100000000003</x:v>
      </x:c>
      <x:c r="N229" s="8" t="n">
        <x:f>IF(COUNT('Monthly data'!I227:I229)=3,'Monthly data'!I229-2*'Monthly data'!I228+'Monthly data'!I227,"")</x:f>
        <x:v>2.2692000000000014</x:v>
      </x:c>
      <x:c r="O229" s="8" t="n">
        <x:f>IF(COUNT('Monthly data'!J227:J229)=3,'Monthly data'!J229-2*'Monthly data'!J228+'Monthly data'!J227,"")</x:f>
        <x:v>-1.1015000000000001</x:v>
      </x:c>
      <x:c r="P229" s="8" t="n">
        <x:f>IF(COUNT('Monthly data'!K227:K229)=3,'Monthly data'!K229-2*'Monthly data'!K228+'Monthly data'!K227,"")</x:f>
        <x:v>0.7448999999999997</x:v>
      </x:c>
      <x:c r="Q229" s="8" t="n">
        <x:f>IF(COUNT('Monthly data'!L227:L229)=3,'Monthly data'!L229-2*'Monthly data'!L228+'Monthly data'!L227,"")</x:f>
        <x:v>2.1929</x:v>
      </x:c>
      <x:c r="R229" s="8" t="n">
        <x:f>IF(COUNT('Monthly data'!M227:M229)=3,'Monthly data'!M229-2*'Monthly data'!M228+'Monthly data'!M227,"")</x:f>
        <x:v>0.6579</x:v>
      </x:c>
      <x:c r="S229" s="8" t="n">
        <x:f>IF(COUNT('Monthly data'!N227:N229)=3,'Monthly data'!N229-2*'Monthly data'!N228+'Monthly data'!N227,"")</x:f>
        <x:v>1.0327999999999982</x:v>
      </x:c>
      <x:c r="T229" s="8" t="n">
        <x:f>IF(COUNT('Monthly data'!E228:E229)=2,'Monthly data'!E229-'Monthly data'!E228,"")</x:f>
        <x:v>-0.01040566739999882</x:v>
      </x:c>
    </x:row>
    <x:row r="230" ht="19" customHeight="1">
      <x:c r="A230" s="7" t="n">
        <x:f>'Monthly data'!A230</x:f>
        <x:v>39814</x:v>
      </x:c>
      <x:c r="B230" s="8" t="n">
        <x:f>IF(ISNUMBER('Monthly data'!F230),LN(1+'Monthly data'!F230),"")</x:f>
        <x:v>4.458061320949879</x:v>
      </x:c>
      <x:c r="C230" s="8" t="n">
        <x:f>IF(ISNUMBER('Monthly data'!G230),LN(1+'Monthly data'!G230),"")</x:f>
        <x:v>3.763908073770232</x:v>
      </x:c>
      <x:c r="D230" s="8" t="n">
        <x:f>IF(ISNUMBER('Monthly data'!H230),LN(1+'Monthly data'!H230),"")</x:f>
        <x:v>2.982576109504437</x:v>
      </x:c>
      <x:c r="E230" s="8" t="n">
        <x:f>IF(ISNUMBER('Monthly data'!I230),LN(1+'Monthly data'!I230),"")</x:f>
        <x:v>2.3777203944071665</x:v>
      </x:c>
      <x:c r="F230" s="8" t="n">
        <x:f>IF(ISNUMBER('Monthly data'!J230),LN(1+'Monthly data'!J230),"")</x:f>
        <x:v>1.1808065262940965</x:v>
      </x:c>
      <x:c r="G230" s="8" t="n">
        <x:f>IF(ISNUMBER('Monthly data'!K230),LN(1+'Monthly data'!K230),"")</x:f>
        <x:v>1.0236372740750368</x:v>
      </x:c>
      <x:c r="H230" s="8" t="n">
        <x:f>IF(ISNUMBER('Monthly data'!L230),LN(1+'Monthly data'!L230),"")</x:f>
        <x:v>0.26735180597853014</x:v>
      </x:c>
      <x:c r="I230" s="8" t="n">
        <x:f>IF(ISNUMBER('Monthly data'!M230),LN(1+'Monthly data'!M230),"")</x:f>
        <x:v>0.40653120629016204</x:v>
      </x:c>
      <x:c r="J230" s="8" t="n">
        <x:f>IF(ISNUMBER('Monthly data'!N230),LN(1+'Monthly data'!N230),"")</x:f>
        <x:v>2.3828739242228485</x:v>
      </x:c>
      <x:c r="K230" s="8" t="n">
        <x:f>IF(COUNT('Monthly data'!F228:F230)=3,'Monthly data'!F230-2*'Monthly data'!F229+'Monthly data'!F228,"")</x:f>
        <x:v>-23.060000000000002</x:v>
      </x:c>
      <x:c r="L230" s="8" t="n">
        <x:f>IF(COUNT('Monthly data'!G228:G230)=3,'Monthly data'!G230-2*'Monthly data'!G229+'Monthly data'!G228,"")</x:f>
        <x:v>16.3363</x:v>
      </x:c>
      <x:c r="M230" s="8" t="n">
        <x:f>IF(COUNT('Monthly data'!H228:H230)=3,'Monthly data'!H230-2*'Monthly data'!H229+'Monthly data'!H228,"")</x:f>
        <x:v>-4.612399999999997</x:v>
      </x:c>
      <x:c r="N230" s="8" t="n">
        <x:f>IF(COUNT('Monthly data'!I228:I230)=3,'Monthly data'!I230-2*'Monthly data'!I229+'Monthly data'!I228,"")</x:f>
        <x:v>-24.185600000000004</x:v>
      </x:c>
      <x:c r="O230" s="8" t="n">
        <x:f>IF(COUNT('Monthly data'!J228:J230)=3,'Monthly data'!J230-2*'Monthly data'!J229+'Monthly data'!J228,"")</x:f>
        <x:v>-2.3896000000000006</x:v>
      </x:c>
      <x:c r="P230" s="8" t="n">
        <x:f>IF(COUNT('Monthly data'!K228:K230)=3,'Monthly data'!K230-2*'Monthly data'!K229+'Monthly data'!K228,"")</x:f>
        <x:v>-2.145799999999999</x:v>
      </x:c>
      <x:c r="Q230" s="8" t="n">
        <x:f>IF(COUNT('Monthly data'!L228:L230)=3,'Monthly data'!L230-2*'Monthly data'!L229+'Monthly data'!L228,"")</x:f>
        <x:v>-4.1708</x:v>
      </x:c>
      <x:c r="R230" s="8" t="n">
        <x:f>IF(COUNT('Monthly data'!M228:M230)=3,'Monthly data'!M230-2*'Monthly data'!M229+'Monthly data'!M228,"")</x:f>
        <x:v>-0.6346</x:v>
      </x:c>
      <x:c r="S230" s="8" t="n">
        <x:f>IF(COUNT('Monthly data'!N228:N230)=3,'Monthly data'!N230-2*'Monthly data'!N229+'Monthly data'!N228,"")</x:f>
        <x:v>-1.2574999999999985</x:v>
      </x:c>
      <x:c r="T230" s="8" t="n">
        <x:f>IF(COUNT('Monthly data'!E229:E230)=2,'Monthly data'!E230-'Monthly data'!E229,"")</x:f>
        <x:v>-0.014589576700000606</x:v>
      </x:c>
    </x:row>
    <x:row r="231" ht="19" customHeight="1">
      <x:c r="A231" s="7" t="n">
        <x:f>'Monthly data'!A231</x:f>
        <x:v>39845</x:v>
      </x:c>
      <x:c r="B231" s="8" t="n">
        <x:f>IF(ISNUMBER('Monthly data'!F231),LN(1+'Monthly data'!F231),"")</x:f>
        <x:v>4.360164387816747</x:v>
      </x:c>
      <x:c r="C231" s="8" t="n">
        <x:f>IF(ISNUMBER('Monthly data'!G231),LN(1+'Monthly data'!G231),"")</x:f>
        <x:v>2.9993158448853436</x:v>
      </x:c>
      <x:c r="D231" s="8" t="n">
        <x:f>IF(ISNUMBER('Monthly data'!H231),LN(1+'Monthly data'!H231),"")</x:f>
        <x:v>3.3003525807260217</x:v>
      </x:c>
      <x:c r="E231" s="8" t="n">
        <x:f>IF(ISNUMBER('Monthly data'!I231),LN(1+'Monthly data'!I231),"")</x:f>
        <x:v>2.450746443974566</x:v>
      </x:c>
      <x:c r="F231" s="8" t="n">
        <x:f>IF(ISNUMBER('Monthly data'!J231),LN(1+'Monthly data'!J231),"")</x:f>
        <x:v>1.7603032012698294</x:v>
      </x:c>
      <x:c r="G231" s="8" t="n">
        <x:f>IF(ISNUMBER('Monthly data'!K231),LN(1+'Monthly data'!K231),"")</x:f>
        <x:v>1.8174434601591853</x:v>
      </x:c>
      <x:c r="H231" s="8" t="n">
        <x:f>IF(ISNUMBER('Monthly data'!L231),LN(1+'Monthly data'!L231),"")</x:f>
        <x:v>0.3150296939700183</x:v>
      </x:c>
      <x:c r="I231" s="8" t="n">
        <x:f>IF(ISNUMBER('Monthly data'!M231),LN(1+'Monthly data'!M231),"")</x:f>
        <x:v>0.2726191947747353</x:v>
      </x:c>
      <x:c r="J231" s="8" t="n">
        <x:f>IF(ISNUMBER('Monthly data'!N231),LN(1+'Monthly data'!N231),"")</x:f>
        <x:v>2.4702074776826195</x:v>
      </x:c>
      <x:c r="K231" s="8" t="n">
        <x:f>IF(COUNT('Monthly data'!F229:F231)=3,'Monthly data'!F231-2*'Monthly data'!F230+'Monthly data'!F229,"")</x:f>
        <x:v>-0.8399999999999892</x:v>
      </x:c>
      <x:c r="L231" s="8" t="n">
        <x:f>IF(COUNT('Monthly data'!G229:G231)=3,'Monthly data'!G231-2*'Monthly data'!G230+'Monthly data'!G229,"")</x:f>
        <x:v>-41.7873</x:v>
      </x:c>
      <x:c r="M231" s="8" t="n">
        <x:f>IF(COUNT('Monthly data'!H229:H231)=3,'Monthly data'!H231-2*'Monthly data'!H230+'Monthly data'!H229,"")</x:f>
        <x:v>11.141799999999996</x:v>
      </x:c>
      <x:c r="N231" s="8" t="n">
        <x:f>IF(COUNT('Monthly data'!I229:I231)=3,'Monthly data'!I231-2*'Monthly data'!I230+'Monthly data'!I229,"")</x:f>
        <x:v>16.1353</x:v>
      </x:c>
      <x:c r="O231" s="8" t="n">
        <x:f>IF(COUNT('Monthly data'!J229:J231)=3,'Monthly data'!J231-2*'Monthly data'!J230+'Monthly data'!J229,"")</x:f>
        <x:v>4.7014</x:v>
      </x:c>
      <x:c r="P231" s="8" t="n">
        <x:f>IF(COUNT('Monthly data'!K229:K231)=3,'Monthly data'!K231-2*'Monthly data'!K230+'Monthly data'!K229,"")</x:f>
        <x:v>4.593</x:v>
      </x:c>
      <x:c r="Q231" s="8" t="n">
        <x:f>IF(COUNT('Monthly data'!L229:L231)=3,'Monthly data'!L231-2*'Monthly data'!L230+'Monthly data'!L229,"")</x:f>
        <x:v>2.0768999999999997</x:v>
      </x:c>
      <x:c r="R231" s="8" t="n">
        <x:f>IF(COUNT('Monthly data'!M229:M231)=3,'Monthly data'!M231-2*'Monthly data'!M230+'Monthly data'!M229,"")</x:f>
        <x:v>0.05369999999999997</x:v>
      </x:c>
      <x:c r="S231" s="8" t="n">
        <x:f>IF(COUNT('Monthly data'!N229:N231)=3,'Monthly data'!N231-2*'Monthly data'!N230+'Monthly data'!N229,"")</x:f>
        <x:v>2.2451999999999988</x:v>
      </x:c>
      <x:c r="T231" s="8" t="n">
        <x:f>IF(COUNT('Monthly data'!E230:E231)=2,'Monthly data'!E231-'Monthly data'!E230,"")</x:f>
        <x:v>0.0053696609999995815</x:v>
      </x:c>
    </x:row>
    <x:row r="232" ht="19" customHeight="1">
      <x:c r="A232" s="7" t="n">
        <x:f>'Monthly data'!A232</x:f>
        <x:v>39873</x:v>
      </x:c>
      <x:c r="B232" s="8" t="n">
        <x:f>IF(ISNUMBER('Monthly data'!F232),LN(1+'Monthly data'!F232),"")</x:f>
        <x:v>4.399620943074833</x:v>
      </x:c>
      <x:c r="C232" s="8" t="n">
        <x:f>IF(ISNUMBER('Monthly data'!G232),LN(1+'Monthly data'!G232),"")</x:f>
        <x:v>2.9162831396806657</x:v>
      </x:c>
      <x:c r="D232" s="8" t="n">
        <x:f>IF(ISNUMBER('Monthly data'!H232),LN(1+'Monthly data'!H232),"")</x:f>
        <x:v>3.47004846531991</x:v>
      </x:c>
      <x:c r="E232" s="8" t="n">
        <x:f>IF(ISNUMBER('Monthly data'!I232),LN(1+'Monthly data'!I232),"")</x:f>
        <x:v>2.4894961021218074</x:v>
      </x:c>
      <x:c r="F232" s="8" t="n">
        <x:f>IF(ISNUMBER('Monthly data'!J232),LN(1+'Monthly data'!J232),"")</x:f>
        <x:v>1.6028160361252135</x:v>
      </x:c>
      <x:c r="G232" s="8" t="n">
        <x:f>IF(ISNUMBER('Monthly data'!K232),LN(1+'Monthly data'!K232),"")</x:f>
        <x:v>1.263476798473668</x:v>
      </x:c>
      <x:c r="H232" s="8" t="n">
        <x:f>IF(ISNUMBER('Monthly data'!L232),LN(1+'Monthly data'!L232),"")</x:f>
        <x:v>1.0531964251376271</x:v>
      </x:c>
      <x:c r="I232" s="8" t="n">
        <x:f>IF(ISNUMBER('Monthly data'!M232),LN(1+'Monthly data'!M232),"")</x:f>
        <x:v>0.5391798172625184</x:v>
      </x:c>
      <x:c r="J232" s="8" t="n">
        <x:f>IF(ISNUMBER('Monthly data'!N232),LN(1+'Monthly data'!N232),"")</x:f>
        <x:v>2.5390633407399554</x:v>
      </x:c>
      <x:c r="K232" s="8" t="n">
        <x:f>IF(COUNT('Monthly data'!F230:F232)=3,'Monthly data'!F232-2*'Monthly data'!F231+'Monthly data'!F230,"")</x:f>
        <x:v>11.200000000000003</x:v>
      </x:c>
      <x:c r="L232" s="8" t="n">
        <x:f>IF(COUNT('Monthly data'!G230:G232)=3,'Monthly data'!G232-2*'Monthly data'!G231+'Monthly data'!G230,"")</x:f>
        <x:v>21.4455</x:v>
      </x:c>
      <x:c r="M232" s="8" t="n">
        <x:f>IF(COUNT('Monthly data'!H230:H232)=3,'Monthly data'!H232-2*'Monthly data'!H231+'Monthly data'!H230,"")</x:f>
        <x:v>-2.367499999999996</x:v>
      </x:c>
      <x:c r="N232" s="8" t="n">
        <x:f>IF(COUNT('Monthly data'!I230:I232)=3,'Monthly data'!I232-2*'Monthly data'!I231+'Monthly data'!I230,"")</x:f>
        <x:v>-0.3584999999999994</x:v>
      </x:c>
      <x:c r="O232" s="8" t="n">
        <x:f>IF(COUNT('Monthly data'!J230:J232)=3,'Monthly data'!J232-2*'Monthly data'!J231+'Monthly data'!J230,"")</x:f>
        <x:v>-3.4043999999999985</x:v>
      </x:c>
      <x:c r="P232" s="8" t="n">
        <x:f>IF(COUNT('Monthly data'!K230:K232)=3,'Monthly data'!K232-2*'Monthly data'!K231+'Monthly data'!K230,"")</x:f>
        <x:v>-5.991200000000001</x:v>
      </x:c>
      <x:c r="Q232" s="8" t="n">
        <x:f>IF(COUNT('Monthly data'!L230:L232)=3,'Monthly data'!L232-2*'Monthly data'!L231+'Monthly data'!L230,"")</x:f>
        <x:v>1.4326999999999999</x:v>
      </x:c>
      <x:c r="R232" s="8" t="n">
        <x:f>IF(COUNT('Monthly data'!M230:M232)=3,'Monthly data'!M232-2*'Monthly data'!M231+'Monthly data'!M230,"")</x:f>
        <x:v>0.5894</x:v>
      </x:c>
      <x:c r="S232" s="8" t="n">
        <x:f>IF(COUNT('Monthly data'!N230:N232)=3,'Monthly data'!N232-2*'Monthly data'!N231+'Monthly data'!N230,"")</x:f>
        <x:v>-0.14599999999999902</x:v>
      </x:c>
      <x:c r="T232" s="8" t="n">
        <x:f>IF(COUNT('Monthly data'!E231:E232)=2,'Monthly data'!E232-'Monthly data'!E231,"")</x:f>
        <x:v>-0.0022786814999999905</x:v>
      </x:c>
    </x:row>
    <x:row r="233" ht="19" customHeight="1">
      <x:c r="A233" s="7" t="n">
        <x:f>'Monthly data'!A233</x:f>
        <x:v>39904</x:v>
      </x:c>
      <x:c r="B233" s="8" t="n">
        <x:f>IF(ISNUMBER('Monthly data'!F233),LN(1+'Monthly data'!F233),"")</x:f>
        <x:v>4.408911963455264</x:v>
      </x:c>
      <x:c r="C233" s="8" t="n">
        <x:f>IF(ISNUMBER('Monthly data'!G233),LN(1+'Monthly data'!G233),"")</x:f>
        <x:v>2.8974356387288807</x:v>
      </x:c>
      <x:c r="D233" s="8" t="n">
        <x:f>IF(ISNUMBER('Monthly data'!H233),LN(1+'Monthly data'!H233),"")</x:f>
        <x:v>3.248108360298284</x:v>
      </x:c>
      <x:c r="E233" s="8" t="n">
        <x:f>IF(ISNUMBER('Monthly data'!I233),LN(1+'Monthly data'!I233),"")</x:f>
        <x:v>2.614047166611091</x:v>
      </x:c>
      <x:c r="F233" s="8" t="n">
        <x:f>IF(ISNUMBER('Monthly data'!J233),LN(1+'Monthly data'!J233),"")</x:f>
        <x:v>1.7856743255721068</x:v>
      </x:c>
      <x:c r="G233" s="8" t="n">
        <x:f>IF(ISNUMBER('Monthly data'!K233),LN(1+'Monthly data'!K233),"")</x:f>
        <x:v>1.993665764658432</x:v>
      </x:c>
      <x:c r="H233" s="8" t="n">
        <x:f>IF(ISNUMBER('Monthly data'!L233),LN(1+'Monthly data'!L233),"")</x:f>
        <x:v>0.458816283605159</x:v>
      </x:c>
      <x:c r="I233" s="8" t="n">
        <x:f>IF(ISNUMBER('Monthly data'!M233),LN(1+'Monthly data'!M233),"")</x:f>
        <x:v>0.5333891421747421</x:v>
      </x:c>
      <x:c r="J233" s="8" t="n">
        <x:f>IF(ISNUMBER('Monthly data'!N233),LN(1+'Monthly data'!N233),"")</x:f>
        <x:v>2.712281237630026</x:v>
      </x:c>
      <x:c r="K233" s="8" t="n">
        <x:f>IF(COUNT('Monthly data'!F231:F233)=3,'Monthly data'!F233-2*'Monthly data'!F232+'Monthly data'!F231,"")</x:f>
        <x:v>-2.3900000000000006</x:v>
      </x:c>
      <x:c r="L233" s="8" t="n">
        <x:f>IF(COUNT('Monthly data'!G231:G233)=3,'Monthly data'!G233-2*'Monthly data'!G232+'Monthly data'!G231,"")</x:f>
        <x:v>1.2544000000000004</x:v>
      </x:c>
      <x:c r="M233" s="8" t="n">
        <x:f>IF(COUNT('Monthly data'!H231:H233)=3,'Monthly data'!H233-2*'Monthly data'!H232+'Monthly data'!H231,"")</x:f>
        <x:v>-11.412800000000004</x:v>
      </x:c>
      <x:c r="N233" s="8" t="n">
        <x:f>IF(COUNT('Monthly data'!I231:I233)=3,'Monthly data'!I233-2*'Monthly data'!I232+'Monthly data'!I231,"")</x:f>
        <x:v>1.1408000000000005</x:v>
      </x:c>
      <x:c r="O233" s="8" t="n">
        <x:f>IF(COUNT('Monthly data'!J231:J233)=3,'Monthly data'!J233-2*'Monthly data'!J232+'Monthly data'!J231,"")</x:f>
        <x:v>1.843799999999999</x:v>
      </x:c>
      <x:c r="P233" s="8" t="n">
        <x:f>IF(COUNT('Monthly data'!K231:K233)=3,'Monthly data'!K233-2*'Monthly data'!K232+'Monthly data'!K231,"")</x:f>
        <x:v>6.4231</x:v>
      </x:c>
      <x:c r="Q233" s="8" t="n">
        <x:f>IF(COUNT('Monthly data'!L231:L233)=3,'Monthly data'!L233-2*'Monthly data'!L232+'Monthly data'!L231,"")</x:f>
        <x:v>-2.7811</x:v>
      </x:c>
      <x:c r="R233" s="8" t="n">
        <x:f>IF(COUNT('Monthly data'!M231:M233)=3,'Monthly data'!M233-2*'Monthly data'!M232+'Monthly data'!M231,"")</x:f>
        <x:v>-0.4111</x:v>
      </x:c>
      <x:c r="S233" s="8" t="n">
        <x:f>IF(COUNT('Monthly data'!N231:N233)=3,'Monthly data'!N233-2*'Monthly data'!N232+'Monthly data'!N231,"")</x:f>
        <x:v>1.5528999999999993</x:v>
      </x:c>
      <x:c r="T233" s="8" t="n">
        <x:f>IF(COUNT('Monthly data'!E232:E233)=2,'Monthly data'!E233-'Monthly data'!E232,"")</x:f>
        <x:v>0.003905449200001243</x:v>
      </x:c>
    </x:row>
    <x:row r="234" ht="19" customHeight="1">
      <x:c r="A234" s="7" t="n">
        <x:f>'Monthly data'!A234</x:f>
        <x:v>39934</x:v>
      </x:c>
      <x:c r="B234" s="8" t="n">
        <x:f>IF(ISNUMBER('Monthly data'!F234),LN(1+'Monthly data'!F234),"")</x:f>
        <x:v>4.452485098322443</x:v>
      </x:c>
      <x:c r="C234" s="8" t="n">
        <x:f>IF(ISNUMBER('Monthly data'!G234),LN(1+'Monthly data'!G234),"")</x:f>
        <x:v>3.2705912301544093</x:v>
      </x:c>
      <x:c r="D234" s="8" t="n">
        <x:f>IF(ISNUMBER('Monthly data'!H234),LN(1+'Monthly data'!H234),"")</x:f>
        <x:v>3.224595436658849</x:v>
      </x:c>
      <x:c r="E234" s="8" t="n">
        <x:f>IF(ISNUMBER('Monthly data'!I234),LN(1+'Monthly data'!I234),"")</x:f>
        <x:v>2.4408154282750334</x:v>
      </x:c>
      <x:c r="F234" s="8" t="n">
        <x:f>IF(ISNUMBER('Monthly data'!J234),LN(1+'Monthly data'!J234),"")</x:f>
        <x:v>1.9242340536274283</x:v>
      </x:c>
      <x:c r="G234" s="8" t="n">
        <x:f>IF(ISNUMBER('Monthly data'!K234),LN(1+'Monthly data'!K234),"")</x:f>
        <x:v>2.2641144984314554</x:v>
      </x:c>
      <x:c r="H234" s="8" t="n">
        <x:f>IF(ISNUMBER('Monthly data'!L234),LN(1+'Monthly data'!L234),"")</x:f>
        <x:v>0.2656664983941004</x:v>
      </x:c>
      <x:c r="I234" s="8" t="n">
        <x:f>IF(ISNUMBER('Monthly data'!M234),LN(1+'Monthly data'!M234),"")</x:f>
        <x:v>0.09658209784624401</x:v>
      </x:c>
      <x:c r="J234" s="8" t="n">
        <x:f>IF(ISNUMBER('Monthly data'!N234),LN(1+'Monthly data'!N234),"")</x:f>
        <x:v>2.3987131200882663</x:v>
      </x:c>
      <x:c r="K234" s="8" t="n">
        <x:f>IF(COUNT('Monthly data'!F232:F234)=3,'Monthly data'!F234-2*'Monthly data'!F233+'Monthly data'!F232,"")</x:f>
        <x:v>2.8999999999999915</x:v>
      </x:c>
      <x:c r="L234" s="8" t="n">
        <x:f>IF(COUNT('Monthly data'!G232:G234)=3,'Monthly data'!G234-2*'Monthly data'!G233+'Monthly data'!G232,"")</x:f>
        <x:v>8.544199999999996</x:v>
      </x:c>
      <x:c r="M234" s="8" t="n">
        <x:f>IF(COUNT('Monthly data'!H232:H234)=3,'Monthly data'!H234-2*'Monthly data'!H233+'Monthly data'!H232,"")</x:f>
        <x:v>5.798500000000004</x:v>
      </x:c>
      <x:c r="N234" s="8" t="n">
        <x:f>IF(COUNT('Monthly data'!I232:I234)=3,'Monthly data'!I234-2*'Monthly data'!I233+'Monthly data'!I232,"")</x:f>
        <x:v>-3.7707999999999995</x:v>
      </x:c>
      <x:c r="O234" s="8" t="n">
        <x:f>IF(COUNT('Monthly data'!J232:J234)=3,'Monthly data'!J234-2*'Monthly data'!J233+'Monthly data'!J232,"")</x:f>
        <x:v>-0.11029999999999918</x:v>
      </x:c>
      <x:c r="P234" s="8" t="n">
        <x:f>IF(COUNT('Monthly data'!K232:K234)=3,'Monthly data'!K234-2*'Monthly data'!K233+'Monthly data'!K232,"")</x:f>
        <x:v>-1.5244999999999989</x:v>
      </x:c>
      <x:c r="Q234" s="8" t="n">
        <x:f>IF(COUNT('Monthly data'!L232:L234)=3,'Monthly data'!L234-2*'Monthly data'!L233+'Monthly data'!L232,"")</x:f>
        <x:v>1.0067</x:v>
      </x:c>
      <x:c r="R234" s="8" t="n">
        <x:f>IF(COUNT('Monthly data'!M232:M234)=3,'Monthly data'!M234-2*'Monthly data'!M233+'Monthly data'!M232,"")</x:f>
        <x:v>-0.5934</x:v>
      </x:c>
      <x:c r="S234" s="8" t="n">
        <x:f>IF(COUNT('Monthly data'!N232:N234)=3,'Monthly data'!N234-2*'Monthly data'!N233+'Monthly data'!N232,"")</x:f>
        <x:v>-6.450399999999998</x:v>
      </x:c>
      <x:c r="T234" s="8" t="n">
        <x:f>IF(COUNT('Monthly data'!E233:E234)=2,'Monthly data'!E234-'Monthly data'!E233,"")</x:f>
        <x:v>-0.0054808000000008406</x:v>
      </x:c>
    </x:row>
    <x:row r="235" ht="19" customHeight="1">
      <x:c r="A235" s="7" t="n">
        <x:f>'Monthly data'!A235</x:f>
        <x:v>39965</x:v>
      </x:c>
      <x:c r="B235" s="8" t="n">
        <x:f>IF(ISNUMBER('Monthly data'!F235),LN(1+'Monthly data'!F235),"")</x:f>
        <x:v>4.577490616881349</x:v>
      </x:c>
      <x:c r="C235" s="8" t="n">
        <x:f>IF(ISNUMBER('Monthly data'!G235),LN(1+'Monthly data'!G235),"")</x:f>
        <x:v>2.9462478684550826</x:v>
      </x:c>
      <x:c r="D235" s="8" t="n">
        <x:f>IF(ISNUMBER('Monthly data'!H235),LN(1+'Monthly data'!H235),"")</x:f>
        <x:v>3.4969801770388713</x:v>
      </x:c>
      <x:c r="E235" s="8" t="n">
        <x:f>IF(ISNUMBER('Monthly data'!I235),LN(1+'Monthly data'!I235),"")</x:f>
        <x:v>2.686744845274874</x:v>
      </x:c>
      <x:c r="F235" s="8" t="n">
        <x:f>IF(ISNUMBER('Monthly data'!J235),LN(1+'Monthly data'!J235),"")</x:f>
        <x:v>2.434630381913265</x:v>
      </x:c>
      <x:c r="G235" s="8" t="n">
        <x:f>IF(ISNUMBER('Monthly data'!K235),LN(1+'Monthly data'!K235),"")</x:f>
        <x:v>2.1103222853057</x:v>
      </x:c>
      <x:c r="H235" s="8" t="n">
        <x:f>IF(ISNUMBER('Monthly data'!L235),LN(1+'Monthly data'!L235),"")</x:f>
        <x:v>1.149527178136215</x:v>
      </x:c>
      <x:c r="I235" s="8" t="n">
        <x:f>IF(ISNUMBER('Monthly data'!M235),LN(1+'Monthly data'!M235),"")</x:f>
        <x:v>1.2502741596927784</x:v>
      </x:c>
      <x:c r="J235" s="8" t="n">
        <x:f>IF(ISNUMBER('Monthly data'!N235),LN(1+'Monthly data'!N235),"")</x:f>
        <x:v>2.418205792485746</x:v>
      </x:c>
      <x:c r="K235" s="8" t="n">
        <x:f>IF(COUNT('Monthly data'!F233:F235)=3,'Monthly data'!F235-2*'Monthly data'!F234+'Monthly data'!F233,"")</x:f>
        <x:v>7.769999999999996</x:v>
      </x:c>
      <x:c r="L235" s="8" t="n">
        <x:f>IF(COUNT('Monthly data'!G233:G235)=3,'Monthly data'!G235-2*'Monthly data'!G234+'Monthly data'!G233,"")</x:f>
        <x:v>-15.491799999999998</x:v>
      </x:c>
      <x:c r="M235" s="8" t="n">
        <x:f>IF(COUNT('Monthly data'!H233:H235)=3,'Monthly data'!H235-2*'Monthly data'!H234+'Monthly data'!H233,"")</x:f>
        <x:v>8.470399999999998</x:v>
      </x:c>
      <x:c r="N235" s="8" t="n">
        <x:f>IF(COUNT('Monthly data'!I233:I235)=3,'Monthly data'!I235-2*'Monthly data'!I234+'Monthly data'!I233,"")</x:f>
        <x:v>5.373199999999999</x:v>
      </x:c>
      <x:c r="O235" s="8" t="n">
        <x:f>IF(COUNT('Monthly data'!J233:J235)=3,'Monthly data'!J235-2*'Monthly data'!J234+'Monthly data'!J233,"")</x:f>
        <x:v>3.6754</x:v>
      </x:c>
      <x:c r="P235" s="8" t="n">
        <x:f>IF(COUNT('Monthly data'!K233:K235)=3,'Monthly data'!K235-2*'Monthly data'!K234+'Monthly data'!K233,"")</x:f>
        <x:v>-3.6519000000000013</x:v>
      </x:c>
      <x:c r="Q235" s="8" t="n">
        <x:f>IF(COUNT('Monthly data'!L233:L235)=3,'Monthly data'!L235-2*'Monthly data'!L234+'Monthly data'!L233,"")</x:f>
        <x:v>2.1303</x:v>
      </x:c>
      <x:c r="R235" s="8" t="n">
        <x:f>IF(COUNT('Monthly data'!M233:M235)=3,'Monthly data'!M235-2*'Monthly data'!M234+'Monthly data'!M233,"")</x:f>
        <x:v>2.9932</x:v>
      </x:c>
      <x:c r="S235" s="8" t="n">
        <x:f>IF(COUNT('Monthly data'!N233:N235)=3,'Monthly data'!N235-2*'Monthly data'!N234+'Monthly data'!N233,"")</x:f>
        <x:v>4.271299999999998</x:v>
      </x:c>
      <x:c r="T235" s="8" t="n">
        <x:f>IF(COUNT('Monthly data'!E234:E235)=2,'Monthly data'!E235-'Monthly data'!E234,"")</x:f>
        <x:v>0.0018101065000006855</x:v>
      </x:c>
    </x:row>
    <x:row r="236" ht="19" customHeight="1">
      <x:c r="A236" s="7" t="n">
        <x:f>'Monthly data'!A236</x:f>
        <x:v>39995</x:v>
      </x:c>
      <x:c r="B236" s="8" t="n">
        <x:f>IF(ISNUMBER('Monthly data'!F236),LN(1+'Monthly data'!F236),"")</x:f>
        <x:v>4.498475447317128</x:v>
      </x:c>
      <x:c r="C236" s="8" t="n">
        <x:f>IF(ISNUMBER('Monthly data'!G236),LN(1+'Monthly data'!G236),"")</x:f>
        <x:v>3.106826321059578</x:v>
      </x:c>
      <x:c r="D236" s="8" t="n">
        <x:f>IF(ISNUMBER('Monthly data'!H236),LN(1+'Monthly data'!H236),"")</x:f>
        <x:v>3.208518371151765</x:v>
      </x:c>
      <x:c r="E236" s="8" t="n">
        <x:f>IF(ISNUMBER('Monthly data'!I236),LN(1+'Monthly data'!I236),"")</x:f>
        <x:v>2.629584027822777</x:v>
      </x:c>
      <x:c r="F236" s="8" t="n">
        <x:f>IF(ISNUMBER('Monthly data'!J236),LN(1+'Monthly data'!J236),"")</x:f>
        <x:v>2.4081335909820867</x:v>
      </x:c>
      <x:c r="G236" s="8" t="n">
        <x:f>IF(ISNUMBER('Monthly data'!K236),LN(1+'Monthly data'!K236),"")</x:f>
        <x:v>1.3884420531773494</x:v>
      </x:c>
      <x:c r="H236" s="8" t="n">
        <x:f>IF(ISNUMBER('Monthly data'!L236),LN(1+'Monthly data'!L236),"")</x:f>
        <x:v>1.9738587791047708</x:v>
      </x:c>
      <x:c r="I236" s="8" t="n">
        <x:f>IF(ISNUMBER('Monthly data'!M236),LN(1+'Monthly data'!M236),"")</x:f>
        <x:v>0.7359192724038142</x:v>
      </x:c>
      <x:c r="J236" s="8" t="n">
        <x:f>IF(ISNUMBER('Monthly data'!N236),LN(1+'Monthly data'!N236),"")</x:f>
        <x:v>2.4433812829594297</x:v>
      </x:c>
      <x:c r="K236" s="8" t="n">
        <x:f>IF(COUNT('Monthly data'!F234:F236)=3,'Monthly data'!F236-2*'Monthly data'!F235+'Monthly data'!F234,"")</x:f>
        <x:v>-18.819999999999993</x:v>
      </x:c>
      <x:c r="L236" s="8" t="n">
        <x:f>IF(COUNT('Monthly data'!G234:G236)=3,'Monthly data'!G236-2*'Monthly data'!G235+'Monthly data'!G234,"")</x:f>
        <x:v>10.608099999999997</x:v>
      </x:c>
      <x:c r="M236" s="8" t="n">
        <x:f>IF(COUNT('Monthly data'!H234:H236)=3,'Monthly data'!H236-2*'Monthly data'!H235+'Monthly data'!H234,"")</x:f>
        <x:v>-16.145399999999995</x:v>
      </x:c>
      <x:c r="N236" s="8" t="n">
        <x:f>IF(COUNT('Monthly data'!I234:I236)=3,'Monthly data'!I236-2*'Monthly data'!I235+'Monthly data'!I234,"")</x:f>
        <x:v>-4.017199999999999</x:v>
      </x:c>
      <x:c r="O236" s="8" t="n">
        <x:f>IF(COUNT('Monthly data'!J234:J236)=3,'Monthly data'!J236-2*'Monthly data'!J235+'Monthly data'!J234,"")</x:f>
        <x:v>-4.860099999999999</x:v>
      </x:c>
      <x:c r="P236" s="8" t="n">
        <x:f>IF(COUNT('Monthly data'!K234:K236)=3,'Monthly data'!K236-2*'Monthly data'!K235+'Monthly data'!K234,"")</x:f>
        <x:v>-2.8705999999999996</x:v>
      </x:c>
      <x:c r="Q236" s="8" t="n">
        <x:f>IF(COUNT('Monthly data'!L234:L236)=3,'Monthly data'!L236-2*'Monthly data'!L235+'Monthly data'!L234,"")</x:f>
        <x:v>2.1893000000000007</x:v>
      </x:c>
      <x:c r="R236" s="8" t="n">
        <x:f>IF(COUNT('Monthly data'!M234:M236)=3,'Monthly data'!M236-2*'Monthly data'!M235+'Monthly data'!M234,"")</x:f>
        <x:v>-3.7938</x:v>
      </x:c>
      <x:c r="S236" s="8" t="n">
        <x:f>IF(COUNT('Monthly data'!N234:N236)=3,'Monthly data'!N236-2*'Monthly data'!N235+'Monthly data'!N234,"")</x:f>
        <x:v>0.06950000000000145</x:v>
      </x:c>
      <x:c r="T236" s="8" t="n">
        <x:f>IF(COUNT('Monthly data'!E235:E236)=2,'Monthly data'!E236-'Monthly data'!E235,"")</x:f>
        <x:v>0.013119875199999242</x:v>
      </x:c>
    </x:row>
    <x:row r="237" ht="19" customHeight="1">
      <x:c r="A237" s="7" t="n">
        <x:f>'Monthly data'!A237</x:f>
        <x:v>40026</x:v>
      </x:c>
      <x:c r="B237" s="8" t="n">
        <x:f>IF(ISNUMBER('Monthly data'!F237),LN(1+'Monthly data'!F237),"")</x:f>
        <x:v>4.469350462845556</x:v>
      </x:c>
      <x:c r="C237" s="8" t="n">
        <x:f>IF(ISNUMBER('Monthly data'!G237),LN(1+'Monthly data'!G237),"")</x:f>
        <x:v>3.1373793943848356</x:v>
      </x:c>
      <x:c r="D237" s="8" t="n">
        <x:f>IF(ISNUMBER('Monthly data'!H237),LN(1+'Monthly data'!H237),"")</x:f>
        <x:v>3.3124426677615952</x:v>
      </x:c>
      <x:c r="E237" s="8" t="n">
        <x:f>IF(ISNUMBER('Monthly data'!I237),LN(1+'Monthly data'!I237),"")</x:f>
        <x:v>2.8450198428348648</x:v>
      </x:c>
      <x:c r="F237" s="8" t="n">
        <x:f>IF(ISNUMBER('Monthly data'!J237),LN(1+'Monthly data'!J237),"")</x:f>
        <x:v>1.766373282837639</x:v>
      </x:c>
      <x:c r="G237" s="8" t="n">
        <x:f>IF(ISNUMBER('Monthly data'!K237),LN(1+'Monthly data'!K237),"")</x:f>
        <x:v>1.105455487150104</x:v>
      </x:c>
      <x:c r="H237" s="8" t="n">
        <x:f>IF(ISNUMBER('Monthly data'!L237),LN(1+'Monthly data'!L237),"")</x:f>
        <x:v>0.9040561942058124</x:v>
      </x:c>
      <x:c r="I237" s="8" t="n">
        <x:f>IF(ISNUMBER('Monthly data'!M237),LN(1+'Monthly data'!M237),"")</x:f>
        <x:v>0.550892132979074</x:v>
      </x:c>
      <x:c r="J237" s="8" t="n">
        <x:f>IF(ISNUMBER('Monthly data'!N237),LN(1+'Monthly data'!N237),"")</x:f>
        <x:v>2.6047616115962793</x:v>
      </x:c>
      <x:c r="K237" s="8" t="n">
        <x:f>IF(COUNT('Monthly data'!F235:F237)=3,'Monthly data'!F237-2*'Monthly data'!F236+'Monthly data'!F235,"")</x:f>
        <x:v>4.810000000000002</x:v>
      </x:c>
      <x:c r="L237" s="8" t="n">
        <x:f>IF(COUNT('Monthly data'!G235:G237)=3,'Monthly data'!G237-2*'Monthly data'!G236+'Monthly data'!G235,"")</x:f>
        <x:v>-2.622200000000003</x:v>
      </x:c>
      <x:c r="M237" s="8" t="n">
        <x:f>IF(COUNT('Monthly data'!H235:H237)=3,'Monthly data'!H237-2*'Monthly data'!H236+'Monthly data'!H235,"")</x:f>
        <x:v>10.9829</x:v>
      </x:c>
      <x:c r="N237" s="8" t="n">
        <x:f>IF(COUNT('Monthly data'!I235:I237)=3,'Monthly data'!I237-2*'Monthly data'!I236+'Monthly data'!I235,"")</x:f>
        <x:v>4.1496999999999975</x:v>
      </x:c>
      <x:c r="O237" s="8" t="n">
        <x:f>IF(COUNT('Monthly data'!J235:J237)=3,'Monthly data'!J237-2*'Monthly data'!J236+'Monthly data'!J235,"")</x:f>
        <x:v>-4.965200000000003</x:v>
      </x:c>
      <x:c r="P237" s="8" t="n">
        <x:f>IF(COUNT('Monthly data'!K235:K237)=3,'Monthly data'!K237-2*'Monthly data'!K236+'Monthly data'!K235,"")</x:f>
        <x:v>3.2542999999999997</x:v>
      </x:c>
      <x:c r="Q237" s="8" t="n">
        <x:f>IF(COUNT('Monthly data'!L235:L237)=3,'Monthly data'!L237-2*'Monthly data'!L236+'Monthly data'!L235,"")</x:f>
        <x:v>-8.770500000000002</x:v>
      </x:c>
      <x:c r="R237" s="8" t="n">
        <x:f>IF(COUNT('Monthly data'!M235:M237)=3,'Monthly data'!M237-2*'Monthly data'!M236+'Monthly data'!M235,"")</x:f>
        <x:v>1.0513</x:v>
      </x:c>
      <x:c r="S237" s="8" t="n">
        <x:f>IF(COUNT('Monthly data'!N235:N237)=3,'Monthly data'!N237-2*'Monthly data'!N236+'Monthly data'!N235,"")</x:f>
        <x:v>1.7298999999999989</x:v>
      </x:c>
      <x:c r="T237" s="8" t="n">
        <x:f>IF(COUNT('Monthly data'!E236:E237)=2,'Monthly data'!E237-'Monthly data'!E236,"")</x:f>
        <x:v>-0.0073773412999997845</x:v>
      </x:c>
    </x:row>
    <x:row r="238" ht="19" customHeight="1">
      <x:c r="A238" s="7" t="n">
        <x:f>'Monthly data'!A238</x:f>
        <x:v>40057</x:v>
      </x:c>
      <x:c r="B238" s="8" t="n">
        <x:f>IF(ISNUMBER('Monthly data'!F238),LN(1+'Monthly data'!F238),"")</x:f>
        <x:v>4.525044141508807</x:v>
      </x:c>
      <x:c r="C238" s="8" t="n">
        <x:f>IF(ISNUMBER('Monthly data'!G238),LN(1+'Monthly data'!G238),"")</x:f>
        <x:v>3.2829167222115867</x:v>
      </x:c>
      <x:c r="D238" s="8" t="n">
        <x:f>IF(ISNUMBER('Monthly data'!H238),LN(1+'Monthly data'!H238),"")</x:f>
        <x:v>3.322669914320836</x:v>
      </x:c>
      <x:c r="E238" s="8" t="n">
        <x:f>IF(ISNUMBER('Monthly data'!I238),LN(1+'Monthly data'!I238),"")</x:f>
        <x:v>2.780842069475933</x:v>
      </x:c>
      <x:c r="F238" s="8" t="n">
        <x:f>IF(ISNUMBER('Monthly data'!J238),LN(1+'Monthly data'!J238),"")</x:f>
        <x:v>1.2991557033031274</x:v>
      </x:c>
      <x:c r="G238" s="8" t="n">
        <x:f>IF(ISNUMBER('Monthly data'!K238),LN(1+'Monthly data'!K238),"")</x:f>
        <x:v>2.1768517875282822</x:v>
      </x:c>
      <x:c r="H238" s="8" t="n">
        <x:f>IF(ISNUMBER('Monthly data'!L238),LN(1+'Monthly data'!L238),"")</x:f>
        <x:v>1.1736888392173441</x:v>
      </x:c>
      <x:c r="I238" s="8" t="n">
        <x:f>IF(ISNUMBER('Monthly data'!M238),LN(1+'Monthly data'!M238),"")</x:f>
        <x:v>1.1511414856799502</x:v>
      </x:c>
      <x:c r="J238" s="8" t="n">
        <x:f>IF(ISNUMBER('Monthly data'!N238),LN(1+'Monthly data'!N238),"")</x:f>
        <x:v>2.2924741492433167</x:v>
      </x:c>
      <x:c r="K238" s="8" t="n">
        <x:f>IF(COUNT('Monthly data'!F236:F238)=3,'Monthly data'!F238-2*'Monthly data'!F237+'Monthly data'!F236,"")</x:f>
        <x:v>7.579999999999998</x:v>
      </x:c>
      <x:c r="L238" s="8" t="n">
        <x:f>IF(COUNT('Monthly data'!G236:G238)=3,'Monthly data'!G238-2*'Monthly data'!G237+'Monthly data'!G236,"")</x:f>
        <x:v>2.916600000000006</x:v>
      </x:c>
      <x:c r="M238" s="8" t="n">
        <x:f>IF(COUNT('Monthly data'!H236:H238)=3,'Monthly data'!H238-2*'Monthly data'!H237+'Monthly data'!H236,"")</x:f>
        <x:v>-2.427500000000002</x:v>
      </x:c>
      <x:c r="N238" s="8" t="n">
        <x:f>IF(COUNT('Monthly data'!I236:I238)=3,'Monthly data'!I238-2*'Monthly data'!I237+'Monthly data'!I236,"")</x:f>
        <x:v>-4.4031999999999965</x:v>
      </x:c>
      <x:c r="O238" s="8" t="n">
        <x:f>IF(COUNT('Monthly data'!J236:J238)=3,'Monthly data'!J238-2*'Monthly data'!J237+'Monthly data'!J236,"")</x:f>
        <x:v>3.0802000000000014</x:v>
      </x:c>
      <x:c r="P238" s="8" t="n">
        <x:f>IF(COUNT('Monthly data'!K236:K238)=3,'Monthly data'!K238-2*'Monthly data'!K237+'Monthly data'!K236,"")</x:f>
        <x:v>6.7859</x:v>
      </x:c>
      <x:c r="Q238" s="8" t="n">
        <x:f>IF(COUNT('Monthly data'!L236:L238)=3,'Monthly data'!L238-2*'Monthly data'!L237+'Monthly data'!L236,"")</x:f>
        <x:v>5.4931</x:v>
      </x:c>
      <x:c r="R238" s="8" t="n">
        <x:f>IF(COUNT('Monthly data'!M236:M238)=3,'Monthly data'!M238-2*'Monthly data'!M237+'Monthly data'!M236,"")</x:f>
        <x:v>1.7795999999999998</x:v>
      </x:c>
      <x:c r="S238" s="8" t="n">
        <x:f>IF(COUNT('Monthly data'!N236:N238)=3,'Monthly data'!N238-2*'Monthly data'!N237+'Monthly data'!N236,"")</x:f>
        <x:v>-5.6447</x:v>
      </x:c>
      <x:c r="T238" s="8" t="n">
        <x:f>IF(COUNT('Monthly data'!E237:E238)=2,'Monthly data'!E238-'Monthly data'!E237,"")</x:f>
        <x:v>0.0059842155999998425</x:v>
      </x:c>
    </x:row>
    <x:row r="239" ht="19" customHeight="1">
      <x:c r="A239" s="7" t="n">
        <x:f>'Monthly data'!A239</x:f>
        <x:v>40087</x:v>
      </x:c>
      <x:c r="B239" s="8" t="n">
        <x:f>IF(ISNUMBER('Monthly data'!F239),LN(1+'Monthly data'!F239),"")</x:f>
        <x:v>4.493568009406789</x:v>
      </x:c>
      <x:c r="C239" s="8" t="n">
        <x:f>IF(ISNUMBER('Monthly data'!G239),LN(1+'Monthly data'!G239),"")</x:f>
        <x:v>3.303738895900183</x:v>
      </x:c>
      <x:c r="D239" s="8" t="n">
        <x:f>IF(ISNUMBER('Monthly data'!H239),LN(1+'Monthly data'!H239),"")</x:f>
        <x:v>3.1965443226616084</x:v>
      </x:c>
      <x:c r="E239" s="8" t="n">
        <x:f>IF(ISNUMBER('Monthly data'!I239),LN(1+'Monthly data'!I239),"")</x:f>
        <x:v>2.8659082857177904</x:v>
      </x:c>
      <x:c r="F239" s="8" t="n">
        <x:f>IF(ISNUMBER('Monthly data'!J239),LN(1+'Monthly data'!J239),"")</x:f>
        <x:v>1.1651799996067806</x:v>
      </x:c>
      <x:c r="G239" s="8" t="n">
        <x:f>IF(ISNUMBER('Monthly data'!K239),LN(1+'Monthly data'!K239),"")</x:f>
        <x:v>2.085361484190826</x:v>
      </x:c>
      <x:c r="H239" s="8" t="n">
        <x:f>IF(ISNUMBER('Monthly data'!L239),LN(1+'Monthly data'!L239),"")</x:f>
        <x:v>1.12320733552349</x:v>
      </x:c>
      <x:c r="I239" s="8" t="n">
        <x:f>IF(ISNUMBER('Monthly data'!M239),LN(1+'Monthly data'!M239),"")</x:f>
        <x:v>0.9222330413297843</x:v>
      </x:c>
      <x:c r="J239" s="8" t="n">
        <x:f>IF(ISNUMBER('Monthly data'!N239),LN(1+'Monthly data'!N239),"")</x:f>
        <x:v>2.3388495175522452</x:v>
      </x:c>
      <x:c r="K239" s="8" t="n">
        <x:f>IF(COUNT('Monthly data'!F237:F239)=3,'Monthly data'!F239-2*'Monthly data'!F238+'Monthly data'!F237,"")</x:f>
        <x:v>-7.859999999999999</x:v>
      </x:c>
      <x:c r="L239" s="8" t="n">
        <x:f>IF(COUNT('Monthly data'!G237:G239)=3,'Monthly data'!G239-2*'Monthly data'!G238+'Monthly data'!G237,"")</x:f>
        <x:v>-3.0492000000000026</x:v>
      </x:c>
      <x:c r="M239" s="8" t="n">
        <x:f>IF(COUNT('Monthly data'!H237:H239)=3,'Monthly data'!H239-2*'Monthly data'!H238+'Monthly data'!H237,"")</x:f>
        <x:v>-3.5686</x:v>
      </x:c>
      <x:c r="N239" s="8" t="n">
        <x:f>IF(COUNT('Monthly data'!I237:I239)=3,'Monthly data'!I239-2*'Monthly data'!I238+'Monthly data'!I237,"")</x:f>
        <x:v>2.5016999999999996</x:v>
      </x:c>
      <x:c r="O239" s="8" t="n">
        <x:f>IF(COUNT('Monthly data'!J237:J239)=3,'Monthly data'!J239-2*'Monthly data'!J238+'Monthly data'!J237,"")</x:f>
        <x:v>1.7237</x:v>
      </x:c>
      <x:c r="P239" s="8" t="n">
        <x:f>IF(COUNT('Monthly data'!K237:K239)=3,'Monthly data'!K239-2*'Monthly data'!K238+'Monthly data'!K237,"")</x:f>
        <x:v>-6.568900000000001</x:v>
      </x:c>
      <x:c r="Q239" s="8" t="n">
        <x:f>IF(COUNT('Monthly data'!L237:L239)=3,'Monthly data'!L239-2*'Monthly data'!L238+'Monthly data'!L237,"")</x:f>
        <x:v>-0.9235000000000004</x:v>
      </x:c>
      <x:c r="R239" s="8" t="n">
        <x:f>IF(COUNT('Monthly data'!M237:M239)=3,'Monthly data'!M239-2*'Monthly data'!M238+'Monthly data'!M237,"")</x:f>
        <x:v>-2.0739</x:v>
      </x:c>
      <x:c r="S239" s="8" t="n">
        <x:f>IF(COUNT('Monthly data'!N237:N239)=3,'Monthly data'!N239-2*'Monthly data'!N238+'Monthly data'!N237,"")</x:f>
        <x:v>4.098500000000001</x:v>
      </x:c>
      <x:c r="T239" s="8" t="n">
        <x:f>IF(COUNT('Monthly data'!E238:E239)=2,'Monthly data'!E239-'Monthly data'!E238,"")</x:f>
        <x:v>0.006191524200000131</x:v>
      </x:c>
    </x:row>
    <x:row r="240" ht="19" customHeight="1">
      <x:c r="A240" s="7" t="n">
        <x:f>'Monthly data'!A240</x:f>
        <x:v>40118</x:v>
      </x:c>
      <x:c r="B240" s="8" t="n">
        <x:f>IF(ISNUMBER('Monthly data'!F240),LN(1+'Monthly data'!F240),"")</x:f>
        <x:v>4.475061500641071</x:v>
      </x:c>
      <x:c r="C240" s="8" t="n">
        <x:f>IF(ISNUMBER('Monthly data'!G240),LN(1+'Monthly data'!G240),"")</x:f>
        <x:v>2.9662880147520965</x:v>
      </x:c>
      <x:c r="D240" s="8" t="n">
        <x:f>IF(ISNUMBER('Monthly data'!H240),LN(1+'Monthly data'!H240),"")</x:f>
        <x:v>3.322893439237584</x:v>
      </x:c>
      <x:c r="E240" s="8" t="n">
        <x:f>IF(ISNUMBER('Monthly data'!I240),LN(1+'Monthly data'!I240),"")</x:f>
        <x:v>3.1141062456841295</x:v>
      </x:c>
      <x:c r="F240" s="8" t="n">
        <x:f>IF(ISNUMBER('Monthly data'!J240),LN(1+'Monthly data'!J240),"")</x:f>
        <x:v>1.1973408615278882</x:v>
      </x:c>
      <x:c r="G240" s="8" t="n">
        <x:f>IF(ISNUMBER('Monthly data'!K240),LN(1+'Monthly data'!K240),"")</x:f>
        <x:v>1.6881196944682952</x:v>
      </x:c>
      <x:c r="H240" s="8" t="n">
        <x:f>IF(ISNUMBER('Monthly data'!L240),LN(1+'Monthly data'!L240),"")</x:f>
        <x:v>1.021731244332152</x:v>
      </x:c>
      <x:c r="I240" s="8" t="n">
        <x:f>IF(ISNUMBER('Monthly data'!M240),LN(1+'Monthly data'!M240),"")</x:f>
        <x:v>0.5577282934522102</x:v>
      </x:c>
      <x:c r="J240" s="8" t="n">
        <x:f>IF(ISNUMBER('Monthly data'!N240),LN(1+'Monthly data'!N240),"")</x:f>
        <x:v>2.474948902240662</x:v>
      </x:c>
      <x:c r="K240" s="8" t="n">
        <x:f>IF(COUNT('Monthly data'!F238:F240)=3,'Monthly data'!F240-2*'Monthly data'!F239+'Monthly data'!F238,"")</x:f>
        <x:v>1.2199999999999989</x:v>
      </x:c>
      <x:c r="L240" s="8" t="n">
        <x:f>IF(COUNT('Monthly data'!G238:G240)=3,'Monthly data'!G240-2*'Monthly data'!G239+'Monthly data'!G238,"")</x:f>
        <x:v>-8.355300000000003</x:v>
      </x:c>
      <x:c r="M240" s="8" t="n">
        <x:f>IF(COUNT('Monthly data'!H238:H240)=3,'Monthly data'!H240-2*'Monthly data'!H239+'Monthly data'!H238,"")</x:f>
        <x:v>6.579000000000001</x:v>
      </x:c>
      <x:c r="N240" s="8" t="n">
        <x:f>IF(COUNT('Monthly data'!I238:I240)=3,'Monthly data'!I240-2*'Monthly data'!I239+'Monthly data'!I238,"")</x:f>
        <x:v>3.5158999999999985</x:v>
      </x:c>
      <x:c r="O240" s="8" t="n">
        <x:f>IF(COUNT('Monthly data'!J238:J240)=3,'Monthly data'!J240-2*'Monthly data'!J239+'Monthly data'!J238,"")</x:f>
        <x:v>0.5644999999999998</x:v>
      </x:c>
      <x:c r="P240" s="8" t="n">
        <x:f>IF(COUNT('Monthly data'!K238:K240)=3,'Monthly data'!K240-2*'Monthly data'!K239+'Monthly data'!K238,"")</x:f>
        <x:v>-1.8672000000000004</x:v>
      </x:c>
      <x:c r="Q240" s="8" t="n">
        <x:f>IF(COUNT('Monthly data'!L238:L240)=3,'Monthly data'!L240-2*'Monthly data'!L239+'Monthly data'!L238,"")</x:f>
        <x:v>-0.13749999999999973</x:v>
      </x:c>
      <x:c r="R240" s="8" t="n">
        <x:f>IF(COUNT('Monthly data'!M238:M240)=3,'Monthly data'!M240-2*'Monthly data'!M239+'Monthly data'!M238,"")</x:f>
        <x:v>-0.12129999999999974</x:v>
      </x:c>
      <x:c r="S240" s="8" t="n">
        <x:f>IF(COUNT('Monthly data'!N238:N240)=3,'Monthly data'!N240-2*'Monthly data'!N239+'Monthly data'!N238,"")</x:f>
        <x:v>1.0418999999999983</x:v>
      </x:c>
      <x:c r="T240" s="8" t="n">
        <x:f>IF(COUNT('Monthly data'!E239:E240)=2,'Monthly data'!E240-'Monthly data'!E239,"")</x:f>
        <x:v>0.0016727134999996451</x:v>
      </x:c>
    </x:row>
    <x:row r="241" ht="19" customHeight="1">
      <x:c r="A241" s="7" t="n">
        <x:f>'Monthly data'!A241</x:f>
        <x:v>40148</x:v>
      </x:c>
      <x:c r="B241" s="8" t="n">
        <x:f>IF(ISNUMBER('Monthly data'!F241),LN(1+'Monthly data'!F241),"")</x:f>
        <x:v>4.622911867464248</x:v>
      </x:c>
      <x:c r="C241" s="8" t="n">
        <x:f>IF(ISNUMBER('Monthly data'!G241),LN(1+'Monthly data'!G241),"")</x:f>
        <x:v>3.2875657171282477</x:v>
      </x:c>
      <x:c r="D241" s="8" t="n">
        <x:f>IF(ISNUMBER('Monthly data'!H241),LN(1+'Monthly data'!H241),"")</x:f>
        <x:v>3.199888704955464</x:v>
      </x:c>
      <x:c r="E241" s="8" t="n">
        <x:f>IF(ISNUMBER('Monthly data'!I241),LN(1+'Monthly data'!I241),"")</x:f>
        <x:v>3.307670277899151</x:v>
      </x:c>
      <x:c r="F241" s="8" t="n">
        <x:f>IF(ISNUMBER('Monthly data'!J241),LN(1+'Monthly data'!J241),"")</x:f>
        <x:v>1.7491128945065824</x:v>
      </x:c>
      <x:c r="G241" s="8" t="n">
        <x:f>IF(ISNUMBER('Monthly data'!K241),LN(1+'Monthly data'!K241),"")</x:f>
        <x:v>1.798321227063196</x:v>
      </x:c>
      <x:c r="H241" s="8" t="n">
        <x:f>IF(ISNUMBER('Monthly data'!L241),LN(1+'Monthly data'!L241),"")</x:f>
        <x:v>0.8192951325479565</x:v>
      </x:c>
      <x:c r="I241" s="8" t="n">
        <x:f>IF(ISNUMBER('Monthly data'!M241),LN(1+'Monthly data'!M241),"")</x:f>
        <x:v>0.9675540258116966</x:v>
      </x:c>
      <x:c r="J241" s="8" t="n">
        <x:f>IF(ISNUMBER('Monthly data'!N241),LN(1+'Monthly data'!N241),"")</x:f>
        <x:v>2.600606034669571</x:v>
      </x:c>
      <x:c r="K241" s="8" t="n">
        <x:f>IF(COUNT('Monthly data'!F239:F241)=3,'Monthly data'!F241-2*'Monthly data'!F240+'Monthly data'!F239,"")</x:f>
        <x:v>15.63000000000001</x:v>
      </x:c>
      <x:c r="L241" s="8" t="n">
        <x:f>IF(COUNT('Monthly data'!G239:G241)=3,'Monthly data'!G241-2*'Monthly data'!G240+'Monthly data'!G239,"")</x:f>
        <x:v>15.152400000000004</x:v>
      </x:c>
      <x:c r="M241" s="8" t="n">
        <x:f>IF(COUNT('Monthly data'!H239:H241)=3,'Monthly data'!H241-2*'Monthly data'!H240+'Monthly data'!H239,"")</x:f>
        <x:v>-6.503299999999999</x:v>
      </x:c>
      <x:c r="N241" s="8" t="n">
        <x:f>IF(COUNT('Monthly data'!I239:I241)=3,'Monthly data'!I241-2*'Monthly data'!I240+'Monthly data'!I239,"")</x:f>
        <x:v>-0.1402000000000001</x:v>
      </x:c>
      <x:c r="O241" s="8" t="n">
        <x:f>IF(COUNT('Monthly data'!J239:J241)=3,'Monthly data'!J241-2*'Monthly data'!J240+'Monthly data'!J239,"")</x:f>
        <x:v>2.3334</x:v>
      </x:c>
      <x:c r="P241" s="8" t="n">
        <x:f>IF(COUNT('Monthly data'!K239:K241)=3,'Monthly data'!K241-2*'Monthly data'!K240+'Monthly data'!K239,"")</x:f>
        <x:v>3.2684000000000006</x:v>
      </x:c>
      <x:c r="Q241" s="8" t="n">
        <x:f>IF(COUNT('Monthly data'!L239:L241)=3,'Monthly data'!L241-2*'Monthly data'!L240+'Monthly data'!L239,"")</x:f>
        <x:v>-0.21240000000000014</x:v>
      </x:c>
      <x:c r="R241" s="8" t="n">
        <x:f>IF(COUNT('Monthly data'!M239:M241)=3,'Monthly data'!M241-2*'Monthly data'!M240+'Monthly data'!M239,"")</x:f>
        <x:v>1.6529999999999998</x:v>
      </x:c>
      <x:c r="S241" s="8" t="n">
        <x:f>IF(COUNT('Monthly data'!N239:N241)=3,'Monthly data'!N241-2*'Monthly data'!N240+'Monthly data'!N239,"")</x:f>
        <x:v>0.07900000000000063</x:v>
      </x:c>
      <x:c r="T241" s="8" t="n">
        <x:f>IF(COUNT('Monthly data'!E240:E241)=2,'Monthly data'!E241-'Monthly data'!E240,"")</x:f>
        <x:v>-0.0041000649999993755</x:v>
      </x:c>
    </x:row>
    <x:row r="242" ht="19" customHeight="1">
      <x:c r="A242" s="7" t="n">
        <x:f>'Monthly data'!A242</x:f>
        <x:v>40179</x:v>
      </x:c>
      <x:c r="B242" s="8" t="n">
        <x:f>IF(ISNUMBER('Monthly data'!F242),LN(1+'Monthly data'!F242),"")</x:f>
        <x:v>4.66041566021407</x:v>
      </x:c>
      <x:c r="C242" s="8" t="n">
        <x:f>IF(ISNUMBER('Monthly data'!G242),LN(1+'Monthly data'!G242),"")</x:f>
        <x:v>2.8778379817088675</x:v>
      </x:c>
      <x:c r="D242" s="8" t="n">
        <x:f>IF(ISNUMBER('Monthly data'!H242),LN(1+'Monthly data'!H242),"")</x:f>
        <x:v>3.352808636913166</x:v>
      </x:c>
      <x:c r="E242" s="8" t="n">
        <x:f>IF(ISNUMBER('Monthly data'!I242),LN(1+'Monthly data'!I242),"")</x:f>
        <x:v>3.6025887264850773</x:v>
      </x:c>
      <x:c r="F242" s="8" t="n">
        <x:f>IF(ISNUMBER('Monthly data'!J242),LN(1+'Monthly data'!J242),"")</x:f>
        <x:v>1.5280109137383713</x:v>
      </x:c>
      <x:c r="G242" s="8" t="n">
        <x:f>IF(ISNUMBER('Monthly data'!K242),LN(1+'Monthly data'!K242),"")</x:f>
        <x:v>1.0659513464285486</x:v>
      </x:c>
      <x:c r="H242" s="8" t="n">
        <x:f>IF(ISNUMBER('Monthly data'!L242),LN(1+'Monthly data'!L242),"")</x:f>
        <x:v>0.5387714754163895</x:v>
      </x:c>
      <x:c r="I242" s="8" t="n">
        <x:f>IF(ISNUMBER('Monthly data'!M242),LN(1+'Monthly data'!M242),"")</x:f>
        <x:v>1.0795314008553176</x:v>
      </x:c>
      <x:c r="J242" s="8" t="n">
        <x:f>IF(ISNUMBER('Monthly data'!N242),LN(1+'Monthly data'!N242),"")</x:f>
        <x:v>2.8598266360680036</x:v>
      </x:c>
      <x:c r="K242" s="8" t="n">
        <x:f>IF(COUNT('Monthly data'!F240:F242)=3,'Monthly data'!F242-2*'Monthly data'!F241+'Monthly data'!F240,"")</x:f>
        <x:v>-10.100000000000009</x:v>
      </x:c>
      <x:c r="L242" s="8" t="n">
        <x:f>IF(COUNT('Monthly data'!G240:G242)=3,'Monthly data'!G242-2*'Monthly data'!G241+'Monthly data'!G240,"")</x:f>
        <x:v>-16.359699999999997</x:v>
      </x:c>
      <x:c r="M242" s="8" t="n">
        <x:f>IF(COUNT('Monthly data'!H240:H242)=3,'Monthly data'!H242-2*'Monthly data'!H241+'Monthly data'!H240,"")</x:f>
        <x:v>7.263799999999996</x:v>
      </x:c>
      <x:c r="N242" s="8" t="n">
        <x:f>IF(COUNT('Monthly data'!I240:I242)=3,'Monthly data'!I242-2*'Monthly data'!I241+'Monthly data'!I240,"")</x:f>
        <x:v>4.563600000000001</x:v>
      </x:c>
      <x:c r="O242" s="8" t="n">
        <x:f>IF(COUNT('Monthly data'!J240:J242)=3,'Monthly data'!J242-2*'Monthly data'!J241+'Monthly data'!J240,"")</x:f>
        <x:v>-3.5787000000000004</x:v>
      </x:c>
      <x:c r="P242" s="8" t="n">
        <x:f>IF(COUNT('Monthly data'!K240:K242)=3,'Monthly data'!K242-2*'Monthly data'!K241+'Monthly data'!K240,"")</x:f>
        <x:v>-3.7661</x:v>
      </x:c>
      <x:c r="Q242" s="8" t="n">
        <x:f>IF(COUNT('Monthly data'!L240:L242)=3,'Monthly data'!L242-2*'Monthly data'!L241+'Monthly data'!L240,"")</x:f>
        <x:v>-0.04589999999999983</x:v>
      </x:c>
      <x:c r="R242" s="8" t="n">
        <x:f>IF(COUNT('Monthly data'!M240:M242)=3,'Monthly data'!M242-2*'Monthly data'!M241+'Monthly data'!M240,"")</x:f>
        <x:v>-0.5729999999999998</x:v>
      </x:c>
      <x:c r="S242" s="8" t="n">
        <x:f>IF(COUNT('Monthly data'!N240:N242)=3,'Monthly data'!N242-2*'Monthly data'!N241+'Monthly data'!N240,"")</x:f>
        <x:v>2.3958000000000013</x:v>
      </x:c>
      <x:c r="T242" s="8" t="n">
        <x:f>IF(COUNT('Monthly data'!E241:E242)=2,'Monthly data'!E242-'Monthly data'!E241,"")</x:f>
        <x:v>0.0024808462999992287</x:v>
      </x:c>
    </x:row>
    <x:row r="243" ht="19" customHeight="1">
      <x:c r="A243" s="7" t="n">
        <x:f>'Monthly data'!A243</x:f>
        <x:v>40210</x:v>
      </x:c>
      <x:c r="B243" s="8" t="n">
        <x:f>IF(ISNUMBER('Monthly data'!F243),LN(1+'Monthly data'!F243),"")</x:f>
        <x:v>4.56611745872439</x:v>
      </x:c>
      <x:c r="C243" s="8" t="n">
        <x:f>IF(ISNUMBER('Monthly data'!G243),LN(1+'Monthly data'!G243),"")</x:f>
        <x:v>3.083793515908731</x:v>
      </x:c>
      <x:c r="D243" s="8" t="n">
        <x:f>IF(ISNUMBER('Monthly data'!H243),LN(1+'Monthly data'!H243),"")</x:f>
        <x:v>3.4665855417543043</x:v>
      </x:c>
      <x:c r="E243" s="8" t="n">
        <x:f>IF(ISNUMBER('Monthly data'!I243),LN(1+'Monthly data'!I243),"")</x:f>
        <x:v>2.8787601590121867</x:v>
      </x:c>
      <x:c r="F243" s="8" t="n">
        <x:f>IF(ISNUMBER('Monthly data'!J243),LN(1+'Monthly data'!J243),"")</x:f>
        <x:v>1.4837839823971477</x:v>
      </x:c>
      <x:c r="G243" s="8" t="n">
        <x:f>IF(ISNUMBER('Monthly data'!K243),LN(1+'Monthly data'!K243),"")</x:f>
        <x:v>2.0674195664525103</x:v>
      </x:c>
      <x:c r="H243" s="8" t="n">
        <x:f>IF(ISNUMBER('Monthly data'!L243),LN(1+'Monthly data'!L243),"")</x:f>
        <x:v>0.9791528486307817</x:v>
      </x:c>
      <x:c r="I243" s="8" t="n">
        <x:f>IF(ISNUMBER('Monthly data'!M243),LN(1+'Monthly data'!M243),"")</x:f>
        <x:v>0.9791528486307817</x:v>
      </x:c>
      <x:c r="J243" s="8" t="n">
        <x:f>IF(ISNUMBER('Monthly data'!N243),LN(1+'Monthly data'!N243),"")</x:f>
        <x:v>2.629814748248326</x:v>
      </x:c>
      <x:c r="K243" s="8" t="n">
        <x:f>IF(COUNT('Monthly data'!F241:F243)=3,'Monthly data'!F243-2*'Monthly data'!F242+'Monthly data'!F241,"")</x:f>
        <x:v>-13.400000000000006</x:v>
      </x:c>
      <x:c r="L243" s="8" t="n">
        <x:f>IF(COUNT('Monthly data'!G241:G243)=3,'Monthly data'!G243-2*'Monthly data'!G242+'Monthly data'!G241,"")</x:f>
        <x:v>13.0671</x:v>
      </x:c>
      <x:c r="M243" s="8" t="n">
        <x:f>IF(COUNT('Monthly data'!H241:H243)=3,'Monthly data'!H243-2*'Monthly data'!H242+'Monthly data'!H241,"")</x:f>
        <x:v>-0.6087999999999951</x:v>
      </x:c>
      <x:c r="N243" s="8" t="n">
        <x:f>IF(COUNT('Monthly data'!I241:I243)=3,'Monthly data'!I243-2*'Monthly data'!I242+'Monthly data'!I241,"")</x:f>
        <x:v>-28.2726</x:v>
      </x:c>
      <x:c r="O243" s="8" t="n">
        <x:f>IF(COUNT('Monthly data'!J241:J243)=3,'Monthly data'!J243-2*'Monthly data'!J242+'Monthly data'!J241,"")</x:f>
        <x:v>0.9411000000000005</x:v>
      </x:c>
      <x:c r="P243" s="8" t="n">
        <x:f>IF(COUNT('Monthly data'!K241:K243)=3,'Monthly data'!K243-2*'Monthly data'!K242+'Monthly data'!K241,"")</x:f>
        <x:v>8.136700000000001</x:v>
      </x:c>
      <x:c r="Q243" s="8" t="n">
        <x:f>IF(COUNT('Monthly data'!L241:L243)=3,'Monthly data'!L243-2*'Monthly data'!L242+'Monthly data'!L241,"")</x:f>
        <x:v>1.5032999999999999</x:v>
      </x:c>
      <x:c r="R243" s="8" t="n">
        <x:f>IF(COUNT('Monthly data'!M241:M243)=3,'Monthly data'!M243-2*'Monthly data'!M242+'Monthly data'!M241,"")</x:f>
        <x:v>-0.5929000000000002</x:v>
      </x:c>
      <x:c r="S243" s="8" t="n">
        <x:f>IF(COUNT('Monthly data'!N241:N243)=3,'Monthly data'!N243-2*'Monthly data'!N242+'Monthly data'!N241,"")</x:f>
        <x:v>-7.5739</x:v>
      </x:c>
      <x:c r="T243" s="8" t="n">
        <x:f>IF(COUNT('Monthly data'!E242:E243)=2,'Monthly data'!E243-'Monthly data'!E242,"")</x:f>
        <x:v>0.00424173970000119</x:v>
      </x:c>
    </x:row>
    <x:row r="244" ht="19" customHeight="1">
      <x:c r="A244" s="7" t="n">
        <x:f>'Monthly data'!A244</x:f>
        <x:v>40238</x:v>
      </x:c>
      <x:c r="B244" s="8" t="n">
        <x:f>IF(ISNUMBER('Monthly data'!F244),LN(1+'Monthly data'!F244),"")</x:f>
        <x:v>4.548176464467971</x:v>
      </x:c>
      <x:c r="C244" s="8" t="n">
        <x:f>IF(ISNUMBER('Monthly data'!G244),LN(1+'Monthly data'!G244),"")</x:f>
        <x:v>2.769383591290833</x:v>
      </x:c>
      <x:c r="D244" s="8" t="n">
        <x:f>IF(ISNUMBER('Monthly data'!H244),LN(1+'Monthly data'!H244),"")</x:f>
        <x:v>3.591553243484432</x:v>
      </x:c>
      <x:c r="E244" s="8" t="n">
        <x:f>IF(ISNUMBER('Monthly data'!I244),LN(1+'Monthly data'!I244),"")</x:f>
        <x:v>3.0531942524245244</x:v>
      </x:c>
      <x:c r="F244" s="8" t="n">
        <x:f>IF(ISNUMBER('Monthly data'!J244),LN(1+'Monthly data'!J244),"")</x:f>
        <x:v>1.5782155272053893</x:v>
      </x:c>
      <x:c r="G244" s="8" t="n">
        <x:f>IF(ISNUMBER('Monthly data'!K244),LN(1+'Monthly data'!K244),"")</x:f>
        <x:v>1.307332319316595</x:v>
      </x:c>
      <x:c r="H244" s="8" t="n">
        <x:f>IF(ISNUMBER('Monthly data'!L244),LN(1+'Monthly data'!L244),"")</x:f>
        <x:v>0.2755082715200721</x:v>
      </x:c>
      <x:c r="I244" s="8" t="n">
        <x:f>IF(ISNUMBER('Monthly data'!M244),LN(1+'Monthly data'!M244),"")</x:f>
        <x:v>1.307332319316595</x:v>
      </x:c>
      <x:c r="J244" s="8" t="n">
        <x:f>IF(ISNUMBER('Monthly data'!N244),LN(1+'Monthly data'!N244),"")</x:f>
        <x:v>2.6728857833812576</x:v>
      </x:c>
      <x:c r="K244" s="8" t="n">
        <x:f>IF(COUNT('Monthly data'!F242:F244)=3,'Monthly data'!F244-2*'Monthly data'!F243+'Monthly data'!F242,"")</x:f>
        <x:v>7.799999999999997</x:v>
      </x:c>
      <x:c r="L244" s="8" t="n">
        <x:f>IF(COUNT('Monthly data'!G242:G244)=3,'Monthly data'!G244-2*'Monthly data'!G243+'Monthly data'!G242,"")</x:f>
        <x:v>-9.957600000000003</x:v>
      </x:c>
      <x:c r="M244" s="8" t="n">
        <x:f>IF(COUNT('Monthly data'!H242:H244)=3,'Monthly data'!H244-2*'Monthly data'!H243+'Monthly data'!H242,"")</x:f>
        <x:v>0.8188999999999957</x:v>
      </x:c>
      <x:c r="N244" s="8" t="n">
        <x:f>IF(COUNT('Monthly data'!I242:I244)=3,'Monthly data'!I244-2*'Monthly data'!I243+'Monthly data'!I242,"")</x:f>
        <x:v>22.2916</x:v>
      </x:c>
      <x:c r="O244" s="8" t="n">
        <x:f>IF(COUNT('Monthly data'!J242:J244)=3,'Monthly data'!J244-2*'Monthly data'!J243+'Monthly data'!J242,"")</x:f>
        <x:v>0.6360999999999994</x:v>
      </x:c>
      <x:c r="P244" s="8" t="n">
        <x:f>IF(COUNT('Monthly data'!K242:K244)=3,'Monthly data'!K244-2*'Monthly data'!K243+'Monthly data'!K242,"")</x:f>
        <x:v>-9.2089</x:v>
      </x:c>
      <x:c r="Q244" s="8" t="n">
        <x:f>IF(COUNT('Monthly data'!L242:L244)=3,'Monthly data'!L244-2*'Monthly data'!L243+'Monthly data'!L242,"")</x:f>
        <x:v>-2.2932999999999995</x:v>
      </x:c>
      <x:c r="R244" s="8" t="n">
        <x:f>IF(COUNT('Monthly data'!M242:M244)=3,'Monthly data'!M244-2*'Monthly data'!M243+'Monthly data'!M242,"")</x:f>
        <x:v>1.3152000000000001</x:v>
      </x:c>
      <x:c r="S244" s="8" t="n">
        <x:f>IF(COUNT('Monthly data'!N242:N244)=3,'Monthly data'!N244-2*'Monthly data'!N243+'Monthly data'!N242,"")</x:f>
        <x:v>4.197800000000001</x:v>
      </x:c>
      <x:c r="T244" s="8" t="n">
        <x:f>IF(COUNT('Monthly data'!E243:E244)=2,'Monthly data'!E244-'Monthly data'!E243,"")</x:f>
        <x:v>0.003308909299999385</x:v>
      </x:c>
    </x:row>
    <x:row r="245" ht="19" customHeight="1">
      <x:c r="A245" s="7" t="n">
        <x:f>'Monthly data'!A245</x:f>
        <x:v>40269</x:v>
      </x:c>
      <x:c r="B245" s="8" t="n">
        <x:f>IF(ISNUMBER('Monthly data'!F245),LN(1+'Monthly data'!F245),"")</x:f>
        <x:v>4.527100530566169</x:v>
      </x:c>
      <x:c r="C245" s="8" t="n">
        <x:f>IF(ISNUMBER('Monthly data'!G245),LN(1+'Monthly data'!G245),"")</x:f>
        <x:v>2.8005564535738006</x:v>
      </x:c>
      <x:c r="D245" s="8" t="n">
        <x:f>IF(ISNUMBER('Monthly data'!H245),LN(1+'Monthly data'!H245),"")</x:f>
        <x:v>3.327902412265445</x:v>
      </x:c>
      <x:c r="E245" s="8" t="n">
        <x:f>IF(ISNUMBER('Monthly data'!I245),LN(1+'Monthly data'!I245),"")</x:f>
        <x:v>2.904838825613702</x:v>
      </x:c>
      <x:c r="F245" s="8" t="n">
        <x:f>IF(ISNUMBER('Monthly data'!J245),LN(1+'Monthly data'!J245),"")</x:f>
        <x:v>1.6628838881397263</x:v>
      </x:c>
      <x:c r="G245" s="8" t="n">
        <x:f>IF(ISNUMBER('Monthly data'!K245),LN(1+'Monthly data'!K245),"")</x:f>
        <x:v>2.1473922035883435</x:v>
      </x:c>
      <x:c r="H245" s="8" t="n">
        <x:f>IF(ISNUMBER('Monthly data'!L245),LN(1+'Monthly data'!L245),"")</x:f>
        <x:v>1.678348113837308</x:v>
      </x:c>
      <x:c r="I245" s="8" t="n">
        <x:f>IF(ISNUMBER('Monthly data'!M245),LN(1+'Monthly data'!M245),"")</x:f>
        <x:v>1.194407199456235</x:v>
      </x:c>
      <x:c r="J245" s="8" t="n">
        <x:f>IF(ISNUMBER('Monthly data'!N245),LN(1+'Monthly data'!N245),"")</x:f>
        <x:v>2.6671448697762066</x:v>
      </x:c>
      <x:c r="K245" s="8" t="n">
        <x:f>IF(COUNT('Monthly data'!F243:F245)=3,'Monthly data'!F245-2*'Monthly data'!F244+'Monthly data'!F243,"")</x:f>
        <x:v>-0.2599999999999909</x:v>
      </x:c>
      <x:c r="L245" s="8" t="n">
        <x:f>IF(COUNT('Monthly data'!G243:G245)=3,'Monthly data'!G245-2*'Monthly data'!G244+'Monthly data'!G243,"")</x:f>
        <x:v>6.3972999999999995</x:v>
      </x:c>
      <x:c r="M245" s="8" t="n">
        <x:f>IF(COUNT('Monthly data'!H243:H245)=3,'Monthly data'!H245-2*'Monthly data'!H244+'Monthly data'!H243,"")</x:f>
        <x:v>-12.673799999999993</x:v>
      </x:c>
      <x:c r="N245" s="8" t="n">
        <x:f>IF(COUNT('Monthly data'!I243:I245)=3,'Monthly data'!I245-2*'Monthly data'!I244+'Monthly data'!I243,"")</x:f>
        <x:v>-6.311299999999999</x:v>
      </x:c>
      <x:c r="O245" s="8" t="n">
        <x:f>IF(COUNT('Monthly data'!J243:J245)=3,'Monthly data'!J245-2*'Monthly data'!J244+'Monthly data'!J243,"")</x:f>
        <x:v>-0.00849999999999973</x:v>
      </x:c>
      <x:c r="P245" s="8" t="n">
        <x:f>IF(COUNT('Monthly data'!K243:K245)=3,'Monthly data'!K245-2*'Monthly data'!K244+'Monthly data'!K243,"")</x:f>
        <x:v>9.074300000000001</x:v>
      </x:c>
      <x:c r="Q245" s="8" t="n">
        <x:f>IF(COUNT('Monthly data'!L243:L245)=3,'Monthly data'!L245-2*'Monthly data'!L244+'Monthly data'!L243,"")</x:f>
        <x:v>5.3845</x:v>
      </x:c>
      <x:c r="R245" s="8" t="n">
        <x:f>IF(COUNT('Monthly data'!M243:M245)=3,'Monthly data'!M245-2*'Monthly data'!M244+'Monthly data'!M243,"")</x:f>
        <x:v>-1.4287999999999998</x:v>
      </x:c>
      <x:c r="S245" s="8" t="n">
        <x:f>IF(COUNT('Monthly data'!N243:N245)=3,'Monthly data'!N245-2*'Monthly data'!N244+'Monthly data'!N243,"")</x:f>
        <x:v>-0.6934000000000005</x:v>
      </x:c>
      <x:c r="T245" s="8" t="n">
        <x:f>IF(COUNT('Monthly data'!E244:E245)=2,'Monthly data'!E245-'Monthly data'!E244,"")</x:f>
        <x:v>-0.003314974400000281</x:v>
      </x:c>
    </x:row>
    <x:row r="246" ht="19" customHeight="1">
      <x:c r="A246" s="7" t="n">
        <x:f>'Monthly data'!A246</x:f>
        <x:v>40299</x:v>
      </x:c>
      <x:c r="B246" s="8" t="n">
        <x:f>IF(ISNUMBER('Monthly data'!F246),LN(1+'Monthly data'!F246),"")</x:f>
        <x:v>4.7032945839812905</x:v>
      </x:c>
      <x:c r="C246" s="8" t="n">
        <x:f>IF(ISNUMBER('Monthly data'!G246),LN(1+'Monthly data'!G246),"")</x:f>
        <x:v>3.1076716012934535</x:v>
      </x:c>
      <x:c r="D246" s="8" t="n">
        <x:f>IF(ISNUMBER('Monthly data'!H246),LN(1+'Monthly data'!H246),"")</x:f>
        <x:v>3.3707553561604198</x:v>
      </x:c>
      <x:c r="E246" s="8" t="n">
        <x:f>IF(ISNUMBER('Monthly data'!I246),LN(1+'Monthly data'!I246),"")</x:f>
        <x:v>3.3720980738368804</x:v>
      </x:c>
      <x:c r="F246" s="8" t="n">
        <x:f>IF(ISNUMBER('Monthly data'!J246),LN(1+'Monthly data'!J246),"")</x:f>
        <x:v>2.1042804850267545</x:v>
      </x:c>
      <x:c r="G246" s="8" t="n">
        <x:f>IF(ISNUMBER('Monthly data'!K246),LN(1+'Monthly data'!K246),"")</x:f>
        <x:v>1.5759638555763835</x:v>
      </x:c>
      <x:c r="H246" s="8" t="n">
        <x:f>IF(ISNUMBER('Monthly data'!L246),LN(1+'Monthly data'!L246),"")</x:f>
        <x:v>0.5781290689756788</x:v>
      </x:c>
      <x:c r="I246" s="8" t="n">
        <x:f>IF(ISNUMBER('Monthly data'!M246),LN(1+'Monthly data'!M246),"")</x:f>
        <x:v>0.9868982990381081</x:v>
      </x:c>
      <x:c r="J246" s="8" t="n">
        <x:f>IF(ISNUMBER('Monthly data'!N246),LN(1+'Monthly data'!N246),"")</x:f>
        <x:v>2.9548477770805293</x:v>
      </x:c>
      <x:c r="K246" s="8" t="n">
        <x:f>IF(COUNT('Monthly data'!F244:F246)=3,'Monthly data'!F246-2*'Monthly data'!F245+'Monthly data'!F244,"")</x:f>
        <x:v>19.790000000000006</x:v>
      </x:c>
      <x:c r="L246" s="8" t="n">
        <x:f>IF(COUNT('Monthly data'!G244:G246)=3,'Monthly data'!G246-2*'Monthly data'!G245+'Monthly data'!G244,"")</x:f>
        <x:v>5.410100000000002</x:v>
      </x:c>
      <x:c r="M246" s="8" t="n">
        <x:f>IF(COUNT('Monthly data'!H244:H246)=3,'Monthly data'!H246-2*'Monthly data'!H245+'Monthly data'!H244,"")</x:f>
        <x:v>9.6313</x:v>
      </x:c>
      <x:c r="N246" s="8" t="n">
        <x:f>IF(COUNT('Monthly data'!I244:I246)=3,'Monthly data'!I246-2*'Monthly data'!I245+'Monthly data'!I244,"")</x:f>
        <x:v>13.797900000000002</x:v>
      </x:c>
      <x:c r="O246" s="8" t="n">
        <x:f>IF(COUNT('Monthly data'!J244:J246)=3,'Monthly data'!J246-2*'Monthly data'!J245+'Monthly data'!J244,"")</x:f>
        <x:v>2.4985000000000004</x:v>
      </x:c>
      <x:c r="P246" s="8" t="n">
        <x:f>IF(COUNT('Monthly data'!K244:K246)=3,'Monthly data'!K246-2*'Monthly data'!K245+'Monthly data'!K244,"")</x:f>
        <x:v>-8.5933</x:v>
      </x:c>
      <x:c r="Q246" s="8" t="n">
        <x:f>IF(COUNT('Monthly data'!L244:L246)=3,'Monthly data'!L246-2*'Monthly data'!L245+'Monthly data'!L244,"")</x:f>
        <x:v>-7.6135</x:v>
      </x:c>
      <x:c r="R246" s="8" t="n">
        <x:f>IF(COUNT('Monthly data'!M244:M246)=3,'Monthly data'!M246-2*'Monthly data'!M245+'Monthly data'!M244,"")</x:f>
        <x:v>-0.2240000000000002</x:v>
      </x:c>
      <x:c r="S246" s="8" t="n">
        <x:f>IF(COUNT('Monthly data'!N244:N246)=3,'Monthly data'!N246-2*'Monthly data'!N245+'Monthly data'!N244,"")</x:f>
        <x:v>4.882899999999999</x:v>
      </x:c>
      <x:c r="T246" s="8" t="n">
        <x:f>IF(COUNT('Monthly data'!E245:E246)=2,'Monthly data'!E246-'Monthly data'!E245,"")</x:f>
        <x:v>-0.00027074730000009595</x:v>
      </x:c>
    </x:row>
    <x:row r="247" ht="19" customHeight="1">
      <x:c r="A247" s="7" t="n">
        <x:f>'Monthly data'!A247</x:f>
        <x:v>40330</x:v>
      </x:c>
      <x:c r="B247" s="8" t="n">
        <x:f>IF(ISNUMBER('Monthly data'!F247),LN(1+'Monthly data'!F247),"")</x:f>
        <x:v>4.676001366748682</x:v>
      </x:c>
      <x:c r="C247" s="8" t="n">
        <x:f>IF(ISNUMBER('Monthly data'!G247),LN(1+'Monthly data'!G247),"")</x:f>
        <x:v>3.455227760148481</x:v>
      </x:c>
      <x:c r="D247" s="8" t="n">
        <x:f>IF(ISNUMBER('Monthly data'!H247),LN(1+'Monthly data'!H247),"")</x:f>
        <x:v>3.447387342835066</x:v>
      </x:c>
      <x:c r="E247" s="8" t="n">
        <x:f>IF(ISNUMBER('Monthly data'!I247),LN(1+'Monthly data'!I247),"")</x:f>
        <x:v>2.738721652728204</x:v>
      </x:c>
      <x:c r="F247" s="8" t="n">
        <x:f>IF(ISNUMBER('Monthly data'!J247),LN(1+'Monthly data'!J247),"")</x:f>
        <x:v>2.0905422007507406</x:v>
      </x:c>
      <x:c r="G247" s="8" t="n">
        <x:f>IF(ISNUMBER('Monthly data'!K247),LN(1+'Monthly data'!K247),"")</x:f>
        <x:v>1.1320793015010175</x:v>
      </x:c>
      <x:c r="H247" s="8" t="n">
        <x:f>IF(ISNUMBER('Monthly data'!L247),LN(1+'Monthly data'!L247),"")</x:f>
        <x:v>0.1526352464235943</x:v>
      </x:c>
      <x:c r="I247" s="8" t="n">
        <x:f>IF(ISNUMBER('Monthly data'!M247),LN(1+'Monthly data'!M247),"")</x:f>
        <x:v>1.782718724575906</x:v>
      </x:c>
      <x:c r="J247" s="8" t="n">
        <x:f>IF(ISNUMBER('Monthly data'!N247),LN(1+'Monthly data'!N247),"")</x:f>
        <x:v>2.861446310598583</x:v>
      </x:c>
      <x:c r="K247" s="8" t="n">
        <x:f>IF(COUNT('Monthly data'!F245:F247)=3,'Monthly data'!F247-2*'Monthly data'!F246+'Monthly data'!F245,"")</x:f>
        <x:v>-20.790000000000006</x:v>
      </x:c>
      <x:c r="L247" s="8" t="n">
        <x:f>IF(COUNT('Monthly data'!G245:G247)=3,'Monthly data'!G247-2*'Monthly data'!G246+'Monthly data'!G245,"")</x:f>
        <x:v>3.381500000000001</x:v>
      </x:c>
      <x:c r="M247" s="8" t="n">
        <x:f>IF(COUNT('Monthly data'!H245:H247)=3,'Monthly data'!H247-2*'Monthly data'!H246+'Monthly data'!H245,"")</x:f>
        <x:v>1.0969999999999978</x:v>
      </x:c>
      <x:c r="N247" s="8" t="n">
        <x:f>IF(COUNT('Monthly data'!I245:I247)=3,'Monthly data'!I247-2*'Monthly data'!I246+'Monthly data'!I245,"")</x:f>
        <x:v>-24.549700000000005</x:v>
      </x:c>
      <x:c r="O247" s="8" t="n">
        <x:f>IF(COUNT('Monthly data'!J245:J247)=3,'Monthly data'!J247-2*'Monthly data'!J246+'Monthly data'!J245,"")</x:f>
        <x:v>-3.0386000000000006</x:v>
      </x:c>
      <x:c r="P247" s="8" t="n">
        <x:f>IF(COUNT('Monthly data'!K245:K247)=3,'Monthly data'!K247-2*'Monthly data'!K246+'Monthly data'!K245,"")</x:f>
        <x:v>1.9938000000000002</x:v>
      </x:c>
      <x:c r="Q247" s="8" t="n">
        <x:f>IF(COUNT('Monthly data'!L245:L247)=3,'Monthly data'!L247-2*'Monthly data'!L246+'Monthly data'!L245,"")</x:f>
        <x:v>2.9562</x:v>
      </x:c>
      <x:c r="R247" s="8" t="n">
        <x:f>IF(COUNT('Monthly data'!M245:M247)=3,'Monthly data'!M247-2*'Monthly data'!M246+'Monthly data'!M245,"")</x:f>
        <x:v>3.8817999999999997</x:v>
      </x:c>
      <x:c r="S247" s="8" t="n">
        <x:f>IF(COUNT('Monthly data'!N245:N247)=3,'Monthly data'!N247-2*'Monthly data'!N246+'Monthly data'!N245,"")</x:f>
        <x:v>-6.511999999999999</x:v>
      </x:c>
      <x:c r="T247" s="8" t="n">
        <x:f>IF(COUNT('Monthly data'!E246:E247)=2,'Monthly data'!E247-'Monthly data'!E246,"")</x:f>
        <x:v>-0.0049225127000003255</x:v>
      </x:c>
    </x:row>
    <x:row r="248" ht="19" customHeight="1">
      <x:c r="A248" s="7" t="n">
        <x:f>'Monthly data'!A248</x:f>
        <x:v>40360</x:v>
      </x:c>
      <x:c r="B248" s="8" t="n">
        <x:f>IF(ISNUMBER('Monthly data'!F248),LN(1+'Monthly data'!F248),"")</x:f>
        <x:v>4.592388851623358</x:v>
      </x:c>
      <x:c r="C248" s="8" t="n">
        <x:f>IF(ISNUMBER('Monthly data'!G248),LN(1+'Monthly data'!G248),"")</x:f>
        <x:v>3.243447454530677</x:v>
      </x:c>
      <x:c r="D248" s="8" t="n">
        <x:f>IF(ISNUMBER('Monthly data'!H248),LN(1+'Monthly data'!H248),"")</x:f>
        <x:v>3.4702786936825722</x:v>
      </x:c>
      <x:c r="E248" s="8" t="n">
        <x:f>IF(ISNUMBER('Monthly data'!I248),LN(1+'Monthly data'!I248),"")</x:f>
        <x:v>3.016705783726648</x:v>
      </x:c>
      <x:c r="F248" s="8" t="n">
        <x:f>IF(ISNUMBER('Monthly data'!J248),LN(1+'Monthly data'!J248),"")</x:f>
        <x:v>1.5119353310728618</x:v>
      </x:c>
      <x:c r="G248" s="8" t="n">
        <x:f>IF(ISNUMBER('Monthly data'!K248),LN(1+'Monthly data'!K248),"")</x:f>
        <x:v>1.3179619857430656</x:v>
      </x:c>
      <x:c r="H248" s="8" t="n">
        <x:f>IF(ISNUMBER('Monthly data'!L248),LN(1+'Monthly data'!L248),"")</x:f>
        <x:v>0.15563529153144895</x:v>
      </x:c>
      <x:c r="I248" s="8" t="n">
        <x:f>IF(ISNUMBER('Monthly data'!M248),LN(1+'Monthly data'!M248),"")</x:f>
        <x:v>1.2357911877124552</x:v>
      </x:c>
      <x:c r="J248" s="8" t="n">
        <x:f>IF(ISNUMBER('Monthly data'!N248),LN(1+'Monthly data'!N248),"")</x:f>
        <x:v>2.6849726169843207</x:v>
      </x:c>
      <x:c r="K248" s="8" t="n">
        <x:f>IF(COUNT('Monthly data'!F246:F248)=3,'Monthly data'!F248-2*'Monthly data'!F247+'Monthly data'!F246,"")</x:f>
        <x:v>-5.640000000000001</x:v>
      </x:c>
      <x:c r="L248" s="8" t="n">
        <x:f>IF(COUNT('Monthly data'!G246:G248)=3,'Monthly data'!G248-2*'Monthly data'!G247+'Monthly data'!G246,"")</x:f>
        <x:v>-15.340200000000006</x:v>
      </x:c>
      <x:c r="M248" s="8" t="n">
        <x:f>IF(COUNT('Monthly data'!H246:H248)=3,'Monthly data'!H248-2*'Monthly data'!H247+'Monthly data'!H246,"")</x:f>
        <x:v>-1.5901999999999958</x:v>
      </x:c>
      <x:c r="N248" s="8" t="n">
        <x:f>IF(COUNT('Monthly data'!I246:I248)=3,'Monthly data'!I248-2*'Monthly data'!I247+'Monthly data'!I246,"")</x:f>
        <x:v>18.6291</x:v>
      </x:c>
      <x:c r="O248" s="8" t="n">
        <x:f>IF(COUNT('Monthly data'!J246:J248)=3,'Monthly data'!J248-2*'Monthly data'!J247+'Monthly data'!J246,"")</x:f>
        <x:v>-3.4419000000000004</x:v>
      </x:c>
      <x:c r="P248" s="8" t="n">
        <x:f>IF(COUNT('Monthly data'!K246:K248)=3,'Monthly data'!K248-2*'Monthly data'!K247+'Monthly data'!K246,"")</x:f>
        <x:v>2.3669999999999995</x:v>
      </x:c>
      <x:c r="Q248" s="8" t="n">
        <x:f>IF(COUNT('Monthly data'!L246:L248)=3,'Monthly data'!L248-2*'Monthly data'!L247+'Monthly data'!L246,"")</x:f>
        <x:v>0.6213</x:v>
      </x:c>
      <x:c r="R248" s="8" t="n">
        <x:f>IF(COUNT('Monthly data'!M246:M248)=3,'Monthly data'!M248-2*'Monthly data'!M247+'Monthly data'!M246,"")</x:f>
        <x:v>-5.767999999999999</x:v>
      </x:c>
      <x:c r="S248" s="8" t="n">
        <x:f>IF(COUNT('Monthly data'!N246:N248)=3,'Monthly data'!N248-2*'Monthly data'!N247+'Monthly data'!N246,"")</x:f>
        <x:v>-1.1169999999999973</x:v>
      </x:c>
      <x:c r="T248" s="8" t="n">
        <x:f>IF(COUNT('Monthly data'!E247:E248)=2,'Monthly data'!E248-'Monthly data'!E247,"")</x:f>
        <x:v>0.003372570699999855</x:v>
      </x:c>
    </x:row>
    <x:row r="249" ht="19" customHeight="1">
      <x:c r="A249" s="7" t="n">
        <x:f>'Monthly data'!A249</x:f>
        <x:v>40391</x:v>
      </x:c>
      <x:c r="B249" s="8" t="n">
        <x:f>IF(ISNUMBER('Monthly data'!F249),LN(1+'Monthly data'!F249),"")</x:f>
        <x:v>4.577798989191959</x:v>
      </x:c>
      <x:c r="C249" s="8" t="n">
        <x:f>IF(ISNUMBER('Monthly data'!G249),LN(1+'Monthly data'!G249),"")</x:f>
        <x:v>3.3239274928374893</x:v>
      </x:c>
      <x:c r="D249" s="8" t="n">
        <x:f>IF(ISNUMBER('Monthly data'!H249),LN(1+'Monthly data'!H249),"")</x:f>
        <x:v>3.3753597804891315</x:v>
      </x:c>
      <x:c r="E249" s="8" t="n">
        <x:f>IF(ISNUMBER('Monthly data'!I249),LN(1+'Monthly data'!I249),"")</x:f>
        <x:v>2.804474911102103</x:v>
      </x:c>
      <x:c r="F249" s="8" t="n">
        <x:f>IF(ISNUMBER('Monthly data'!J249),LN(1+'Monthly data'!J249),"")</x:f>
        <x:v>1.25282010971992</x:v>
      </x:c>
      <x:c r="G249" s="8" t="n">
        <x:f>IF(ISNUMBER('Monthly data'!K249),LN(1+'Monthly data'!K249),"")</x:f>
        <x:v>1.4530413792317185</x:v>
      </x:c>
      <x:c r="H249" s="8" t="n">
        <x:f>IF(ISNUMBER('Monthly data'!L249),LN(1+'Monthly data'!L249),"")</x:f>
        <x:v>0</x:v>
      </x:c>
      <x:c r="I249" s="8" t="n">
        <x:f>IF(ISNUMBER('Monthly data'!M249),LN(1+'Monthly data'!M249),"")</x:f>
        <x:v>1.1892448789213235</x:v>
      </x:c>
      <x:c r="J249" s="8" t="n">
        <x:f>IF(ISNUMBER('Monthly data'!N249),LN(1+'Monthly data'!N249),"")</x:f>
        <x:v>2.9294215162665695</x:v>
      </x:c>
      <x:c r="K249" s="8" t="n">
        <x:f>IF(COUNT('Monthly data'!F247:F249)=3,'Monthly data'!F249-2*'Monthly data'!F248+'Monthly data'!F247,"")</x:f>
        <x:v>7.179999999999993</x:v>
      </x:c>
      <x:c r="L249" s="8" t="n">
        <x:f>IF(COUNT('Monthly data'!G247:G249)=3,'Monthly data'!G249-2*'Monthly data'!G248+'Monthly data'!G247,"")</x:f>
        <x:v>8.190900000000003</x:v>
      </x:c>
      <x:c r="M249" s="8" t="n">
        <x:f>IF(COUNT('Monthly data'!H247:H249)=3,'Monthly data'!H249-2*'Monthly data'!H248+'Monthly data'!H247,"")</x:f>
        <x:v>-3.6384000000000043</x:v>
      </x:c>
      <x:c r="N249" s="8" t="n">
        <x:f>IF(COUNT('Monthly data'!I247:I249)=3,'Monthly data'!I249-2*'Monthly data'!I248+'Monthly data'!I247,"")</x:f>
        <x:v>-8.8622</x:v>
      </x:c>
      <x:c r="O249" s="8" t="n">
        <x:f>IF(COUNT('Monthly data'!J247:J249)=3,'Monthly data'!J249-2*'Monthly data'!J248+'Monthly data'!J247,"")</x:f>
        <x:v>2.5184999999999995</x:v>
      </x:c>
      <x:c r="P249" s="8" t="n">
        <x:f>IF(COUNT('Monthly data'!K247:K249)=3,'Monthly data'!K249-2*'Monthly data'!K248+'Monthly data'!K247,"")</x:f>
        <x:v>-0.09339999999999948</x:v>
      </x:c>
      <x:c r="Q249" s="8" t="n">
        <x:f>IF(COUNT('Monthly data'!L247:L249)=3,'Monthly data'!L249-2*'Monthly data'!L248+'Monthly data'!L247,"")</x:f>
        <x:v>-0.1719</x:v>
      </x:c>
      <x:c r="R249" s="8" t="n">
        <x:f>IF(COUNT('Monthly data'!M247:M249)=3,'Monthly data'!M249-2*'Monthly data'!M248+'Monthly data'!M247,"")</x:f>
        <x:v>2.3484</x:v>
      </x:c>
      <x:c r="S249" s="8" t="n">
        <x:f>IF(COUNT('Monthly data'!N247:N249)=3,'Monthly data'!N249-2*'Monthly data'!N248+'Monthly data'!N247,"")</x:f>
        <x:v>6.887999999999998</x:v>
      </x:c>
      <x:c r="T249" s="8" t="n">
        <x:f>IF(COUNT('Monthly data'!E248:E249)=2,'Monthly data'!E249-'Monthly data'!E248,"")</x:f>
        <x:v>-0.001698251099998771</x:v>
      </x:c>
    </x:row>
    <x:row r="250" ht="19" customHeight="1">
      <x:c r="A250" s="7" t="n">
        <x:f>'Monthly data'!A250</x:f>
        <x:v>40422</x:v>
      </x:c>
      <x:c r="B250" s="8" t="n">
        <x:f>IF(ISNUMBER('Monthly data'!F250),LN(1+'Monthly data'!F250),"")</x:f>
        <x:v>4.532061714167453</x:v>
      </x:c>
      <x:c r="C250" s="8" t="n">
        <x:f>IF(ISNUMBER('Monthly data'!G250),LN(1+'Monthly data'!G250),"")</x:f>
        <x:v>2.9795978103103846</x:v>
      </x:c>
      <x:c r="D250" s="8" t="n">
        <x:f>IF(ISNUMBER('Monthly data'!H250),LN(1+'Monthly data'!H250),"")</x:f>
        <x:v>3.5846405314576804</x:v>
      </x:c>
      <x:c r="E250" s="8" t="n">
        <x:f>IF(ISNUMBER('Monthly data'!I250),LN(1+'Monthly data'!I250),"")</x:f>
        <x:v>2.903085044945732</x:v>
      </x:c>
      <x:c r="F250" s="8" t="n">
        <x:f>IF(ISNUMBER('Monthly data'!J250),LN(1+'Monthly data'!J250),"")</x:f>
        <x:v>1.350122993981715</x:v>
      </x:c>
      <x:c r="G250" s="8" t="n">
        <x:f>IF(ISNUMBER('Monthly data'!K250),LN(1+'Monthly data'!K250),"")</x:f>
        <x:v>1.4325336555380874</x:v>
      </x:c>
      <x:c r="H250" s="8" t="n">
        <x:f>IF(ISNUMBER('Monthly data'!L250),LN(1+'Monthly data'!L250),"")</x:f>
        <x:v>0.1533217649436496</x:v>
      </x:c>
      <x:c r="I250" s="8" t="n">
        <x:f>IF(ISNUMBER('Monthly data'!M250),LN(1+'Monthly data'!M250),"")</x:f>
        <x:v>1.0375875868303353</x:v>
      </x:c>
      <x:c r="J250" s="8" t="n">
        <x:f>IF(ISNUMBER('Monthly data'!N250),LN(1+'Monthly data'!N250),"")</x:f>
        <x:v>2.6364897504889897</x:v>
      </x:c>
      <x:c r="K250" s="8" t="n">
        <x:f>IF(COUNT('Monthly data'!F248:F250)=3,'Monthly data'!F250-2*'Monthly data'!F249+'Monthly data'!F248,"")</x:f>
        <x:v>-2.9199999999999875</x:v>
      </x:c>
      <x:c r="L250" s="8" t="n">
        <x:f>IF(COUNT('Monthly data'!G248:G250)=3,'Monthly data'!G250-2*'Monthly data'!G249+'Monthly data'!G248,"")</x:f>
        <x:v>-10.236600000000006</x:v>
      </x:c>
      <x:c r="M250" s="8" t="n">
        <x:f>IF(COUNT('Monthly data'!H248:H250)=3,'Monthly data'!H250-2*'Monthly data'!H249+'Monthly data'!H248,"")</x:f>
        <x:v>9.7165</x:v>
      </x:c>
      <x:c r="N250" s="8" t="n">
        <x:f>IF(COUNT('Monthly data'!I248:I250)=3,'Monthly data'!I250-2*'Monthly data'!I249+'Monthly data'!I248,"")</x:f>
        <x:v>5.6174</x:v>
      </x:c>
      <x:c r="O250" s="8" t="n">
        <x:f>IF(COUNT('Monthly data'!J248:J250)=3,'Monthly data'!J250-2*'Monthly data'!J249+'Monthly data'!J248,"")</x:f>
        <x:v>1.3929999999999998</x:v>
      </x:c>
      <x:c r="P250" s="8" t="n">
        <x:f>IF(COUNT('Monthly data'!K248:K250)=3,'Monthly data'!K250-2*'Monthly data'!K249+'Monthly data'!K248,"")</x:f>
        <x:v>-0.6271000000000004</x:v>
      </x:c>
      <x:c r="Q250" s="8" t="n">
        <x:f>IF(COUNT('Monthly data'!L248:L250)=3,'Monthly data'!L250-2*'Monthly data'!L249+'Monthly data'!L248,"")</x:f>
        <x:v>0.33409999999999995</x:v>
      </x:c>
      <x:c r="R250" s="8" t="n">
        <x:f>IF(COUNT('Monthly data'!M248:M250)=3,'Monthly data'!M250-2*'Monthly data'!M249+'Monthly data'!M248,"")</x:f>
        <x:v>-0.3057000000000003</x:v>
      </x:c>
      <x:c r="S250" s="8" t="n">
        <x:f>IF(COUNT('Monthly data'!N248:N250)=3,'Monthly data'!N250-2*'Monthly data'!N249+'Monthly data'!N248,"")</x:f>
        <x:v>-8.811699999999997</x:v>
      </x:c>
      <x:c r="T250" s="8" t="n">
        <x:f>IF(COUNT('Monthly data'!E249:E250)=2,'Monthly data'!E250-'Monthly data'!E249,"")</x:f>
        <x:v>0.004188190699998984</x:v>
      </x:c>
    </x:row>
    <x:row r="251" ht="19" customHeight="1">
      <x:c r="A251" s="7" t="n">
        <x:f>'Monthly data'!A251</x:f>
        <x:v>40452</x:v>
      </x:c>
      <x:c r="B251" s="8" t="n">
        <x:f>IF(ISNUMBER('Monthly data'!F251),LN(1+'Monthly data'!F251),"")</x:f>
        <x:v>4.4630304188269685</x:v>
      </x:c>
      <x:c r="C251" s="8" t="n">
        <x:f>IF(ISNUMBER('Monthly data'!G251),LN(1+'Monthly data'!G251),"")</x:f>
        <x:v>2.765551519106768</x:v>
      </x:c>
      <x:c r="D251" s="8" t="n">
        <x:f>IF(ISNUMBER('Monthly data'!H251),LN(1+'Monthly data'!H251),"")</x:f>
        <x:v>3.470362682726717</x:v>
      </x:c>
      <x:c r="E251" s="8" t="n">
        <x:f>IF(ISNUMBER('Monthly data'!I251),LN(1+'Monthly data'!I251),"")</x:f>
        <x:v>3.056963770008285</x:v>
      </x:c>
      <x:c r="F251" s="8" t="n">
        <x:f>IF(ISNUMBER('Monthly data'!J251),LN(1+'Monthly data'!J251),"")</x:f>
        <x:v>0.9938071743019835</x:v>
      </x:c>
      <x:c r="G251" s="8" t="n">
        <x:f>IF(ISNUMBER('Monthly data'!K251),LN(1+'Monthly data'!K251),"")</x:f>
        <x:v>1.4555638610083441</x:v>
      </x:c>
      <x:c r="H251" s="8" t="n">
        <x:f>IF(ISNUMBER('Monthly data'!L251),LN(1+'Monthly data'!L251),"")</x:f>
        <x:v>0.9348376691607333</x:v>
      </x:c>
      <x:c r="I251" s="8" t="n">
        <x:f>IF(ISNUMBER('Monthly data'!M251),LN(1+'Monthly data'!M251),"")</x:f>
        <x:v>0.9195254943840843</x:v>
      </x:c>
      <x:c r="J251" s="8" t="n">
        <x:f>IF(ISNUMBER('Monthly data'!N251),LN(1+'Monthly data'!N251),"")</x:f>
        <x:v>2.518309188088326</x:v>
      </x:c>
      <x:c r="K251" s="8" t="n">
        <x:f>IF(COUNT('Monthly data'!F249:F251)=3,'Monthly data'!F251-2*'Monthly data'!F250+'Monthly data'!F249,"")</x:f>
        <x:v>-1.8500000000000085</x:v>
      </x:c>
      <x:c r="L251" s="8" t="n">
        <x:f>IF(COUNT('Monthly data'!G249:G251)=3,'Monthly data'!G251-2*'Monthly data'!G250+'Monthly data'!G249,"")</x:f>
        <x:v>4.2972</x:v>
      </x:c>
      <x:c r="M251" s="8" t="n">
        <x:f>IF(COUNT('Monthly data'!H249:H251)=3,'Monthly data'!H251-2*'Monthly data'!H250+'Monthly data'!H249,"")</x:f>
        <x:v>-10.697600000000001</x:v>
      </x:c>
      <x:c r="N251" s="8" t="n">
        <x:f>IF(COUNT('Monthly data'!I249:I251)=3,'Monthly data'!I251-2*'Monthly data'!I250+'Monthly data'!I249,"")</x:f>
        <x:v>1.3206999999999987</x:v>
      </x:c>
      <x:c r="O251" s="8" t="n">
        <x:f>IF(COUNT('Monthly data'!J249:J251)=3,'Monthly data'!J251-2*'Monthly data'!J250+'Monthly data'!J249,"")</x:f>
        <x:v>-1.5140999999999996</x:v>
      </x:c>
      <x:c r="P251" s="8" t="n">
        <x:f>IF(COUNT('Monthly data'!K249:K251)=3,'Monthly data'!K251-2*'Monthly data'!K250+'Monthly data'!K249,"")</x:f>
        <x:v>0.18440000000000056</x:v>
      </x:c>
      <x:c r="Q251" s="8" t="n">
        <x:f>IF(COUNT('Monthly data'!L249:L251)=3,'Monthly data'!L251-2*'Monthly data'!L250+'Monthly data'!L249,"")</x:f>
        <x:v>1.2154</x:v>
      </x:c>
      <x:c r="R251" s="8" t="n">
        <x:f>IF(COUNT('Monthly data'!M249:M251)=3,'Monthly data'!M251-2*'Monthly data'!M250+'Monthly data'!M249,"")</x:f>
        <x:v>0.14789999999999992</x:v>
      </x:c>
      <x:c r="S251" s="8" t="n">
        <x:f>IF(COUNT('Monthly data'!N249:N251)=3,'Monthly data'!N251-2*'Monthly data'!N250+'Monthly data'!N249,"")</x:f>
        <x:v>3.1961999999999993</x:v>
      </x:c>
      <x:c r="T251" s="8" t="n">
        <x:f>IF(COUNT('Monthly data'!E250:E251)=2,'Monthly data'!E251-'Monthly data'!E250,"")</x:f>
        <x:v>0.00449205500000005</x:v>
      </x:c>
    </x:row>
    <x:row r="252" ht="19" customHeight="1">
      <x:c r="A252" s="7" t="n">
        <x:f>'Monthly data'!A252</x:f>
        <x:v>40483</x:v>
      </x:c>
      <x:c r="B252" s="8" t="n">
        <x:f>IF(ISNUMBER('Monthly data'!F252),LN(1+'Monthly data'!F252),"")</x:f>
        <x:v>4.667581446109488</x:v>
      </x:c>
      <x:c r="C252" s="8" t="n">
        <x:f>IF(ISNUMBER('Monthly data'!G252),LN(1+'Monthly data'!G252),"")</x:f>
        <x:v>3.0122796081294982</x:v>
      </x:c>
      <x:c r="D252" s="8" t="n">
        <x:f>IF(ISNUMBER('Monthly data'!H252),LN(1+'Monthly data'!H252),"")</x:f>
        <x:v>3.6307973785356733</x:v>
      </x:c>
      <x:c r="E252" s="8" t="n">
        <x:f>IF(ISNUMBER('Monthly data'!I252),LN(1+'Monthly data'!I252),"")</x:f>
        <x:v>3.198501674283696</x:v>
      </x:c>
      <x:c r="F252" s="8" t="n">
        <x:f>IF(ISNUMBER('Monthly data'!J252),LN(1+'Monthly data'!J252),"")</x:f>
        <x:v>1.3970611902307837</x:v>
      </x:c>
      <x:c r="G252" s="8" t="n">
        <x:f>IF(ISNUMBER('Monthly data'!K252),LN(1+'Monthly data'!K252),"")</x:f>
        <x:v>2.0074889373588265</x:v>
      </x:c>
      <x:c r="H252" s="8" t="n">
        <x:f>IF(ISNUMBER('Monthly data'!L252),LN(1+'Monthly data'!L252),"")</x:f>
        <x:v>0.30601302913650447</x:v>
      </x:c>
      <x:c r="I252" s="8" t="n">
        <x:f>IF(ISNUMBER('Monthly data'!M252),LN(1+'Monthly data'!M252),"")</x:f>
        <x:v>0.42983246455645874</x:v>
      </x:c>
      <x:c r="J252" s="8" t="n">
        <x:f>IF(ISNUMBER('Monthly data'!N252),LN(1+'Monthly data'!N252),"")</x:f>
        <x:v>2.8024387442086667</x:v>
      </x:c>
      <x:c r="K252" s="8" t="n">
        <x:f>IF(COUNT('Monthly data'!F250:F252)=3,'Monthly data'!F252-2*'Monthly data'!F251+'Monthly data'!F250,"")</x:f>
        <x:v>25.89</x:v>
      </x:c>
      <x:c r="L252" s="8" t="n">
        <x:f>IF(COUNT('Monthly data'!G250:G252)=3,'Monthly data'!G252-2*'Monthly data'!G251+'Monthly data'!G250,"")</x:f>
        <x:v>8.238</x:v>
      </x:c>
      <x:c r="M252" s="8" t="n">
        <x:f>IF(COUNT('Monthly data'!H250:H252)=3,'Monthly data'!H252-2*'Monthly data'!H251+'Monthly data'!H250,"")</x:f>
        <x:v>9.4865</x:v>
      </x:c>
      <x:c r="N252" s="8" t="n">
        <x:f>IF(COUNT('Monthly data'!I250:I252)=3,'Monthly data'!I252-2*'Monthly data'!I251+'Monthly data'!I250,"")</x:f>
        <x:v>0.20030000000000214</x:v>
      </x:c>
      <x:c r="O252" s="8" t="n">
        <x:f>IF(COUNT('Monthly data'!J250:J252)=3,'Monthly data'!J252-2*'Monthly data'!J251+'Monthly data'!J250,"")</x:f>
        <x:v>2.4981999999999998</x:v>
      </x:c>
      <x:c r="P252" s="8" t="n">
        <x:f>IF(COUNT('Monthly data'!K250:K252)=3,'Monthly data'!K252-2*'Monthly data'!K251+'Monthly data'!K250,"")</x:f>
        <x:v>3.0601</x:v>
      </x:c>
      <x:c r="Q252" s="8" t="n">
        <x:f>IF(COUNT('Monthly data'!L250:L252)=3,'Monthly data'!L252-2*'Monthly data'!L251+'Monthly data'!L250,"")</x:f>
        <x:v>-2.5698999999999996</x:v>
      </x:c>
      <x:c r="R252" s="8" t="n">
        <x:f>IF(COUNT('Monthly data'!M250:M252)=3,'Monthly data'!M252-2*'Monthly data'!M251+'Monthly data'!M250,"")</x:f>
        <x:v>-0.6568</x:v>
      </x:c>
      <x:c r="S252" s="8" t="n">
        <x:f>IF(COUNT('Monthly data'!N250:N252)=3,'Monthly data'!N252-2*'Monthly data'!N251+'Monthly data'!N250,"")</x:f>
        <x:v>5.633699999999999</x:v>
      </x:c>
      <x:c r="T252" s="8" t="n">
        <x:f>IF(COUNT('Monthly data'!E251:E252)=2,'Monthly data'!E252-'Monthly data'!E251,"")</x:f>
        <x:v>0.004376090500000984</x:v>
      </x:c>
    </x:row>
    <x:row r="253" ht="19" customHeight="1">
      <x:c r="A253" s="7" t="n">
        <x:f>'Monthly data'!A253</x:f>
        <x:v>40513</x:v>
      </x:c>
      <x:c r="B253" s="8" t="n">
        <x:f>IF(ISNUMBER('Monthly data'!F253),LN(1+'Monthly data'!F253),"")</x:f>
        <x:v>4.643236386794547</x:v>
      </x:c>
      <x:c r="C253" s="8" t="n">
        <x:f>IF(ISNUMBER('Monthly data'!G253),LN(1+'Monthly data'!G253),"")</x:f>
        <x:v>3.1994034630283807</x:v>
      </x:c>
      <x:c r="D253" s="8" t="n">
        <x:f>IF(ISNUMBER('Monthly data'!H253),LN(1+'Monthly data'!H253),"")</x:f>
        <x:v>3.634483984531633</x:v>
      </x:c>
      <x:c r="E253" s="8" t="n">
        <x:f>IF(ISNUMBER('Monthly data'!I253),LN(1+'Monthly data'!I253),"")</x:f>
        <x:v>2.8665001970394397</x:v>
      </x:c>
      <x:c r="F253" s="8" t="n">
        <x:f>IF(ISNUMBER('Monthly data'!J253),LN(1+'Monthly data'!J253),"")</x:f>
        <x:v>1.7380421867220672</x:v>
      </x:c>
      <x:c r="G253" s="8" t="n">
        <x:f>IF(ISNUMBER('Monthly data'!K253),LN(1+'Monthly data'!K253),"")</x:f>
        <x:v>1.7148964232902404</x:v>
      </x:c>
      <x:c r="H253" s="8" t="n">
        <x:f>IF(ISNUMBER('Monthly data'!L253),LN(1+'Monthly data'!L253),"")</x:f>
        <x:v>0.08323759857005561</x:v>
      </x:c>
      <x:c r="I253" s="8" t="n">
        <x:f>IF(ISNUMBER('Monthly data'!M253),LN(1+'Monthly data'!M253),"")</x:f>
        <x:v>0.9741444594830048</x:v>
      </x:c>
      <x:c r="J253" s="8" t="n">
        <x:f>IF(ISNUMBER('Monthly data'!N253),LN(1+'Monthly data'!N253),"")</x:f>
        <x:v>2.7679843885452473</x:v>
      </x:c>
      <x:c r="K253" s="8" t="n">
        <x:f>IF(COUNT('Monthly data'!F251:F253)=3,'Monthly data'!F253-2*'Monthly data'!F252+'Monthly data'!F251,"")</x:f>
        <x:v>-22.25</x:v>
      </x:c>
      <x:c r="L253" s="8" t="n">
        <x:f>IF(COUNT('Monthly data'!G251:G253)=3,'Monthly data'!G253-2*'Monthly data'!G252+'Monthly data'!G251,"")</x:f>
        <x:v>-0.2616999999999994</x:v>
      </x:c>
      <x:c r="M253" s="8" t="n">
        <x:f>IF(COUNT('Monthly data'!H251:H253)=3,'Monthly data'!H253-2*'Monthly data'!H252+'Monthly data'!H251,"")</x:f>
        <x:v>-5.455099999999998</x:v>
      </x:c>
      <x:c r="N253" s="8" t="n">
        <x:f>IF(COUNT('Monthly data'!I251:I253)=3,'Monthly data'!I253-2*'Monthly data'!I252+'Monthly data'!I251,"")</x:f>
        <x:v>-10.153300000000002</x:v>
      </x:c>
      <x:c r="O253" s="8" t="n">
        <x:f>IF(COUNT('Monthly data'!J251:J253)=3,'Monthly data'!J253-2*'Monthly data'!J252+'Monthly data'!J251,"")</x:f>
        <x:v>0.3011000000000006</x:v>
      </x:c>
      <x:c r="P253" s="8" t="n">
        <x:f>IF(COUNT('Monthly data'!K251:K253)=3,'Monthly data'!K253-2*'Monthly data'!K252+'Monthly data'!K251,"")</x:f>
        <x:v>-5.046200000000002</x:v>
      </x:c>
      <x:c r="Q253" s="8" t="n">
        <x:f>IF(COUNT('Monthly data'!L251:L253)=3,'Monthly data'!L253-2*'Monthly data'!L252+'Monthly data'!L251,"")</x:f>
        <x:v>0.9176</x:v>
      </x:c>
      <x:c r="R253" s="8" t="n">
        <x:f>IF(COUNT('Monthly data'!M251:M253)=3,'Monthly data'!M253-2*'Monthly data'!M252+'Monthly data'!M251,"")</x:f>
        <x:v>2.083</x:v>
      </x:c>
      <x:c r="S253" s="8" t="n">
        <x:f>IF(COUNT('Monthly data'!N251:N253)=3,'Monthly data'!N253-2*'Monthly data'!N252+'Monthly data'!N251,"")</x:f>
        <x:v>-4.635499999999999</x:v>
      </x:c>
      <x:c r="T253" s="8" t="n">
        <x:f>IF(COUNT('Monthly data'!E252:E253)=2,'Monthly data'!E253-'Monthly data'!E252,"")</x:f>
        <x:v>0.0012118409999999358</x:v>
      </x:c>
    </x:row>
    <x:row r="254" ht="19" customHeight="1">
      <x:c r="A254" s="7" t="n">
        <x:f>'Monthly data'!A254</x:f>
        <x:v>40544</x:v>
      </x:c>
      <x:c r="B254" s="8" t="n">
        <x:f>IF(ISNUMBER('Monthly data'!F254),LN(1+'Monthly data'!F254),"")</x:f>
        <x:v>4.656338472562491</x:v>
      </x:c>
      <x:c r="C254" s="8" t="n">
        <x:f>IF(ISNUMBER('Monthly data'!G254),LN(1+'Monthly data'!G254),"")</x:f>
        <x:v>2.4704526928178496</x:v>
      </x:c>
      <x:c r="D254" s="8" t="n">
        <x:f>IF(ISNUMBER('Monthly data'!H254),LN(1+'Monthly data'!H254),"")</x:f>
        <x:v>3.6763918069946544</x:v>
      </x:c>
      <x:c r="E254" s="8" t="n">
        <x:f>IF(ISNUMBER('Monthly data'!I254),LN(1+'Monthly data'!I254),"")</x:f>
        <x:v>3.007176537438249</x:v>
      </x:c>
      <x:c r="F254" s="8" t="n">
        <x:f>IF(ISNUMBER('Monthly data'!J254),LN(1+'Monthly data'!J254),"")</x:f>
        <x:v>2.629252273923429</x:v>
      </x:c>
      <x:c r="G254" s="8" t="n">
        <x:f>IF(ISNUMBER('Monthly data'!K254),LN(1+'Monthly data'!K254),"")</x:f>
        <x:v>1.3275788532851083</x:v>
      </x:c>
      <x:c r="H254" s="8" t="n">
        <x:f>IF(ISNUMBER('Monthly data'!L254),LN(1+'Monthly data'!L254),"")</x:f>
        <x:v>1.0814661298331392</x:v>
      </x:c>
      <x:c r="I254" s="8" t="n">
        <x:f>IF(ISNUMBER('Monthly data'!M254),LN(1+'Monthly data'!M254),"")</x:f>
        <x:v>0.9396947096531711</x:v>
      </x:c>
      <x:c r="J254" s="8" t="n">
        <x:f>IF(ISNUMBER('Monthly data'!N254),LN(1+'Monthly data'!N254),"")</x:f>
        <x:v>2.8647633093894114</x:v>
      </x:c>
      <x:c r="K254" s="8" t="n">
        <x:f>IF(COUNT('Monthly data'!F252:F254)=3,'Monthly data'!F254-2*'Monthly data'!F253+'Monthly data'!F252,"")</x:f>
        <x:v>3.930000000000007</x:v>
      </x:c>
      <x:c r="L254" s="8" t="n">
        <x:f>IF(COUNT('Monthly data'!G252:G254)=3,'Monthly data'!G254-2*'Monthly data'!G253+'Monthly data'!G252,"")</x:f>
        <x:v>-16.874299999999998</x:v>
      </x:c>
      <x:c r="M254" s="8" t="n">
        <x:f>IF(COUNT('Monthly data'!H252:H254)=3,'Monthly data'!H254-2*'Monthly data'!H253+'Monthly data'!H252,"")</x:f>
        <x:v>1.481899999999996</x:v>
      </x:c>
      <x:c r="N254" s="8" t="n">
        <x:f>IF(COUNT('Monthly data'!I252:I254)=3,'Monthly data'!I254-2*'Monthly data'!I253+'Monthly data'!I252,"")</x:f>
        <x:v>9.575200000000002</x:v>
      </x:c>
      <x:c r="O254" s="8" t="n">
        <x:f>IF(COUNT('Monthly data'!J252:J254)=3,'Monthly data'!J254-2*'Monthly data'!J253+'Monthly data'!J252,"")</x:f>
        <x:v>6.5343</x:v>
      </x:c>
      <x:c r="P254" s="8" t="n">
        <x:f>IF(COUNT('Monthly data'!K252:K254)=3,'Monthly data'!K254-2*'Monthly data'!K253+'Monthly data'!K252,"")</x:f>
        <x:v>0.10430000000000117</x:v>
      </x:c>
      <x:c r="Q254" s="8" t="n">
        <x:f>IF(COUNT('Monthly data'!L252:L254)=3,'Monthly data'!L254-2*'Monthly data'!L253+'Monthly data'!L252,"")</x:f>
        <x:v>2.1334</x:v>
      </x:c>
      <x:c r="R254" s="8" t="n">
        <x:f>IF(COUNT('Monthly data'!M252:M254)=3,'Monthly data'!M254-2*'Monthly data'!M253+'Monthly data'!M252,"")</x:f>
        <x:v>-1.2016</x:v>
      </x:c>
      <x:c r="S254" s="8" t="n">
        <x:f>IF(COUNT('Monthly data'!N252:N254)=3,'Monthly data'!N254-2*'Monthly data'!N253+'Monthly data'!N252,"")</x:f>
        <x:v>2.1766999999999967</x:v>
      </x:c>
      <x:c r="T254" s="8" t="n">
        <x:f>IF(COUNT('Monthly data'!E253:E254)=2,'Monthly data'!E254-'Monthly data'!E253,"")</x:f>
        <x:v>0.010086158200000028</x:v>
      </x:c>
    </x:row>
    <x:row r="255" ht="19" customHeight="1">
      <x:c r="A255" s="7" t="n">
        <x:f>'Monthly data'!A255</x:f>
        <x:v>40575</x:v>
      </x:c>
      <x:c r="B255" s="8" t="n">
        <x:f>IF(ISNUMBER('Monthly data'!F255),LN(1+'Monthly data'!F255),"")</x:f>
        <x:v>4.89387673348606</x:v>
      </x:c>
      <x:c r="C255" s="8" t="n">
        <x:f>IF(ISNUMBER('Monthly data'!G255),LN(1+'Monthly data'!G255),"")</x:f>
        <x:v>2.577356682662792</x:v>
      </x:c>
      <x:c r="D255" s="8" t="n">
        <x:f>IF(ISNUMBER('Monthly data'!H255),LN(1+'Monthly data'!H255),"")</x:f>
        <x:v>3.6487317114015014</x:v>
      </x:c>
      <x:c r="E255" s="8" t="n">
        <x:f>IF(ISNUMBER('Monthly data'!I255),LN(1+'Monthly data'!I255),"")</x:f>
        <x:v>2.6496015434909297</x:v>
      </x:c>
      <x:c r="F255" s="8" t="n">
        <x:f>IF(ISNUMBER('Monthly data'!J255),LN(1+'Monthly data'!J255),"")</x:f>
        <x:v>3.664494544178247</x:v>
      </x:c>
      <x:c r="G255" s="8" t="n">
        <x:f>IF(ISNUMBER('Monthly data'!K255),LN(1+'Monthly data'!K255),"")</x:f>
        <x:v>1.1049918956321487</x:v>
      </x:c>
      <x:c r="H255" s="8" t="n">
        <x:f>IF(ISNUMBER('Monthly data'!L255),LN(1+'Monthly data'!L255),"")</x:f>
        <x:v>1.5089322595024564</x:v>
      </x:c>
      <x:c r="I255" s="8" t="n">
        <x:f>IF(ISNUMBER('Monthly data'!M255),LN(1+'Monthly data'!M255),"")</x:f>
        <x:v>1.194225452871056</x:v>
      </x:c>
      <x:c r="J255" s="8" t="n">
        <x:f>IF(ISNUMBER('Monthly data'!N255),LN(1+'Monthly data'!N255),"")</x:f>
        <x:v>3.2130549162031974</x:v>
      </x:c>
      <x:c r="K255" s="8" t="n">
        <x:f>IF(COUNT('Monthly data'!F253:F255)=3,'Monthly data'!F255-2*'Monthly data'!F254+'Monthly data'!F253,"")</x:f>
        <x:v>26.849999999999994</x:v>
      </x:c>
      <x:c r="L255" s="8" t="n">
        <x:f>IF(COUNT('Monthly data'!G253:G255)=3,'Monthly data'!G255-2*'Monthly data'!G254+'Monthly data'!G253,"")</x:f>
        <x:v>14.024600000000001</x:v>
      </x:c>
      <x:c r="M255" s="8" t="n">
        <x:f>IF(COUNT('Monthly data'!H253:H255)=3,'Monthly data'!H255-2*'Monthly data'!H254+'Monthly data'!H253,"")</x:f>
        <x:v>-2.698999999999998</x:v>
      </x:c>
      <x:c r="N255" s="8" t="n">
        <x:f>IF(COUNT('Monthly data'!I253:I255)=3,'Monthly data'!I255-2*'Monthly data'!I254+'Monthly data'!I253,"")</x:f>
        <x:v>-8.7366</x:v>
      </x:c>
      <x:c r="O255" s="8" t="n">
        <x:f>IF(COUNT('Monthly data'!J253:J255)=3,'Monthly data'!J255-2*'Monthly data'!J254+'Monthly data'!J253,"")</x:f>
        <x:v>16.9958</x:v>
      </x:c>
      <x:c r="P255" s="8" t="n">
        <x:f>IF(COUNT('Monthly data'!K253:K255)=3,'Monthly data'!K255-2*'Monthly data'!K254+'Monthly data'!K253,"")</x:f>
        <x:v>1.0314999999999999</x:v>
      </x:c>
      <x:c r="Q255" s="8" t="n">
        <x:f>IF(COUNT('Monthly data'!L253:L255)=3,'Monthly data'!L255-2*'Monthly data'!L254+'Monthly data'!L253,"")</x:f>
        <x:v>-0.2893000000000001</x:v>
      </x:c>
      <x:c r="R255" s="8" t="n">
        <x:f>IF(COUNT('Monthly data'!M253:M255)=3,'Monthly data'!M255-2*'Monthly data'!M254+'Monthly data'!M253,"")</x:f>
        <x:v>0.8315000000000003</x:v>
      </x:c>
      <x:c r="S255" s="8" t="n">
        <x:f>IF(COUNT('Monthly data'!N253:N255)=3,'Monthly data'!N255-2*'Monthly data'!N254+'Monthly data'!N253,"")</x:f>
        <x:v>5.691600000000005</x:v>
      </x:c>
      <x:c r="T255" s="8" t="n">
        <x:f>IF(COUNT('Monthly data'!E254:E255)=2,'Monthly data'!E255-'Monthly data'!E254,"")</x:f>
        <x:v>-0.005760022700000533</x:v>
      </x:c>
    </x:row>
    <x:row r="256" ht="19" customHeight="1">
      <x:c r="A256" s="7" t="n">
        <x:f>'Monthly data'!A256</x:f>
        <x:v>40603</x:v>
      </x:c>
      <x:c r="B256" s="8" t="n">
        <x:f>IF(ISNUMBER('Monthly data'!F256),LN(1+'Monthly data'!F256),"")</x:f>
        <x:v>4.971062518976432</x:v>
      </x:c>
      <x:c r="C256" s="8" t="n">
        <x:f>IF(ISNUMBER('Monthly data'!G256),LN(1+'Monthly data'!G256),"")</x:f>
        <x:v>3.8662240630907383</x:v>
      </x:c>
      <x:c r="D256" s="8" t="n">
        <x:f>IF(ISNUMBER('Monthly data'!H256),LN(1+'Monthly data'!H256),"")</x:f>
        <x:v>2.971567646554693</x:v>
      </x:c>
      <x:c r="E256" s="8" t="n">
        <x:f>IF(ISNUMBER('Monthly data'!I256),LN(1+'Monthly data'!I256),"")</x:f>
        <x:v>2.4926515802354463</x:v>
      </x:c>
      <x:c r="F256" s="8" t="n">
        <x:f>IF(ISNUMBER('Monthly data'!J256),LN(1+'Monthly data'!J256),"")</x:f>
        <x:v>3.5773275893260084</x:v>
      </x:c>
      <x:c r="G256" s="8" t="n">
        <x:f>IF(ISNUMBER('Monthly data'!K256),LN(1+'Monthly data'!K256),"")</x:f>
        <x:v>2.6387787193784593</x:v>
      </x:c>
      <x:c r="H256" s="8" t="n">
        <x:f>IF(ISNUMBER('Monthly data'!L256),LN(1+'Monthly data'!L256),"")</x:f>
        <x:v>0.3959533477355688</x:v>
      </x:c>
      <x:c r="I256" s="8" t="n">
        <x:f>IF(ISNUMBER('Monthly data'!M256),LN(1+'Monthly data'!M256),"")</x:f>
        <x:v>0.9629834598661373</x:v>
      </x:c>
      <x:c r="J256" s="8" t="n">
        <x:f>IF(ISNUMBER('Monthly data'!N256),LN(1+'Monthly data'!N256),"")</x:f>
        <x:v>2.88610154237864</x:v>
      </x:c>
      <x:c r="K256" s="8" t="n">
        <x:f>IF(COUNT('Monthly data'!F254:F256)=3,'Monthly data'!F256-2*'Monthly data'!F255+'Monthly data'!F254,"")</x:f>
        <x:v>-17.50999999999999</x:v>
      </x:c>
      <x:c r="L256" s="8" t="n">
        <x:f>IF(COUNT('Monthly data'!G254:G256)=3,'Monthly data'!G256-2*'Monthly data'!G255+'Monthly data'!G254,"")</x:f>
        <x:v>33.2649</x:v>
      </x:c>
      <x:c r="M256" s="8" t="n">
        <x:f>IF(COUNT('Monthly data'!H254:H256)=3,'Monthly data'!H256-2*'Monthly data'!H255+'Monthly data'!H254,"")</x:f>
        <x:v>-17.825699999999998</x:v>
      </x:c>
      <x:c r="N256" s="8" t="n">
        <x:f>IF(COUNT('Monthly data'!I254:I256)=3,'Monthly data'!I256-2*'Monthly data'!I255+'Monthly data'!I254,"")</x:f>
        <x:v>4.026699999999998</x:v>
      </x:c>
      <x:c r="O256" s="8" t="n">
        <x:f>IF(COUNT('Monthly data'!J254:J256)=3,'Monthly data'!J256-2*'Monthly data'!J255+'Monthly data'!J254,"")</x:f>
        <x:v>-28.431600000000003</x:v>
      </x:c>
      <x:c r="P256" s="8" t="n">
        <x:f>IF(COUNT('Monthly data'!K254:K256)=3,'Monthly data'!K256-2*'Monthly data'!K255+'Monthly data'!K254,"")</x:f>
        <x:v>11.7296</x:v>
      </x:c>
      <x:c r="Q256" s="8" t="n">
        <x:f>IF(COUNT('Monthly data'!L254:L256)=3,'Monthly data'!L256-2*'Monthly data'!L255+'Monthly data'!L254,"")</x:f>
        <x:v>-4.609</x:v>
      </x:c>
      <x:c r="R256" s="8" t="n">
        <x:f>IF(COUNT('Monthly data'!M254:M256)=3,'Monthly data'!M256-2*'Monthly data'!M255+'Monthly data'!M254,"")</x:f>
        <x:v>-1.4233000000000005</x:v>
      </x:c>
      <x:c r="S256" s="8" t="n">
        <x:f>IF(COUNT('Monthly data'!N254:N256)=3,'Monthly data'!N256-2*'Monthly data'!N255+'Monthly data'!N254,"")</x:f>
        <x:v>-14.241600000000002</x:v>
      </x:c>
      <x:c r="T256" s="8" t="n">
        <x:f>IF(COUNT('Monthly data'!E255:E256)=2,'Monthly data'!E256-'Monthly data'!E255,"")</x:f>
        <x:v>-0.013979618800000537</x:v>
      </x:c>
    </x:row>
    <x:row r="257" ht="19" customHeight="1">
      <x:c r="A257" s="7" t="n">
        <x:f>'Monthly data'!A257</x:f>
        <x:v>40634</x:v>
      </x:c>
      <x:c r="B257" s="8" t="n">
        <x:f>IF(ISNUMBER('Monthly data'!F257),LN(1+'Monthly data'!F257),"")</x:f>
        <x:v>4.820281565605037</x:v>
      </x:c>
      <x:c r="C257" s="8" t="n">
        <x:f>IF(ISNUMBER('Monthly data'!G257),LN(1+'Monthly data'!G257),"")</x:f>
        <x:v>3.563863133714305</x:v>
      </x:c>
      <x:c r="D257" s="8" t="n">
        <x:f>IF(ISNUMBER('Monthly data'!H257),LN(1+'Monthly data'!H257),"")</x:f>
        <x:v>3.1666852859718935</x:v>
      </x:c>
      <x:c r="E257" s="8" t="n">
        <x:f>IF(ISNUMBER('Monthly data'!I257),LN(1+'Monthly data'!I257),"")</x:f>
        <x:v>2.7793843297065366</x:v>
      </x:c>
      <x:c r="F257" s="8" t="n">
        <x:f>IF(ISNUMBER('Monthly data'!J257),LN(1+'Monthly data'!J257),"")</x:f>
        <x:v>3.4891899437988316</x:v>
      </x:c>
      <x:c r="G257" s="8" t="n">
        <x:f>IF(ISNUMBER('Monthly data'!K257),LN(1+'Monthly data'!K257),"")</x:f>
        <x:v>1.6755439543687638</x:v>
      </x:c>
      <x:c r="H257" s="8" t="n">
        <x:f>IF(ISNUMBER('Monthly data'!L257),LN(1+'Monthly data'!L257),"")</x:f>
        <x:v>0.5275057340171891</x:v>
      </x:c>
      <x:c r="I257" s="8" t="n">
        <x:f>IF(ISNUMBER('Monthly data'!M257),LN(1+'Monthly data'!M257),"")</x:f>
        <x:v>0.6704924899951391</x:v>
      </x:c>
      <x:c r="J257" s="8" t="n">
        <x:f>IF(ISNUMBER('Monthly data'!N257),LN(1+'Monthly data'!N257),"")</x:f>
        <x:v>2.647018413071528</x:v>
      </x:c>
      <x:c r="K257" s="8" t="n">
        <x:f>IF(COUNT('Monthly data'!F255:F257)=3,'Monthly data'!F257-2*'Monthly data'!F256+'Monthly data'!F255,"")</x:f>
        <x:v>-30.890000000000015</x:v>
      </x:c>
      <x:c r="L257" s="8" t="n">
        <x:f>IF(COUNT('Monthly data'!G255:G257)=3,'Monthly data'!G257-2*'Monthly data'!G256+'Monthly data'!G255,"")</x:f>
        <x:v>-47.06179999999999</x:v>
      </x:c>
      <x:c r="M257" s="8" t="n">
        <x:f>IF(COUNT('Monthly data'!H255:H257)=3,'Monthly data'!H257-2*'Monthly data'!H256+'Monthly data'!H255,"")</x:f>
        <x:v>23.109599999999997</x:v>
      </x:c>
      <x:c r="N257" s="8" t="n">
        <x:f>IF(COUNT('Monthly data'!I255:I257)=3,'Monthly data'!I257-2*'Monthly data'!I256+'Monthly data'!I255,"")</x:f>
        <x:v>6.070900000000002</x:v>
      </x:c>
      <x:c r="O257" s="8" t="n">
        <x:f>IF(COUNT('Monthly data'!J255:J257)=3,'Monthly data'!J257-2*'Monthly data'!J256+'Monthly data'!J255,"")</x:f>
        <x:v>0.24020000000000152</x:v>
      </x:c>
      <x:c r="P257" s="8" t="n">
        <x:f>IF(COUNT('Monthly data'!K255:K257)=3,'Monthly data'!K257-2*'Monthly data'!K256+'Monthly data'!K255,"")</x:f>
        <x:v>-19.6313</x:v>
      </x:c>
      <x:c r="Q257" s="8" t="n">
        <x:f>IF(COUNT('Monthly data'!L255:L257)=3,'Monthly data'!L257-2*'Monthly data'!L256+'Monthly data'!L255,"")</x:f>
        <x:v>3.245</x:v>
      </x:c>
      <x:c r="R257" s="8" t="n">
        <x:f>IF(COUNT('Monthly data'!M255:M257)=3,'Monthly data'!M257-2*'Monthly data'!M256+'Monthly data'!M255,"")</x:f>
        <x:v>0.017200000000000326</x:v>
      </x:c>
      <x:c r="S257" s="8" t="n">
        <x:f>IF(COUNT('Monthly data'!N255:N257)=3,'Monthly data'!N257-2*'Monthly data'!N256+'Monthly data'!N255,"")</x:f>
        <x:v>3.120199999999997</x:v>
      </x:c>
      <x:c r="T257" s="8" t="n">
        <x:f>IF(COUNT('Monthly data'!E256:E257)=2,'Monthly data'!E257-'Monthly data'!E256,"")</x:f>
        <x:v>-0.0020803347999986954</x:v>
      </x:c>
    </x:row>
    <x:row r="258" ht="19" customHeight="1">
      <x:c r="A258" s="7" t="n">
        <x:f>'Monthly data'!A258</x:f>
        <x:v>40664</x:v>
      </x:c>
      <x:c r="B258" s="8" t="n">
        <x:f>IF(ISNUMBER('Monthly data'!F258),LN(1+'Monthly data'!F258),"")</x:f>
        <x:v>4.841032509710076</x:v>
      </x:c>
      <x:c r="C258" s="8" t="n">
        <x:f>IF(ISNUMBER('Monthly data'!G258),LN(1+'Monthly data'!G258),"")</x:f>
        <x:v>3.677406389489941</x:v>
      </x:c>
      <x:c r="D258" s="8" t="n">
        <x:f>IF(ISNUMBER('Monthly data'!H258),LN(1+'Monthly data'!H258),"")</x:f>
        <x:v>3.5059507130208982</x:v>
      </x:c>
      <x:c r="E258" s="8" t="n">
        <x:f>IF(ISNUMBER('Monthly data'!I258),LN(1+'Monthly data'!I258),"")</x:f>
        <x:v>3.0250046270060076</x:v>
      </x:c>
      <x:c r="F258" s="8" t="n">
        <x:f>IF(ISNUMBER('Monthly data'!J258),LN(1+'Monthly data'!J258),"")</x:f>
        <x:v>2.9078132120160793</x:v>
      </x:c>
      <x:c r="G258" s="8" t="n">
        <x:f>IF(ISNUMBER('Monthly data'!K258),LN(1+'Monthly data'!K258),"")</x:f>
        <x:v>1.2000852575987433</x:v>
      </x:c>
      <x:c r="H258" s="8" t="n">
        <x:f>IF(ISNUMBER('Monthly data'!L258),LN(1+'Monthly data'!L258),"")</x:f>
        <x:v>0.49743638664697454</x:v>
      </x:c>
      <x:c r="I258" s="8" t="n">
        <x:f>IF(ISNUMBER('Monthly data'!M258),LN(1+'Monthly data'!M258),"")</x:f>
        <x:v>1.0762303377749793</x:v>
      </x:c>
      <x:c r="J258" s="8" t="n">
        <x:f>IF(ISNUMBER('Monthly data'!N258),LN(1+'Monthly data'!N258),"")</x:f>
        <x:v>2.6343175431246952</x:v>
      </x:c>
      <x:c r="K258" s="8" t="n">
        <x:f>IF(COUNT('Monthly data'!F256:F258)=3,'Monthly data'!F258-2*'Monthly data'!F257+'Monthly data'!F256,"")</x:f>
        <x:v>22.78</x:v>
      </x:c>
      <x:c r="L258" s="8" t="n">
        <x:f>IF(COUNT('Monthly data'!G256:G258)=3,'Monthly data'!G258-2*'Monthly data'!G257+'Monthly data'!G256,"")</x:f>
        <x:v>16.706799999999994</x:v>
      </x:c>
      <x:c r="M258" s="8" t="n">
        <x:f>IF(COUNT('Monthly data'!H256:H258)=3,'Monthly data'!H258-2*'Monthly data'!H257+'Monthly data'!H256,"")</x:f>
        <x:v>5.3782</x:v>
      </x:c>
      <x:c r="N258" s="8" t="n">
        <x:f>IF(COUNT('Monthly data'!I256:I258)=3,'Monthly data'!I258-2*'Monthly data'!I257+'Monthly data'!I256,"")</x:f>
        <x:v>0.4692000000000007</x:v>
      </x:c>
      <x:c r="O258" s="8" t="n">
        <x:f>IF(COUNT('Monthly data'!J256:J258)=3,'Monthly data'!J258-2*'Monthly data'!J257+'Monthly data'!J256,"")</x:f>
        <x:v>-11.424300000000002</x:v>
      </x:c>
      <x:c r="P258" s="8" t="n">
        <x:f>IF(COUNT('Monthly data'!K256:K258)=3,'Monthly data'!K258-2*'Monthly data'!K257+'Monthly data'!K256,"")</x:f>
        <x:v>6.633099999999999</x:v>
      </x:c>
      <x:c r="Q258" s="8" t="n">
        <x:f>IF(COUNT('Monthly data'!L256:L258)=3,'Monthly data'!L258-2*'Monthly data'!L257+'Monthly data'!L256,"")</x:f>
        <x:v>-0.2591</x:v>
      </x:c>
      <x:c r="R258" s="8" t="n">
        <x:f>IF(COUNT('Monthly data'!M256:M258)=3,'Monthly data'!M258-2*'Monthly data'!M257+'Monthly data'!M256,"")</x:f>
        <x:v>1.6426999999999998</x:v>
      </x:c>
      <x:c r="S258" s="8" t="n">
        <x:f>IF(COUNT('Monthly data'!N256:N258)=3,'Monthly data'!N258-2*'Monthly data'!N257+'Monthly data'!N256,"")</x:f>
        <x:v>3.6333</x:v>
      </x:c>
      <x:c r="T258" s="8" t="n">
        <x:f>IF(COUNT('Monthly data'!E257:E258)=2,'Monthly data'!E258-'Monthly data'!E257,"")</x:f>
        <x:v>-0.00852140130000123</x:v>
      </x:c>
    </x:row>
    <x:row r="259" ht="19" customHeight="1">
      <x:c r="A259" s="7" t="n">
        <x:f>'Monthly data'!A259</x:f>
        <x:v>40695</x:v>
      </x:c>
      <x:c r="B259" s="8" t="n">
        <x:f>IF(ISNUMBER('Monthly data'!F259),LN(1+'Monthly data'!F259),"")</x:f>
        <x:v>4.776683544065443</x:v>
      </x:c>
      <x:c r="C259" s="8" t="n">
        <x:f>IF(ISNUMBER('Monthly data'!G259),LN(1+'Monthly data'!G259),"")</x:f>
        <x:v>3.6448309056958945</x:v>
      </x:c>
      <x:c r="D259" s="8" t="n">
        <x:f>IF(ISNUMBER('Monthly data'!H259),LN(1+'Monthly data'!H259),"")</x:f>
        <x:v>3.3018410271220207</x:v>
      </x:c>
      <x:c r="E259" s="8" t="n">
        <x:f>IF(ISNUMBER('Monthly data'!I259),LN(1+'Monthly data'!I259),"")</x:f>
        <x:v>2.731571396143556</x:v>
      </x:c>
      <x:c r="F259" s="8" t="n">
        <x:f>IF(ISNUMBER('Monthly data'!J259),LN(1+'Monthly data'!J259),"")</x:f>
        <x:v>2.9597008691444877</x:v>
      </x:c>
      <x:c r="G259" s="8" t="n">
        <x:f>IF(ISNUMBER('Monthly data'!K259),LN(1+'Monthly data'!K259),"")</x:f>
        <x:v>0.9720281365586567</x:v>
      </x:c>
      <x:c r="H259" s="8" t="n">
        <x:f>IF(ISNUMBER('Monthly data'!L259),LN(1+'Monthly data'!L259),"")</x:f>
        <x:v>0.38913245348726677</x:v>
      </x:c>
      <x:c r="I259" s="8" t="n">
        <x:f>IF(ISNUMBER('Monthly data'!M259),LN(1+'Monthly data'!M259),"")</x:f>
        <x:v>0.9882392311867392</x:v>
      </x:c>
      <x:c r="J259" s="8" t="n">
        <x:f>IF(ISNUMBER('Monthly data'!N259),LN(1+'Monthly data'!N259),"")</x:f>
        <x:v>2.934734144492409</x:v>
      </x:c>
      <x:c r="K259" s="8" t="n">
        <x:f>IF(COUNT('Monthly data'!F257:F259)=3,'Monthly data'!F259-2*'Monthly data'!F258+'Monthly data'!F257,"")</x:f>
        <x:v>-10.490000000000009</x:v>
      </x:c>
      <x:c r="L259" s="8" t="n">
        <x:f>IF(COUNT('Monthly data'!G257:G259)=3,'Monthly data'!G259-2*'Monthly data'!G258+'Monthly data'!G257,"")</x:f>
        <x:v>-5.511800000000001</x:v>
      </x:c>
      <x:c r="M259" s="8" t="n">
        <x:f>IF(COUNT('Monthly data'!H257:H259)=3,'Monthly data'!H259-2*'Monthly data'!H258+'Monthly data'!H257,"")</x:f>
        <x:v>-15.7349</x:v>
      </x:c>
      <x:c r="N259" s="8" t="n">
        <x:f>IF(COUNT('Monthly data'!I257:I259)=3,'Monthly data'!I259-2*'Monthly data'!I258+'Monthly data'!I257,"")</x:f>
        <x:v>-9.722100000000003</x:v>
      </x:c>
      <x:c r="O259" s="8" t="n">
        <x:f>IF(COUNT('Monthly data'!J257:J259)=3,'Monthly data'!J259-2*'Monthly data'!J258+'Monthly data'!J257,"")</x:f>
        <x:v>15.418199999999999</x:v>
      </x:c>
      <x:c r="P259" s="8" t="n">
        <x:f>IF(COUNT('Monthly data'!K257:K259)=3,'Monthly data'!K259-2*'Monthly data'!K258+'Monthly data'!K257,"")</x:f>
        <x:v>1.3442000000000007</x:v>
      </x:c>
      <x:c r="Q259" s="8" t="n">
        <x:f>IF(COUNT('Monthly data'!L257:L259)=3,'Monthly data'!L259-2*'Monthly data'!L258+'Monthly data'!L257,"")</x:f>
        <x:v>-0.11859999999999993</x:v>
      </x:c>
      <x:c r="R259" s="8" t="n">
        <x:f>IF(COUNT('Monthly data'!M257:M259)=3,'Monthly data'!M259-2*'Monthly data'!M258+'Monthly data'!M257,"")</x:f>
        <x:v>-1.2254999999999998</x:v>
      </x:c>
      <x:c r="S259" s="8" t="n">
        <x:f>IF(COUNT('Monthly data'!N257:N259)=3,'Monthly data'!N259-2*'Monthly data'!N258+'Monthly data'!N257,"")</x:f>
        <x:v>5.060800000000002</x:v>
      </x:c>
      <x:c r="T259" s="8" t="n">
        <x:f>IF(COUNT('Monthly data'!E258:E259)=2,'Monthly data'!E259-'Monthly data'!E258,"")</x:f>
        <x:v>0.010659498000000767</x:v>
      </x:c>
    </x:row>
    <x:row r="260" ht="19" customHeight="1">
      <x:c r="A260" s="7" t="n">
        <x:f>'Monthly data'!A260</x:f>
        <x:v>40725</x:v>
      </x:c>
      <x:c r="B260" s="8" t="n">
        <x:f>IF(ISNUMBER('Monthly data'!F260),LN(1+'Monthly data'!F260),"")</x:f>
        <x:v>4.621338767149675</x:v>
      </x:c>
      <x:c r="C260" s="8" t="n">
        <x:f>IF(ISNUMBER('Monthly data'!G260),LN(1+'Monthly data'!G260),"")</x:f>
        <x:v>2.870429787558861</x:v>
      </x:c>
      <x:c r="D260" s="8" t="n">
        <x:f>IF(ISNUMBER('Monthly data'!H260),LN(1+'Monthly data'!H260),"")</x:f>
        <x:v>3.3527491590240537</x:v>
      </x:c>
      <x:c r="E260" s="8" t="n">
        <x:f>IF(ISNUMBER('Monthly data'!I260),LN(1+'Monthly data'!I260),"")</x:f>
        <x:v>2.9464842545850454</x:v>
      </x:c>
      <x:c r="F260" s="8" t="n">
        <x:f>IF(ISNUMBER('Monthly data'!J260),LN(1+'Monthly data'!J260),"")</x:f>
        <x:v>2.7650541585699426</x:v>
      </x:c>
      <x:c r="G260" s="8" t="n">
        <x:f>IF(ISNUMBER('Monthly data'!K260),LN(1+'Monthly data'!K260),"")</x:f>
        <x:v>0.8911370129906149</x:v>
      </x:c>
      <x:c r="H260" s="8" t="n">
        <x:f>IF(ISNUMBER('Monthly data'!L260),LN(1+'Monthly data'!L260),"")</x:f>
        <x:v>0.47623417899637155</x:v>
      </x:c>
      <x:c r="I260" s="8" t="n">
        <x:f>IF(ISNUMBER('Monthly data'!M260),LN(1+'Monthly data'!M260),"")</x:f>
        <x:v>0.8911370129906149</x:v>
      </x:c>
      <x:c r="J260" s="8" t="n">
        <x:f>IF(ISNUMBER('Monthly data'!N260),LN(1+'Monthly data'!N260),"")</x:f>
        <x:v>3.0445033899229674</x:v>
      </x:c>
      <x:c r="K260" s="8" t="n">
        <x:f>IF(COUNT('Monthly data'!F258:F260)=3,'Monthly data'!F260-2*'Monthly data'!F259+'Monthly data'!F258,"")</x:f>
        <x:v>-9.189999999999998</x:v>
      </x:c>
      <x:c r="L260" s="8" t="n">
        <x:f>IF(COUNT('Monthly data'!G258:G260)=3,'Monthly data'!G260-2*'Monthly data'!G259+'Monthly data'!G258,"")</x:f>
        <x:v>-19.3643</x:v>
      </x:c>
      <x:c r="M260" s="8" t="n">
        <x:f>IF(COUNT('Monthly data'!H258:H260)=3,'Monthly data'!H260-2*'Monthly data'!H259+'Monthly data'!H258,"")</x:f>
        <x:v>7.569099999999995</x:v>
      </x:c>
      <x:c r="N260" s="8" t="n">
        <x:f>IF(COUNT('Monthly data'!I258:I260)=3,'Monthly data'!I260-2*'Monthly data'!I259+'Monthly data'!I258,"")</x:f>
        <x:v>8.919000000000004</x:v>
      </x:c>
      <x:c r="O260" s="8" t="n">
        <x:f>IF(COUNT('Monthly data'!J258:J260)=3,'Monthly data'!J260-2*'Monthly data'!J259+'Monthly data'!J258,"")</x:f>
        <x:v>-4.387800000000002</x:v>
      </x:c>
      <x:c r="P260" s="8" t="n">
        <x:f>IF(COUNT('Monthly data'!K258:K260)=3,'Monthly data'!K260-2*'Monthly data'!K259+'Monthly data'!K258,"")</x:f>
        <x:v>0.4716999999999998</x:v>
      </x:c>
      <x:c r="Q260" s="8" t="n">
        <x:f>IF(COUNT('Monthly data'!L258:L260)=3,'Monthly data'!L260-2*'Monthly data'!L259+'Monthly data'!L258,"")</x:f>
        <x:v>0.3030999999999999</x:v>
      </x:c>
      <x:c r="R260" s="8" t="n">
        <x:f>IF(COUNT('Monthly data'!M258:M260)=3,'Monthly data'!M260-2*'Monthly data'!M259+'Monthly data'!M258,"")</x:f>
        <x:v>-0.0015000000000002789</x:v>
      </x:c>
      <x:c r="S260" s="8" t="n">
        <x:f>IF(COUNT('Monthly data'!N258:N260)=3,'Monthly data'!N260-2*'Monthly data'!N259+'Monthly data'!N258,"")</x:f>
        <x:v>-2.699600000000002</x:v>
      </x:c>
      <x:c r="T260" s="8" t="n">
        <x:f>IF(COUNT('Monthly data'!E259:E260)=2,'Monthly data'!E260-'Monthly data'!E259,"")</x:f>
        <x:v>0.005283425000000008</x:v>
      </x:c>
    </x:row>
    <x:row r="261" ht="19" customHeight="1">
      <x:c r="A261" s="7" t="n">
        <x:f>'Monthly data'!A261</x:f>
        <x:v>40756</x:v>
      </x:c>
      <x:c r="B261" s="8" t="n">
        <x:f>IF(ISNUMBER('Monthly data'!F261),LN(1+'Monthly data'!F261),"")</x:f>
        <x:v>4.629374874684909</x:v>
      </x:c>
      <x:c r="C261" s="8" t="n">
        <x:f>IF(ISNUMBER('Monthly data'!G261),LN(1+'Monthly data'!G261),"")</x:f>
        <x:v>3.305548811276862</x:v>
      </x:c>
      <x:c r="D261" s="8" t="n">
        <x:f>IF(ISNUMBER('Monthly data'!H261),LN(1+'Monthly data'!H261),"")</x:f>
        <x:v>3.1049498412140504</x:v>
      </x:c>
      <x:c r="E261" s="8" t="n">
        <x:f>IF(ISNUMBER('Monthly data'!I261),LN(1+'Monthly data'!I261),"")</x:f>
        <x:v>2.524728143974672</x:v>
      </x:c>
      <x:c r="F261" s="8" t="n">
        <x:f>IF(ISNUMBER('Monthly data'!J261),LN(1+'Monthly data'!J261),"")</x:f>
        <x:v>3.1288942229427645</x:v>
      </x:c>
      <x:c r="G261" s="8" t="n">
        <x:f>IF(ISNUMBER('Monthly data'!K261),LN(1+'Monthly data'!K261),"")</x:f>
        <x:v>0.6886872498378519</x:v>
      </x:c>
      <x:c r="H261" s="8" t="n">
        <x:f>IF(ISNUMBER('Monthly data'!L261),LN(1+'Monthly data'!L261),"")</x:f>
        <x:v>0.3719083245793216</x:v>
      </x:c>
      <x:c r="I261" s="8" t="n">
        <x:f>IF(ISNUMBER('Monthly data'!M261),LN(1+'Monthly data'!M261),"")</x:f>
        <x:v>1.0303334479148152</x:v>
      </x:c>
      <x:c r="J261" s="8" t="n">
        <x:f>IF(ISNUMBER('Monthly data'!N261),LN(1+'Monthly data'!N261),"")</x:f>
        <x:v>2.9068354839268298</x:v>
      </x:c>
      <x:c r="K261" s="8" t="n">
        <x:f>IF(COUNT('Monthly data'!F259:F261)=3,'Monthly data'!F261-2*'Monthly data'!F260+'Monthly data'!F259,"")</x:f>
        <x:v>17.900000000000006</x:v>
      </x:c>
      <x:c r="L261" s="8" t="n">
        <x:f>IF(COUNT('Monthly data'!G259:G261)=3,'Monthly data'!G261-2*'Monthly data'!G260+'Monthly data'!G259,"")</x:f>
        <x:v>30.2506</x:v>
      </x:c>
      <x:c r="M261" s="8" t="n">
        <x:f>IF(COUNT('Monthly data'!H259:H261)=3,'Monthly data'!H261-2*'Monthly data'!H260+'Monthly data'!H259,"")</x:f>
        <x:v>-7.691699999999994</x:v>
      </x:c>
      <x:c r="N261" s="8" t="n">
        <x:f>IF(COUNT('Monthly data'!I259:I261)=3,'Monthly data'!I261-2*'Monthly data'!I260+'Monthly data'!I259,"")</x:f>
        <x:v>-10.233300000000003</x:v>
      </x:c>
      <x:c r="O261" s="8" t="n">
        <x:f>IF(COUNT('Monthly data'!J259:J261)=3,'Monthly data'!J261-2*'Monthly data'!J260+'Monthly data'!J259,"")</x:f>
        <x:v>10.381100000000004</x:v>
      </x:c>
      <x:c r="P261" s="8" t="n">
        <x:f>IF(COUNT('Monthly data'!K259:K261)=3,'Monthly data'!K261-2*'Monthly data'!K260+'Monthly data'!K259,"")</x:f>
        <x:v>-0.24140000000000006</x:v>
      </x:c>
      <x:c r="Q261" s="8" t="n">
        <x:f>IF(COUNT('Monthly data'!L259:L261)=3,'Monthly data'!L261-2*'Monthly data'!L260+'Monthly data'!L259,"")</x:f>
        <x:v>-0.29379999999999995</x:v>
      </x:c>
      <x:c r="R261" s="8" t="n">
        <x:f>IF(COUNT('Monthly data'!M259:M261)=3,'Monthly data'!M261-2*'Monthly data'!M260+'Monthly data'!M259,"")</x:f>
        <x:v>0.6127000000000002</x:v>
      </x:c>
      <x:c r="S261" s="8" t="n">
        <x:f>IF(COUNT('Monthly data'!N259:N261)=3,'Monthly data'!N261-2*'Monthly data'!N260+'Monthly data'!N259,"")</x:f>
        <x:v>-4.883900000000001</x:v>
      </x:c>
      <x:c r="T261" s="8" t="n">
        <x:f>IF(COUNT('Monthly data'!E260:E261)=2,'Monthly data'!E261-'Monthly data'!E260,"")</x:f>
        <x:v>0.0061485331999993065</x:v>
      </x:c>
    </x:row>
    <x:row r="262" ht="19" customHeight="1">
      <x:c r="A262" s="7" t="n">
        <x:f>'Monthly data'!A262</x:f>
        <x:v>40787</x:v>
      </x:c>
      <x:c r="B262" s="8" t="n">
        <x:f>IF(ISNUMBER('Monthly data'!F262),LN(1+'Monthly data'!F262),"")</x:f>
        <x:v>4.719837260966218</x:v>
      </x:c>
      <x:c r="C262" s="8" t="n">
        <x:f>IF(ISNUMBER('Monthly data'!G262),LN(1+'Monthly data'!G262),"")</x:f>
        <x:v>2.9313270768616544</x:v>
      </x:c>
      <x:c r="D262" s="8" t="n">
        <x:f>IF(ISNUMBER('Monthly data'!H262),LN(1+'Monthly data'!H262),"")</x:f>
        <x:v>3.6385173050233854</x:v>
      </x:c>
      <x:c r="E262" s="8" t="n">
        <x:f>IF(ISNUMBER('Monthly data'!I262),LN(1+'Monthly data'!I262),"")</x:f>
        <x:v>3.0643157279078514</x:v>
      </x:c>
      <x:c r="F262" s="8" t="n">
        <x:f>IF(ISNUMBER('Monthly data'!J262),LN(1+'Monthly data'!J262),"")</x:f>
        <x:v>2.851261260891083</x:v>
      </x:c>
      <x:c r="G262" s="8" t="n">
        <x:f>IF(ISNUMBER('Monthly data'!K262),LN(1+'Monthly data'!K262),"")</x:f>
        <x:v>1.2753069329302624</x:v>
      </x:c>
      <x:c r="H262" s="8" t="n">
        <x:f>IF(ISNUMBER('Monthly data'!L262),LN(1+'Monthly data'!L262),"")</x:f>
        <x:v>0.12327901616017124</x:v>
      </x:c>
      <x:c r="I262" s="8" t="n">
        <x:f>IF(ISNUMBER('Monthly data'!M262),LN(1+'Monthly data'!M262),"")</x:f>
        <x:v>0.7994422593775474</x:v>
      </x:c>
      <x:c r="J262" s="8" t="n">
        <x:f>IF(ISNUMBER('Monthly data'!N262),LN(1+'Monthly data'!N262),"")</x:f>
        <x:v>2.8152530186792233</x:v>
      </x:c>
      <x:c r="K262" s="8" t="n">
        <x:f>IF(COUNT('Monthly data'!F260:F262)=3,'Monthly data'!F262-2*'Monthly data'!F261+'Monthly data'!F260,"")</x:f>
        <x:v>8.879999999999995</x:v>
      </x:c>
      <x:c r="L262" s="8" t="n">
        <x:f>IF(COUNT('Monthly data'!G260:G262)=3,'Monthly data'!G262-2*'Monthly data'!G261+'Monthly data'!G260,"")</x:f>
        <x:v>-18.129900000000003</x:v>
      </x:c>
      <x:c r="M262" s="8" t="n">
        <x:f>IF(COUNT('Monthly data'!H260:H262)=3,'Monthly data'!H262-2*'Monthly data'!H261+'Monthly data'!H260,"")</x:f>
        <x:v>22.000400000000003</x:v>
      </x:c>
      <x:c r="N262" s="8" t="n">
        <x:f>IF(COUNT('Monthly data'!I260:I262)=3,'Monthly data'!I262-2*'Monthly data'!I261+'Monthly data'!I260,"")</x:f>
        <x:v>15.483699999999999</x:v>
      </x:c>
      <x:c r="O262" s="8" t="n">
        <x:f>IF(COUNT('Monthly data'!J260:J262)=3,'Monthly data'!J262-2*'Monthly data'!J261+'Monthly data'!J260,"")</x:f>
        <x:v>-12.507900000000003</x:v>
      </x:c>
      <x:c r="P262" s="8" t="n">
        <x:f>IF(COUNT('Monthly data'!K260:K262)=3,'Monthly data'!K262-2*'Monthly data'!K261+'Monthly data'!K260,"")</x:f>
        <x:v>2.0355</x:v>
      </x:c>
      <x:c r="Q262" s="8" t="n">
        <x:f>IF(COUNT('Monthly data'!L260:L262)=3,'Monthly data'!L262-2*'Monthly data'!L261+'Monthly data'!L260,"")</x:f>
        <x:v>-0.15980000000000005</x:v>
      </x:c>
      <x:c r="R262" s="8" t="n">
        <x:f>IF(COUNT('Monthly data'!M260:M262)=3,'Monthly data'!M262-2*'Monthly data'!M261+'Monthly data'!M260,"")</x:f>
        <x:v>-0.9418000000000002</x:v>
      </x:c>
      <x:c r="S262" s="8" t="n">
        <x:f>IF(COUNT('Monthly data'!N260:N262)=3,'Monthly data'!N262-2*'Monthly data'!N261+'Monthly data'!N260,"")</x:f>
        <x:v>1.0994000000000028</x:v>
      </x:c>
      <x:c r="T262" s="8" t="n">
        <x:f>IF(COUNT('Monthly data'!E261:E262)=2,'Monthly data'!E262-'Monthly data'!E261,"")</x:f>
        <x:v>-0.00826738409999983</x:v>
      </x:c>
    </x:row>
    <x:row r="263" ht="19" customHeight="1">
      <x:c r="A263" s="7" t="n">
        <x:f>'Monthly data'!A263</x:f>
        <x:v>40817</x:v>
      </x:c>
      <x:c r="B263" s="8" t="n">
        <x:f>IF(ISNUMBER('Monthly data'!F263),LN(1+'Monthly data'!F263),"")</x:f>
        <x:v>4.610257225036649</x:v>
      </x:c>
      <x:c r="C263" s="8" t="n">
        <x:f>IF(ISNUMBER('Monthly data'!G263),LN(1+'Monthly data'!G263),"")</x:f>
        <x:v>3.158509919581758</x:v>
      </x:c>
      <x:c r="D263" s="8" t="n">
        <x:f>IF(ISNUMBER('Monthly data'!H263),LN(1+'Monthly data'!H263),"")</x:f>
        <x:v>3.489638569318499</x:v>
      </x:c>
      <x:c r="E263" s="8" t="n">
        <x:f>IF(ISNUMBER('Monthly data'!I263),LN(1+'Monthly data'!I263),"")</x:f>
        <x:v>2.672042985796208</x:v>
      </x:c>
      <x:c r="F263" s="8" t="n">
        <x:f>IF(ISNUMBER('Monthly data'!J263),LN(1+'Monthly data'!J263),"")</x:f>
        <x:v>2.680953033217843</x:v>
      </x:c>
      <x:c r="G263" s="8" t="n">
        <x:f>IF(ISNUMBER('Monthly data'!K263),LN(1+'Monthly data'!K263),"")</x:f>
        <x:v>0.8494241696172106</x:v>
      </x:c>
      <x:c r="H263" s="8" t="n">
        <x:f>IF(ISNUMBER('Monthly data'!L263),LN(1+'Monthly data'!L263),"")</x:f>
        <x:v>0.23031775506221003</x:v>
      </x:c>
      <x:c r="I263" s="8" t="n">
        <x:f>IF(ISNUMBER('Monthly data'!M263),LN(1+'Monthly data'!M263),"")</x:f>
        <x:v>0.987196439389886</x:v>
      </x:c>
      <x:c r="J263" s="8" t="n">
        <x:f>IF(ISNUMBER('Monthly data'!N263),LN(1+'Monthly data'!N263),"")</x:f>
        <x:v>2.7632325898157557</x:v>
      </x:c>
      <x:c r="K263" s="8" t="n">
        <x:f>IF(COUNT('Monthly data'!F261:F263)=3,'Monthly data'!F263-2*'Monthly data'!F262+'Monthly data'!F261,"")</x:f>
        <x:v>-21.340000000000003</x:v>
      </x:c>
      <x:c r="L263" s="8" t="n">
        <x:f>IF(COUNT('Monthly data'!G261:G263)=3,'Monthly data'!G263-2*'Monthly data'!G262+'Monthly data'!G261,"")</x:f>
        <x:v>13.293999999999997</x:v>
      </x:c>
      <x:c r="M263" s="8" t="n">
        <x:f>IF(COUNT('Monthly data'!H261:H263)=3,'Monthly data'!H263-2*'Monthly data'!H262+'Monthly data'!H261,"")</x:f>
        <x:v>-20.9886</x:v>
      </x:c>
      <x:c r="N263" s="8" t="n">
        <x:f>IF(COUNT('Monthly data'!I261:I263)=3,'Monthly data'!I263-2*'Monthly data'!I262+'Monthly data'!I261,"")</x:f>
        <x:v>-15.882599999999996</x:v>
      </x:c>
      <x:c r="O263" s="8" t="n">
        <x:f>IF(COUNT('Monthly data'!J261:J263)=3,'Monthly data'!J263-2*'Monthly data'!J262+'Monthly data'!J261,"")</x:f>
        <x:v>2.828500000000002</x:v>
      </x:c>
      <x:c r="P263" s="8" t="n">
        <x:f>IF(COUNT('Monthly data'!K261:K263)=3,'Monthly data'!K263-2*'Monthly data'!K262+'Monthly data'!K261,"")</x:f>
        <x:v>-2.8302</x:v>
      </x:c>
      <x:c r="Q263" s="8" t="n">
        <x:f>IF(COUNT('Monthly data'!L261:L263)=3,'Monthly data'!L263-2*'Monthly data'!L262+'Monthly data'!L261,"")</x:f>
        <x:v>0.4471</x:v>
      </x:c>
      <x:c r="R263" s="8" t="n">
        <x:f>IF(COUNT('Monthly data'!M261:M263)=3,'Monthly data'!M263-2*'Monthly data'!M262+'Monthly data'!M261,"")</x:f>
        <x:v>1.0371000000000001</x:v>
      </x:c>
      <x:c r="S263" s="8" t="n">
        <x:f>IF(COUNT('Monthly data'!N261:N263)=3,'Monthly data'!N263-2*'Monthly data'!N262+'Monthly data'!N261,"")</x:f>
        <x:v>0.7550000000000026</x:v>
      </x:c>
      <x:c r="T263" s="8" t="n">
        <x:f>IF(COUNT('Monthly data'!E262:E263)=2,'Monthly data'!E263-'Monthly data'!E262,"")</x:f>
        <x:v>0.007688397500000832</x:v>
      </x:c>
    </x:row>
    <x:row r="264" ht="19" customHeight="1">
      <x:c r="A264" s="7" t="n">
        <x:f>'Monthly data'!A264</x:f>
        <x:v>40848</x:v>
      </x:c>
      <x:c r="B264" s="8" t="n">
        <x:f>IF(ISNUMBER('Monthly data'!F264),LN(1+'Monthly data'!F264),"")</x:f>
        <x:v>4.624384404911896</x:v>
      </x:c>
      <x:c r="C264" s="8" t="n">
        <x:f>IF(ISNUMBER('Monthly data'!G264),LN(1+'Monthly data'!G264),"")</x:f>
        <x:v>2.8232343069086734</x:v>
      </x:c>
      <x:c r="D264" s="8" t="n">
        <x:f>IF(ISNUMBER('Monthly data'!H264),LN(1+'Monthly data'!H264),"")</x:f>
        <x:v>3.5452024830052387</x:v>
      </x:c>
      <x:c r="E264" s="8" t="n">
        <x:f>IF(ISNUMBER('Monthly data'!I264),LN(1+'Monthly data'!I264),"")</x:f>
        <x:v>2.286760542647074</x:v>
      </x:c>
      <x:c r="F264" s="8" t="n">
        <x:f>IF(ISNUMBER('Monthly data'!J264),LN(1+'Monthly data'!J264),"")</x:f>
        <x:v>2.7006898466959175</x:v>
      </x:c>
      <x:c r="G264" s="8" t="n">
        <x:f>IF(ISNUMBER('Monthly data'!K264),LN(1+'Monthly data'!K264),"")</x:f>
        <x:v>2.1098494978512186</x:v>
      </x:c>
      <x:c r="H264" s="8" t="n">
        <x:f>IF(ISNUMBER('Monthly data'!L264),LN(1+'Monthly data'!L264),"")</x:f>
        <x:v>0.3586529863223601</x:v>
      </x:c>
      <x:c r="I264" s="8" t="n">
        <x:f>IF(ISNUMBER('Monthly data'!M264),LN(1+'Monthly data'!M264),"")</x:f>
        <x:v>1.5027654254069784</x:v>
      </x:c>
      <x:c r="J264" s="8" t="n">
        <x:f>IF(ISNUMBER('Monthly data'!N264),LN(1+'Monthly data'!N264),"")</x:f>
        <x:v>2.920830909825316</x:v>
      </x:c>
      <x:c r="K264" s="8" t="n">
        <x:f>IF(COUNT('Monthly data'!F262:F264)=3,'Monthly data'!F264-2*'Monthly data'!F263+'Monthly data'!F262,"")</x:f>
        <x:v>13.069999999999993</x:v>
      </x:c>
      <x:c r="L264" s="8" t="n">
        <x:f>IF(COUNT('Monthly data'!G262:G264)=3,'Monthly data'!G264-2*'Monthly data'!G263+'Monthly data'!G262,"")</x:f>
        <x:v>-11.487299999999994</x:v>
      </x:c>
      <x:c r="M264" s="8" t="n">
        <x:f>IF(COUNT('Monthly data'!H262:H264)=3,'Monthly data'!H264-2*'Monthly data'!H263+'Monthly data'!H262,"")</x:f>
        <x:v>7.133900000000004</x:v>
      </x:c>
      <x:c r="N264" s="8" t="n">
        <x:f>IF(COUNT('Monthly data'!I262:I264)=3,'Monthly data'!I264-2*'Monthly data'!I263+'Monthly data'!I262,"")</x:f>
        <x:v>2.3237999999999985</x:v>
      </x:c>
      <x:c r="O264" s="8" t="n">
        <x:f>IF(COUNT('Monthly data'!J262:J264)=3,'Monthly data'!J264-2*'Monthly data'!J263+'Monthly data'!J262,"")</x:f>
        <x:v>3.0016</x:v>
      </x:c>
      <x:c r="P264" s="8" t="n">
        <x:f>IF(COUNT('Monthly data'!K262:K264)=3,'Monthly data'!K264-2*'Monthly data'!K263+'Monthly data'!K262,"")</x:f>
        <x:v>7.1502</x:v>
      </x:c>
      <x:c r="Q264" s="8" t="n">
        <x:f>IF(COUNT('Monthly data'!L262:L264)=3,'Monthly data'!L264-2*'Monthly data'!L263+'Monthly data'!L262,"")</x:f>
        <x:v>0.0446</x:v>
      </x:c>
      <x:c r="R264" s="8" t="n">
        <x:f>IF(COUNT('Monthly data'!M262:M264)=3,'Monthly data'!M264-2*'Monthly data'!M263+'Monthly data'!M262,"")</x:f>
        <x:v>1.351</x:v>
      </x:c>
      <x:c r="S264" s="8" t="n">
        <x:f>IF(COUNT('Monthly data'!N262:N264)=3,'Monthly data'!N264-2*'Monthly data'!N263+'Monthly data'!N262,"")</x:f>
        <x:v>3.5520999999999976</x:v>
      </x:c>
      <x:c r="T264" s="8" t="n">
        <x:f>IF(COUNT('Monthly data'!E263:E264)=2,'Monthly data'!E264-'Monthly data'!E263,"")</x:f>
        <x:v>0.012949603399999177</x:v>
      </x:c>
    </x:row>
    <x:row r="265" ht="19" customHeight="1">
      <x:c r="A265" s="7" t="n">
        <x:f>'Monthly data'!A265</x:f>
        <x:v>40878</x:v>
      </x:c>
      <x:c r="B265" s="8" t="n">
        <x:f>IF(ISNUMBER('Monthly data'!F265),LN(1+'Monthly data'!F265),"")</x:f>
        <x:v>4.689695141057779</x:v>
      </x:c>
      <x:c r="C265" s="8" t="n">
        <x:f>IF(ISNUMBER('Monthly data'!G265),LN(1+'Monthly data'!G265),"")</x:f>
        <x:v>2.700347276272516</x:v>
      </x:c>
      <x:c r="D265" s="8" t="n">
        <x:f>IF(ISNUMBER('Monthly data'!H265),LN(1+'Monthly data'!H265),"")</x:f>
        <x:v>3.771801857634316</x:v>
      </x:c>
      <x:c r="E265" s="8" t="n">
        <x:f>IF(ISNUMBER('Monthly data'!I265),LN(1+'Monthly data'!I265),"")</x:f>
        <x:v>2.472243475834603</x:v>
      </x:c>
      <x:c r="F265" s="8" t="n">
        <x:f>IF(ISNUMBER('Monthly data'!J265),LN(1+'Monthly data'!J265),"")</x:f>
        <x:v>2.7586038887147537</x:v>
      </x:c>
      <x:c r="G265" s="8" t="n">
        <x:f>IF(ISNUMBER('Monthly data'!K265),LN(1+'Monthly data'!K265),"")</x:f>
        <x:v>1.9240442518237413</x:v>
      </x:c>
      <x:c r="H265" s="8" t="n">
        <x:f>IF(ISNUMBER('Monthly data'!L265),LN(1+'Monthly data'!L265),"")</x:f>
        <x:v>0.6142662977064977</x:v>
      </x:c>
      <x:c r="I265" s="8" t="n">
        <x:f>IF(ISNUMBER('Monthly data'!M265),LN(1+'Monthly data'!M265),"")</x:f>
        <x:v>1.5950955507182238</x:v>
      </x:c>
      <x:c r="J265" s="8" t="n">
        <x:f>IF(ISNUMBER('Monthly data'!N265),LN(1+'Monthly data'!N265),"")</x:f>
        <x:v>2.786510118362074</x:v>
      </x:c>
      <x:c r="K265" s="8" t="n">
        <x:f>IF(COUNT('Monthly data'!F263:F265)=3,'Monthly data'!F265-2*'Monthly data'!F264+'Monthly data'!F263,"")</x:f>
        <x:v>5.450000000000003</x:v>
      </x:c>
      <x:c r="L265" s="8" t="n">
        <x:f>IF(COUNT('Monthly data'!G263:G265)=3,'Monthly data'!G265-2*'Monthly data'!G264+'Monthly data'!G263,"")</x:f>
        <x:v>4.757999999999996</x:v>
      </x:c>
      <x:c r="M265" s="8" t="n">
        <x:f>IF(COUNT('Monthly data'!H263:H265)=3,'Monthly data'!H265-2*'Monthly data'!H264+'Monthly data'!H263,"")</x:f>
        <x:v>6.9389999999999965</x:v>
      </x:c>
      <x:c r="N265" s="8" t="n">
        <x:f>IF(COUNT('Monthly data'!I263:I265)=3,'Monthly data'!I265-2*'Monthly data'!I264+'Monthly data'!I263,"")</x:f>
        <x:v>6.6325</x:v>
      </x:c>
      <x:c r="O265" s="8" t="n">
        <x:f>IF(COUNT('Monthly data'!J263:J265)=3,'Monthly data'!J265-2*'Monthly data'!J264+'Monthly data'!J263,"")</x:f>
        <x:v>0.5967999999999982</x:v>
      </x:c>
      <x:c r="P265" s="8" t="n">
        <x:f>IF(COUNT('Monthly data'!K263:K265)=3,'Monthly data'!K265-2*'Monthly data'!K264+'Monthly data'!K263,"")</x:f>
        <x:v>-7.307099999999998</x:v>
      </x:c>
      <x:c r="Q265" s="8" t="n">
        <x:f>IF(COUNT('Monthly data'!L263:L265)=3,'Monthly data'!L265-2*'Monthly data'!L264+'Monthly data'!L263,"")</x:f>
        <x:v>0.24450000000000005</x:v>
      </x:c>
      <x:c r="R265" s="8" t="n">
        <x:f>IF(COUNT('Monthly data'!M263:M265)=3,'Monthly data'!M265-2*'Monthly data'!M264+'Monthly data'!M263,"")</x:f>
        <x:v>-1.3757000000000001</x:v>
      </x:c>
      <x:c r="S265" s="8" t="n">
        <x:f>IF(COUNT('Monthly data'!N263:N265)=3,'Monthly data'!N265-2*'Monthly data'!N264+'Monthly data'!N263,"")</x:f>
        <x:v>-5.038099999999998</x:v>
      </x:c>
      <x:c r="T265" s="8" t="n">
        <x:f>IF(COUNT('Monthly data'!E264:E265)=2,'Monthly data'!E265-'Monthly data'!E264,"")</x:f>
        <x:v>0.004665777599999643</x:v>
      </x:c>
    </x:row>
    <x:row r="266" ht="19" customHeight="1">
      <x:c r="A266" s="7" t="n">
        <x:f>'Monthly data'!A266</x:f>
        <x:v>40909</x:v>
      </x:c>
      <x:c r="B266" s="8" t="n">
        <x:f>IF(ISNUMBER('Monthly data'!F266),LN(1+'Monthly data'!F266),"")</x:f>
        <x:v>4.577798989191959</x:v>
      </x:c>
      <x:c r="C266" s="8" t="n">
        <x:f>IF(ISNUMBER('Monthly data'!G266),LN(1+'Monthly data'!G266),"")</x:f>
        <x:v>2.6187744441564442</x:v>
      </x:c>
      <x:c r="D266" s="8" t="n">
        <x:f>IF(ISNUMBER('Monthly data'!H266),LN(1+'Monthly data'!H266),"")</x:f>
        <x:v>3.5392506186545822</x:v>
      </x:c>
      <x:c r="E266" s="8" t="n">
        <x:f>IF(ISNUMBER('Monthly data'!I266),LN(1+'Monthly data'!I266),"")</x:f>
        <x:v>2.540073266501577</x:v>
      </x:c>
      <x:c r="F266" s="8" t="n">
        <x:f>IF(ISNUMBER('Monthly data'!J266),LN(1+'Monthly data'!J266),"")</x:f>
        <x:v>2.6679987429758585</x:v>
      </x:c>
      <x:c r="G266" s="8" t="n">
        <x:f>IF(ISNUMBER('Monthly data'!K266),LN(1+'Monthly data'!K266),"")</x:f>
        <x:v>1.7656379195264913</x:v>
      </x:c>
      <x:c r="H266" s="8" t="n">
        <x:f>IF(ISNUMBER('Monthly data'!L266),LN(1+'Monthly data'!L266),"")</x:f>
        <x:v>0.7121161271075476</x:v>
      </x:c>
      <x:c r="I266" s="8" t="n">
        <x:f>IF(ISNUMBER('Monthly data'!M266),LN(1+'Monthly data'!M266),"")</x:f>
        <x:v>1.8231612323675865</x:v>
      </x:c>
      <x:c r="J266" s="8" t="n">
        <x:f>IF(ISNUMBER('Monthly data'!N266),LN(1+'Monthly data'!N266),"")</x:f>
        <x:v>2.7062819720395614</x:v>
      </x:c>
      <x:c r="K266" s="8" t="n">
        <x:f>IF(COUNT('Monthly data'!F264:F266)=3,'Monthly data'!F266-2*'Monthly data'!F265+'Monthly data'!F264,"")</x:f>
        <x:v>-18.39999999999999</x:v>
      </x:c>
      <x:c r="L266" s="8" t="n">
        <x:f>IF(COUNT('Monthly data'!G264:G266)=3,'Monthly data'!G266-2*'Monthly data'!G265+'Monthly data'!G264,"")</x:f>
        <x:v>0.7803000000000004</x:v>
      </x:c>
      <x:c r="M266" s="8" t="n">
        <x:f>IF(COUNT('Monthly data'!H264:H266)=3,'Monthly data'!H266-2*'Monthly data'!H265+'Monthly data'!H264,"")</x:f>
        <x:v>-17.8288</x:v>
      </x:c>
      <x:c r="N266" s="8" t="n">
        <x:f>IF(COUNT('Monthly data'!I264:I266)=3,'Monthly data'!I266-2*'Monthly data'!I265+'Monthly data'!I264,"")</x:f>
        <x:v>-1.1744000000000003</x:v>
      </x:c>
      <x:c r="O266" s="8" t="n">
        <x:f>IF(COUNT('Monthly data'!J264:J266)=3,'Monthly data'!J266-2*'Monthly data'!J265+'Monthly data'!J264,"")</x:f>
        <x:v>-2.2545</x:v>
      </x:c>
      <x:c r="P266" s="8" t="n">
        <x:f>IF(COUNT('Monthly data'!K264:K266)=3,'Monthly data'!K266-2*'Monthly data'!K265+'Monthly data'!K264,"")</x:f>
        <x:v>0.39509999999999934</x:v>
      </x:c>
      <x:c r="Q266" s="8" t="n">
        <x:f>IF(COUNT('Monthly data'!L264:L266)=3,'Monthly data'!L266-2*'Monthly data'!L265+'Monthly data'!L264,"")</x:f>
        <x:v>-0.2269000000000001</x:v>
      </x:c>
      <x:c r="R266" s="8" t="n">
        <x:f>IF(COUNT('Monthly data'!M264:M266)=3,'Monthly data'!M266-2*'Monthly data'!M265+'Monthly data'!M264,"")</x:f>
        <x:v>0.8279000000000001</x:v>
      </x:c>
      <x:c r="S266" s="8" t="n">
        <x:f>IF(COUNT('Monthly data'!N264:N266)=3,'Monthly data'!N266-2*'Monthly data'!N265+'Monthly data'!N264,"")</x:f>
        <x:v>1.0816000000000017</x:v>
      </x:c>
      <x:c r="T266" s="8" t="n">
        <x:f>IF(COUNT('Monthly data'!E265:E266)=2,'Monthly data'!E266-'Monthly data'!E265,"")</x:f>
        <x:v>0.002214841700000747</x:v>
      </x:c>
    </x:row>
    <x:row r="267" ht="19" customHeight="1">
      <x:c r="A267" s="7" t="n">
        <x:f>'Monthly data'!A267</x:f>
        <x:v>40940</x:v>
      </x:c>
      <x:c r="B267" s="8" t="n">
        <x:f>IF(ISNUMBER('Monthly data'!F267),LN(1+'Monthly data'!F267),"")</x:f>
        <x:v>4.669833699313814</x:v>
      </x:c>
      <x:c r="C267" s="8" t="n">
        <x:f>IF(ISNUMBER('Monthly data'!G267),LN(1+'Monthly data'!G267),"")</x:f>
        <x:v>2.620784246255842</x:v>
      </x:c>
      <x:c r="D267" s="8" t="n">
        <x:f>IF(ISNUMBER('Monthly data'!H267),LN(1+'Monthly data'!H267),"")</x:f>
        <x:v>3.628691455713623</x:v>
      </x:c>
      <x:c r="E267" s="8" t="n">
        <x:f>IF(ISNUMBER('Monthly data'!I267),LN(1+'Monthly data'!I267),"")</x:f>
        <x:v>2.6374989731511738</x:v>
      </x:c>
      <x:c r="F267" s="8" t="n">
        <x:f>IF(ISNUMBER('Monthly data'!J267),LN(1+'Monthly data'!J267),"")</x:f>
        <x:v>2.911350164281356</x:v>
      </x:c>
      <x:c r="G267" s="8" t="n">
        <x:f>IF(ISNUMBER('Monthly data'!K267),LN(1+'Monthly data'!K267),"")</x:f>
        <x:v>2.2095263767424407</x:v>
      </x:c>
      <x:c r="H267" s="8" t="n">
        <x:f>IF(ISNUMBER('Monthly data'!L267),LN(1+'Monthly data'!L267),"")</x:f>
        <x:v>0.9095480510067626</x:v>
      </x:c>
      <x:c r="I267" s="8" t="n">
        <x:f>IF(ISNUMBER('Monthly data'!M267),LN(1+'Monthly data'!M267),"")</x:f>
        <x:v>1.4778703046071</x:v>
      </x:c>
      <x:c r="J267" s="8" t="n">
        <x:f>IF(ISNUMBER('Monthly data'!N267),LN(1+'Monthly data'!N267),"")</x:f>
        <x:v>2.634181174757639</x:v>
      </x:c>
      <x:c r="K267" s="8" t="n">
        <x:f>IF(COUNT('Monthly data'!F265:F267)=3,'Monthly data'!F267-2*'Monthly data'!F266+'Monthly data'!F265,"")</x:f>
        <x:v>20.900000000000006</x:v>
      </x:c>
      <x:c r="L267" s="8" t="n">
        <x:f>IF(COUNT('Monthly data'!G265:G267)=3,'Monthly data'!G267-2*'Monthly data'!G266+'Monthly data'!G265,"")</x:f>
        <x:v>1.1936</x:v>
      </x:c>
      <x:c r="M267" s="8" t="n">
        <x:f>IF(COUNT('Monthly data'!H265:H267)=3,'Monthly data'!H267-2*'Monthly data'!H266+'Monthly data'!H265,"")</x:f>
        <x:v>12.239600000000003</x:v>
      </x:c>
      <x:c r="N267" s="8" t="n">
        <x:f>IF(COUNT('Monthly data'!I265:I267)=3,'Monthly data'!I267-2*'Monthly data'!I266+'Monthly data'!I265,"")</x:f>
        <x:v>0.4659999999999993</x:v>
      </x:c>
      <x:c r="O267" s="8" t="n">
        <x:f>IF(COUNT('Monthly data'!J265:J267)=3,'Monthly data'!J267-2*'Monthly data'!J266+'Monthly data'!J265,"")</x:f>
        <x:v>5.337199999999999</x:v>
      </x:c>
      <x:c r="P267" s="8" t="n">
        <x:f>IF(COUNT('Monthly data'!K265:K267)=3,'Monthly data'!K267-2*'Monthly data'!K266+'Monthly data'!K265,"")</x:f>
        <x:v>4.2694</x:v>
      </x:c>
      <x:c r="Q267" s="8" t="n">
        <x:f>IF(COUNT('Monthly data'!L265:L267)=3,'Monthly data'!L267-2*'Monthly data'!L266+'Monthly data'!L265,"")</x:f>
        <x:v>0.2549000000000001</x:v>
      </x:c>
      <x:c r="R267" s="8" t="n">
        <x:f>IF(COUNT('Monthly data'!M265:M267)=3,'Monthly data'!M267-2*'Monthly data'!M266+'Monthly data'!M265,"")</x:f>
        <x:v>-3.0704000000000002</x:v>
      </x:c>
      <x:c r="S267" s="8" t="n">
        <x:f>IF(COUNT('Monthly data'!N265:N267)=3,'Monthly data'!N267-2*'Monthly data'!N266+'Monthly data'!N265,"")</x:f>
        <x:v>0.20920000000000094</x:v>
      </x:c>
      <x:c r="T267" s="8" t="n">
        <x:f>IF(COUNT('Monthly data'!E266:E267)=2,'Monthly data'!E267-'Monthly data'!E266,"")</x:f>
        <x:v>0.0028949018999995246</x:v>
      </x:c>
    </x:row>
    <x:row r="268" ht="19" customHeight="1">
      <x:c r="A268" s="7" t="n">
        <x:f>'Monthly data'!A268</x:f>
        <x:v>40969</x:v>
      </x:c>
      <x:c r="B268" s="8" t="n">
        <x:f>IF(ISNUMBER('Monthly data'!F268),LN(1+'Monthly data'!F268),"")</x:f>
        <x:v>4.661455996998683</x:v>
      </x:c>
      <x:c r="C268" s="8" t="n">
        <x:f>IF(ISNUMBER('Monthly data'!G268),LN(1+'Monthly data'!G268),"")</x:f>
        <x:v>3.0720820167745035</x:v>
      </x:c>
      <x:c r="D268" s="8" t="n">
        <x:f>IF(ISNUMBER('Monthly data'!H268),LN(1+'Monthly data'!H268),"")</x:f>
        <x:v>3.437876405920647</x:v>
      </x:c>
      <x:c r="E268" s="8" t="n">
        <x:f>IF(ISNUMBER('Monthly data'!I268),LN(1+'Monthly data'!I268),"")</x:f>
        <x:v>2.671199477304196</x:v>
      </x:c>
      <x:c r="F268" s="8" t="n">
        <x:f>IF(ISNUMBER('Monthly data'!J268),LN(1+'Monthly data'!J268),"")</x:f>
        <x:v>2.7443306986187825</x:v>
      </x:c>
      <x:c r="G268" s="8" t="n">
        <x:f>IF(ISNUMBER('Monthly data'!K268),LN(1+'Monthly data'!K268),"")</x:f>
        <x:v>2.4015522143927885</x:v>
      </x:c>
      <x:c r="H268" s="8" t="n">
        <x:f>IF(ISNUMBER('Monthly data'!L268),LN(1+'Monthly data'!L268),"")</x:f>
        <x:v>0.9727844804286194</x:v>
      </x:c>
      <x:c r="I268" s="8" t="n">
        <x:f>IF(ISNUMBER('Monthly data'!M268),LN(1+'Monthly data'!M268),"")</x:f>
        <x:v>1.416289961155271</x:v>
      </x:c>
      <x:c r="J268" s="8" t="n">
        <x:f>IF(ISNUMBER('Monthly data'!N268),LN(1+'Monthly data'!N268),"")</x:f>
        <x:v>2.506643679430787</x:v>
      </x:c>
      <x:c r="K268" s="8" t="n">
        <x:f>IF(COUNT('Monthly data'!F266:F268)=3,'Monthly data'!F268-2*'Monthly data'!F267+'Monthly data'!F266,"")</x:f>
        <x:v>-10.27000000000001</x:v>
      </x:c>
      <x:c r="L268" s="8" t="n">
        <x:f>IF(COUNT('Monthly data'!G266:G268)=3,'Monthly data'!G268-2*'Monthly data'!G267+'Monthly data'!G266,"")</x:f>
        <x:v>7.812700000000001</x:v>
      </x:c>
      <x:c r="M268" s="8" t="n">
        <x:f>IF(COUNT('Monthly data'!H266:H268)=3,'Monthly data'!H268-2*'Monthly data'!H267+'Monthly data'!H266,"")</x:f>
        <x:v>-9.765099999999997</x:v>
      </x:c>
      <x:c r="N268" s="8" t="n">
        <x:f>IF(COUNT('Monthly data'!I266:I268)=3,'Monthly data'!I268-2*'Monthly data'!I267+'Monthly data'!I266,"")</x:f>
        <x:v>-0.8184999999999985</x:v>
      </x:c>
      <x:c r="O268" s="8" t="n">
        <x:f>IF(COUNT('Monthly data'!J266:J268)=3,'Monthly data'!J268-2*'Monthly data'!J267+'Monthly data'!J266,"")</x:f>
        <x:v>-6.797899999999997</x:v>
      </x:c>
      <x:c r="P268" s="8" t="n">
        <x:f>IF(COUNT('Monthly data'!K266:K268)=3,'Monthly data'!K268-2*'Monthly data'!K267+'Monthly data'!K266,"")</x:f>
        <x:v>-1.3371999999999993</x:v>
      </x:c>
      <x:c r="Q268" s="8" t="n">
        <x:f>IF(COUNT('Monthly data'!L266:L268)=3,'Monthly data'!L268-2*'Monthly data'!L267+'Monthly data'!L266,"")</x:f>
        <x:v>-0.28280000000000016</x:v>
      </x:c>
      <x:c r="R268" s="8" t="n">
        <x:f>IF(COUNT('Monthly data'!M266:M268)=3,'Monthly data'!M268-2*'Monthly data'!M267+'Monthly data'!M266,"")</x:f>
        <x:v>1.5459999999999998</x:v>
      </x:c>
      <x:c r="S268" s="8" t="n">
        <x:f>IF(COUNT('Monthly data'!N266:N268)=3,'Monthly data'!N268-2*'Monthly data'!N267+'Monthly data'!N266,"")</x:f>
        <x:v>-0.6266000000000016</x:v>
      </x:c>
      <x:c r="T268" s="8" t="n">
        <x:f>IF(COUNT('Monthly data'!E267:E268)=2,'Monthly data'!E268-'Monthly data'!E267,"")</x:f>
        <x:v>-0.00140056479999906</x:v>
      </x:c>
    </x:row>
    <x:row r="269" ht="19" customHeight="1">
      <x:c r="A269" s="7" t="n">
        <x:f>'Monthly data'!A269</x:f>
        <x:v>41000</x:v>
      </x:c>
      <x:c r="B269" s="8" t="n">
        <x:f>IF(ISNUMBER('Monthly data'!F269),LN(1+'Monthly data'!F269),"")</x:f>
        <x:v>4.52796511507912</x:v>
      </x:c>
      <x:c r="C269" s="8" t="n">
        <x:f>IF(ISNUMBER('Monthly data'!G269),LN(1+'Monthly data'!G269),"")</x:f>
        <x:v>2.834089430768393</x:v>
      </x:c>
      <x:c r="D269" s="8" t="n">
        <x:f>IF(ISNUMBER('Monthly data'!H269),LN(1+'Monthly data'!H269),"")</x:f>
        <x:v>3.326915548241593</x:v>
      </x:c>
      <x:c r="E269" s="8" t="n">
        <x:f>IF(ISNUMBER('Monthly data'!I269),LN(1+'Monthly data'!I269),"")</x:f>
        <x:v>2.349211012111876</x:v>
      </x:c>
      <x:c r="F269" s="8" t="n">
        <x:f>IF(ISNUMBER('Monthly data'!J269),LN(1+'Monthly data'!J269),"")</x:f>
        <x:v>2.628703917535767</x:v>
      </x:c>
      <x:c r="G269" s="8" t="n">
        <x:f>IF(ISNUMBER('Monthly data'!K269),LN(1+'Monthly data'!K269),"")</x:f>
        <x:v>2.170892009643163</x:v>
      </x:c>
      <x:c r="H269" s="8" t="n">
        <x:f>IF(ISNUMBER('Monthly data'!L269),LN(1+'Monthly data'!L269),"")</x:f>
        <x:v>1.4357985560229796</x:v>
      </x:c>
      <x:c r="I269" s="8" t="n">
        <x:f>IF(ISNUMBER('Monthly data'!M269),LN(1+'Monthly data'!M269),"")</x:f>
        <x:v>1.1612114304246297</x:v>
      </x:c>
      <x:c r="J269" s="8" t="n">
        <x:f>IF(ISNUMBER('Monthly data'!N269),LN(1+'Monthly data'!N269),"")</x:f>
        <x:v>2.653720723223454</x:v>
      </x:c>
      <x:c r="K269" s="8" t="n">
        <x:f>IF(COUNT('Monthly data'!F267:F269)=3,'Monthly data'!F269-2*'Monthly data'!F268+'Monthly data'!F267,"")</x:f>
        <x:v>-12.330000000000013</x:v>
      </x:c>
      <x:c r="L269" s="8" t="n">
        <x:f>IF(COUNT('Monthly data'!G267:G269)=3,'Monthly data'!G269-2*'Monthly data'!G268+'Monthly data'!G267,"")</x:f>
        <x:v>-12.4122</x:v>
      </x:c>
      <x:c r="M269" s="8" t="n">
        <x:f>IF(COUNT('Monthly data'!H267:H269)=3,'Monthly data'!H269-2*'Monthly data'!H268+'Monthly data'!H267,"")</x:f>
        <x:v>3.2742000000000004</x:v>
      </x:c>
      <x:c r="N269" s="8" t="n">
        <x:f>IF(COUNT('Monthly data'!I267:I269)=3,'Monthly data'!I269-2*'Monthly data'!I268+'Monthly data'!I267,"")</x:f>
        <x:v>-4.459100000000001</x:v>
      </x:c>
      <x:c r="O269" s="8" t="n">
        <x:f>IF(COUNT('Monthly data'!J267:J269)=3,'Monthly data'!J269-2*'Monthly data'!J268+'Monthly data'!J267,"")</x:f>
        <x:v>1.1289999999999978</x:v>
      </x:c>
      <x:c r="P269" s="8" t="n">
        <x:f>IF(COUNT('Monthly data'!K267:K269)=3,'Monthly data'!K269-2*'Monthly data'!K268+'Monthly data'!K267,"")</x:f>
        <x:v>-4.203100000000001</x:v>
      </x:c>
      <x:c r="Q269" s="8" t="n">
        <x:f>IF(COUNT('Monthly data'!L267:L269)=3,'Monthly data'!L269-2*'Monthly data'!L268+'Monthly data'!L267,"")</x:f>
        <x:v>1.3956</x:v>
      </x:c>
      <x:c r="R269" s="8" t="n">
        <x:f>IF(COUNT('Monthly data'!M267:M269)=3,'Monthly data'!M269-2*'Monthly data'!M268+'Monthly data'!M267,"")</x:f>
        <x:v>-0.6661999999999995</x:v>
      </x:c>
      <x:c r="S269" s="8" t="n">
        <x:f>IF(COUNT('Monthly data'!N267:N269)=3,'Monthly data'!N269-2*'Monthly data'!N268+'Monthly data'!N267,"")</x:f>
        <x:v>3.6113</x:v>
      </x:c>
      <x:c r="T269" s="8" t="n">
        <x:f>IF(COUNT('Monthly data'!E268:E269)=2,'Monthly data'!E269-'Monthly data'!E268,"")</x:f>
        <x:v>0.004114709399999583</x:v>
      </x:c>
    </x:row>
    <x:row r="270" ht="19" customHeight="1">
      <x:c r="A270" s="7" t="n">
        <x:f>'Monthly data'!A270</x:f>
        <x:v>41030</x:v>
      </x:c>
      <x:c r="B270" s="8" t="n">
        <x:f>IF(ISNUMBER('Monthly data'!F270),LN(1+'Monthly data'!F270),"")</x:f>
        <x:v>4.658331734102323</x:v>
      </x:c>
      <x:c r="C270" s="8" t="n">
        <x:f>IF(ISNUMBER('Monthly data'!G270),LN(1+'Monthly data'!G270),"")</x:f>
        <x:v>2.9609544760180473</x:v>
      </x:c>
      <x:c r="D270" s="8" t="n">
        <x:f>IF(ISNUMBER('Monthly data'!H270),LN(1+'Monthly data'!H270),"")</x:f>
        <x:v>3.6255615210888568</x:v>
      </x:c>
      <x:c r="E270" s="8" t="n">
        <x:f>IF(ISNUMBER('Monthly data'!I270),LN(1+'Monthly data'!I270),"")</x:f>
        <x:v>2.6458626919466983</x:v>
      </x:c>
      <x:c r="F270" s="8" t="n">
        <x:f>IF(ISNUMBER('Monthly data'!J270),LN(1+'Monthly data'!J270),"")</x:f>
        <x:v>2.374487062283124</x:v>
      </x:c>
      <x:c r="G270" s="8" t="n">
        <x:f>IF(ISNUMBER('Monthly data'!K270),LN(1+'Monthly data'!K270),"")</x:f>
        <x:v>1.964942171388493</x:v>
      </x:c>
      <x:c r="H270" s="8" t="n">
        <x:f>IF(ISNUMBER('Monthly data'!L270),LN(1+'Monthly data'!L270),"")</x:f>
        <x:v>0.6024563152754415</x:v>
      </x:c>
      <x:c r="I270" s="8" t="n">
        <x:f>IF(ISNUMBER('Monthly data'!M270),LN(1+'Monthly data'!M270),"")</x:f>
        <x:v>1.3976051522657573</x:v>
      </x:c>
      <x:c r="J270" s="8" t="n">
        <x:f>IF(ISNUMBER('Monthly data'!N270),LN(1+'Monthly data'!N270),"")</x:f>
        <x:v>2.876391149708372</x:v>
      </x:c>
      <x:c r="K270" s="8" t="n">
        <x:f>IF(COUNT('Monthly data'!F268:F270)=3,'Monthly data'!F270-2*'Monthly data'!F269+'Monthly data'!F268,"")</x:f>
        <x:v>26.110000000000014</x:v>
      </x:c>
      <x:c r="L270" s="8" t="n">
        <x:f>IF(COUNT('Monthly data'!G268:G270)=3,'Monthly data'!G270-2*'Monthly data'!G269+'Monthly data'!G268,"")</x:f>
        <x:v>6.8734</x:v>
      </x:c>
      <x:c r="M270" s="8" t="n">
        <x:f>IF(COUNT('Monthly data'!H268:H270)=3,'Monthly data'!H270-2*'Monthly data'!H269+'Monthly data'!H268,"")</x:f>
        <x:v>12.962</x:v>
      </x:c>
      <x:c r="N270" s="8" t="n">
        <x:f>IF(COUNT('Monthly data'!I268:I270)=3,'Monthly data'!I270-2*'Monthly data'!I269+'Monthly data'!I268,"")</x:f>
        <x:v>7.5983</x:v>
      </x:c>
      <x:c r="O270" s="8" t="n">
        <x:f>IF(COUNT('Monthly data'!J268:J270)=3,'Monthly data'!J270-2*'Monthly data'!J269+'Monthly data'!J268,"")</x:f>
        <x:v>-1.411900000000001</x:v>
      </x:c>
      <x:c r="P270" s="8" t="n">
        <x:f>IF(COUNT('Monthly data'!K268:K270)=3,'Monthly data'!K270-2*'Monthly data'!K269+'Monthly data'!K268,"")</x:f>
        <x:v>0.6425999999999998</x:v>
      </x:c>
      <x:c r="Q270" s="8" t="n">
        <x:f>IF(COUNT('Monthly data'!L268:L270)=3,'Monthly data'!L270-2*'Monthly data'!L269+'Monthly data'!L268,"")</x:f>
        <x:v>-3.9341</x:v>
      </x:c>
      <x:c r="R270" s="8" t="n">
        <x:f>IF(COUNT('Monthly data'!M268:M270)=3,'Monthly data'!M270-2*'Monthly data'!M269+'Monthly data'!M268,"")</x:f>
        <x:v>1.7797</x:v>
      </x:c>
      <x:c r="S270" s="8" t="n">
        <x:f>IF(COUNT('Monthly data'!N268:N270)=3,'Monthly data'!N270-2*'Monthly data'!N269+'Monthly data'!N268,"")</x:f>
        <x:v>1.600200000000001</x:v>
      </x:c>
      <x:c r="T270" s="8" t="n">
        <x:f>IF(COUNT('Monthly data'!E269:E270)=2,'Monthly data'!E270-'Monthly data'!E269,"")</x:f>
        <x:v>-0.009081138300000902</x:v>
      </x:c>
    </x:row>
    <x:row r="271" ht="19" customHeight="1">
      <x:c r="A271" s="7" t="n">
        <x:f>'Monthly data'!A271</x:f>
        <x:v>41061</x:v>
      </x:c>
      <x:c r="B271" s="8" t="n">
        <x:f>IF(ISNUMBER('Monthly data'!F271),LN(1+'Monthly data'!F271),"")</x:f>
        <x:v>4.5263434054421205</x:v>
      </x:c>
      <x:c r="C271" s="8" t="n">
        <x:f>IF(ISNUMBER('Monthly data'!G271),LN(1+'Monthly data'!G271),"")</x:f>
        <x:v>2.7170429779372554</x:v>
      </x:c>
      <x:c r="D271" s="8" t="n">
        <x:f>IF(ISNUMBER('Monthly data'!H271),LN(1+'Monthly data'!H271),"")</x:f>
        <x:v>3.4006839165281595</x:v>
      </x:c>
      <x:c r="E271" s="8" t="n">
        <x:f>IF(ISNUMBER('Monthly data'!I271),LN(1+'Monthly data'!I271),"")</x:f>
        <x:v>2.4341307653804662</x:v>
      </x:c>
      <x:c r="F271" s="8" t="n">
        <x:f>IF(ISNUMBER('Monthly data'!J271),LN(1+'Monthly data'!J271),"")</x:f>
        <x:v>2.7703487152964343</x:v>
      </x:c>
      <x:c r="G271" s="8" t="n">
        <x:f>IF(ISNUMBER('Monthly data'!K271),LN(1+'Monthly data'!K271),"")</x:f>
        <x:v>1.582621546274742</x:v>
      </x:c>
      <x:c r="H271" s="8" t="n">
        <x:f>IF(ISNUMBER('Monthly data'!L271),LN(1+'Monthly data'!L271),"")</x:f>
        <x:v>1.0604949665549817</x:v>
      </x:c>
      <x:c r="I271" s="8" t="n">
        <x:f>IF(ISNUMBER('Monthly data'!M271),LN(1+'Monthly data'!M271),"")</x:f>
        <x:v>1.0604949665549817</x:v>
      </x:c>
      <x:c r="J271" s="8" t="n">
        <x:f>IF(ISNUMBER('Monthly data'!N271),LN(1+'Monthly data'!N271),"")</x:f>
        <x:v>2.790336543789435</x:v>
      </x:c>
      <x:c r="K271" s="8" t="n">
        <x:f>IF(COUNT('Monthly data'!F269:F271)=3,'Monthly data'!F271-2*'Monthly data'!F270+'Monthly data'!F269,"")</x:f>
        <x:v>-25.929999999999993</x:v>
      </x:c>
      <x:c r="L271" s="8" t="n">
        <x:f>IF(COUNT('Monthly data'!G269:G271)=3,'Monthly data'!G271-2*'Monthly data'!G270+'Monthly data'!G269,"")</x:f>
        <x:v>-6.482400000000002</x:v>
      </x:c>
      <x:c r="M271" s="8" t="n">
        <x:f>IF(COUNT('Monthly data'!H269:H271)=3,'Monthly data'!H271-2*'Monthly data'!H270+'Monthly data'!H269,"")</x:f>
        <x:v>-17.2547</x:v>
      </x:c>
      <x:c r="N271" s="8" t="n">
        <x:f>IF(COUNT('Monthly data'!I269:I271)=3,'Monthly data'!I271-2*'Monthly data'!I270+'Monthly data'!I269,"")</x:f>
        <x:v>-6.307999999999998</x:v>
      </x:c>
      <x:c r="O271" s="8" t="n">
        <x:f>IF(COUNT('Monthly data'!J269:J271)=3,'Monthly data'!J271-2*'Monthly data'!J270+'Monthly data'!J269,"")</x:f>
        <x:v>8.329</x:v>
      </x:c>
      <x:c r="P271" s="8" t="n">
        <x:f>IF(COUNT('Monthly data'!K269:K271)=3,'Monthly data'!K271-2*'Monthly data'!K270+'Monthly data'!K269,"")</x:f>
        <x:v>-0.6351999999999993</x:v>
      </x:c>
      <x:c r="Q271" s="8" t="n">
        <x:f>IF(COUNT('Monthly data'!L269:L271)=3,'Monthly data'!L271-2*'Monthly data'!L270+'Monthly data'!L269,"")</x:f>
        <x:v>3.4375999999999998</x:v>
      </x:c>
      <x:c r="R271" s="8" t="n">
        <x:f>IF(COUNT('Monthly data'!M269:M271)=3,'Monthly data'!M271-2*'Monthly data'!M270+'Monthly data'!M269,"")</x:f>
        <x:v>-2.0094000000000007</x:v>
      </x:c>
      <x:c r="S271" s="8" t="n">
        <x:f>IF(COUNT('Monthly data'!N269:N271)=3,'Monthly data'!N271-2*'Monthly data'!N270+'Monthly data'!N269,"")</x:f>
        <x:v>-5.0069</x:v>
      </x:c>
      <x:c r="T271" s="8" t="n">
        <x:f>IF(COUNT('Monthly data'!E270:E271)=2,'Monthly data'!E271-'Monthly data'!E270,"")</x:f>
        <x:v>-0.002671382699999114</x:v>
      </x:c>
    </x:row>
    <x:row r="272" ht="19" customHeight="1">
      <x:c r="A272" s="7" t="n">
        <x:f>'Monthly data'!A272</x:f>
        <x:v>41091</x:v>
      </x:c>
      <x:c r="B272" s="8" t="n">
        <x:f>IF(ISNUMBER('Monthly data'!F272),LN(1+'Monthly data'!F272),"")</x:f>
        <x:v>4.517758728977122</x:v>
      </x:c>
      <x:c r="C272" s="8" t="n">
        <x:f>IF(ISNUMBER('Monthly data'!G272),LN(1+'Monthly data'!G272),"")</x:f>
        <x:v>2.5920031577388762</x:v>
      </x:c>
      <x:c r="D272" s="8" t="n">
        <x:f>IF(ISNUMBER('Monthly data'!H272),LN(1+'Monthly data'!H272),"")</x:f>
        <x:v>3.302591777908033</x:v>
      </x:c>
      <x:c r="E272" s="8" t="n">
        <x:f>IF(ISNUMBER('Monthly data'!I272),LN(1+'Monthly data'!I272),"")</x:f>
        <x:v>2.5426644210144578</x:v>
      </x:c>
      <x:c r="F272" s="8" t="n">
        <x:f>IF(ISNUMBER('Monthly data'!J272),LN(1+'Monthly data'!J272),"")</x:f>
        <x:v>2.939939397530983</x:v>
      </x:c>
      <x:c r="G272" s="8" t="n">
        <x:f>IF(ISNUMBER('Monthly data'!K272),LN(1+'Monthly data'!K272),"")</x:f>
        <x:v>1.3594112260861022</x:v>
      </x:c>
      <x:c r="H272" s="8" t="n">
        <x:f>IF(ISNUMBER('Monthly data'!L272),LN(1+'Monthly data'!L272),"")</x:f>
        <x:v>0.8663018495290827</x:v>
      </x:c>
      <x:c r="I272" s="8" t="n">
        <x:f>IF(ISNUMBER('Monthly data'!M272),LN(1+'Monthly data'!M272),"")</x:f>
        <x:v>1.4918023659006614</x:v>
      </x:c>
      <x:c r="J272" s="8" t="n">
        <x:f>IF(ISNUMBER('Monthly data'!N272),LN(1+'Monthly data'!N272),"")</x:f>
        <x:v>2.7565355569175334</x:v>
      </x:c>
      <x:c r="K272" s="8" t="n">
        <x:f>IF(COUNT('Monthly data'!F270:F272)=3,'Monthly data'!F272-2*'Monthly data'!F271+'Monthly data'!F270,"")</x:f>
        <x:v>12.249999999999986</x:v>
      </x:c>
      <x:c r="L272" s="8" t="n">
        <x:f>IF(COUNT('Monthly data'!G270:G272)=3,'Monthly data'!G272-2*'Monthly data'!G271+'Monthly data'!G270,"")</x:f>
        <x:v>2.4019000000000013</x:v>
      </x:c>
      <x:c r="M272" s="8" t="n">
        <x:f>IF(COUNT('Monthly data'!H270:H272)=3,'Monthly data'!H272-2*'Monthly data'!H271+'Monthly data'!H270,"")</x:f>
        <x:v>4.759599999999999</x:v>
      </x:c>
      <x:c r="N272" s="8" t="n">
        <x:f>IF(COUNT('Monthly data'!I270:I272)=3,'Monthly data'!I272-2*'Monthly data'!I271+'Monthly data'!I270,"")</x:f>
        <x:v>3.9972999999999974</x:v>
      </x:c>
      <x:c r="O272" s="8" t="n">
        <x:f>IF(COUNT('Monthly data'!J270:J272)=3,'Monthly data'!J272-2*'Monthly data'!J271+'Monthly data'!J270,"")</x:f>
        <x:v>-2.2682</x:v>
      </x:c>
      <x:c r="P272" s="8" t="n">
        <x:f>IF(COUNT('Monthly data'!K270:K272)=3,'Monthly data'!K272-2*'Monthly data'!K271+'Monthly data'!K270,"")</x:f>
        <x:v>1.2930000000000001</x:v>
      </x:c>
      <x:c r="Q272" s="8" t="n">
        <x:f>IF(COUNT('Monthly data'!L270:L272)=3,'Monthly data'!L272-2*'Monthly data'!L271+'Monthly data'!L270,"")</x:f>
        <x:v>-1.5709</x:v>
      </x:c>
      <x:c r="R272" s="8" t="n">
        <x:f>IF(COUNT('Monthly data'!M270:M272)=3,'Monthly data'!M272-2*'Monthly data'!M271+'Monthly data'!M270,"")</x:f>
        <x:v>2.7150000000000003</x:v>
      </x:c>
      <x:c r="S272" s="8" t="n">
        <x:f>IF(COUNT('Monthly data'!N270:N272)=3,'Monthly data'!N272-2*'Monthly data'!N271+'Monthly data'!N270,"")</x:f>
        <x:v>0.9222999999999999</x:v>
      </x:c>
      <x:c r="T272" s="8" t="n">
        <x:f>IF(COUNT('Monthly data'!E271:E272)=2,'Monthly data'!E272-'Monthly data'!E271,"")</x:f>
        <x:v>0.0033264426000005898</x:v>
      </x:c>
    </x:row>
    <x:row r="273" ht="19" customHeight="1">
      <x:c r="A273" s="7" t="n">
        <x:f>'Monthly data'!A273</x:f>
        <x:v>41122</x:v>
      </x:c>
      <x:c r="B273" s="8" t="n">
        <x:f>IF(ISNUMBER('Monthly data'!F273),LN(1+'Monthly data'!F273),"")</x:f>
        <x:v>4.481193006168381</x:v>
      </x:c>
      <x:c r="C273" s="8" t="n">
        <x:f>IF(ISNUMBER('Monthly data'!G273),LN(1+'Monthly data'!G273),"")</x:f>
        <x:v>2.8451593525746146</x:v>
      </x:c>
      <x:c r="D273" s="8" t="n">
        <x:f>IF(ISNUMBER('Monthly data'!H273),LN(1+'Monthly data'!H273),"")</x:f>
        <x:v>3.1264095971956074</x:v>
      </x:c>
      <x:c r="E273" s="8" t="n">
        <x:f>IF(ISNUMBER('Monthly data'!I273),LN(1+'Monthly data'!I273),"")</x:f>
        <x:v>2.697346453168324</x:v>
      </x:c>
      <x:c r="F273" s="8" t="n">
        <x:f>IF(ISNUMBER('Monthly data'!J273),LN(1+'Monthly data'!J273),"")</x:f>
        <x:v>2.822420010917624</x:v>
      </x:c>
      <x:c r="G273" s="8" t="n">
        <x:f>IF(ISNUMBER('Monthly data'!K273),LN(1+'Monthly data'!K273),"")</x:f>
        <x:v>1.8720636811679086</x:v>
      </x:c>
      <x:c r="H273" s="8" t="n">
        <x:f>IF(ISNUMBER('Monthly data'!L273),LN(1+'Monthly data'!L273),"")</x:f>
        <x:v>0.5730677602294036</x:v>
      </x:c>
      <x:c r="I273" s="8" t="n">
        <x:f>IF(ISNUMBER('Monthly data'!M273),LN(1+'Monthly data'!M273),"")</x:f>
        <x:v>1.2869987500243143</x:v>
      </x:c>
      <x:c r="J273" s="8" t="n">
        <x:f>IF(ISNUMBER('Monthly data'!N273),LN(1+'Monthly data'!N273),"")</x:f>
        <x:v>2.4671329627996723</x:v>
      </x:c>
      <x:c r="K273" s="8" t="n">
        <x:f>IF(COUNT('Monthly data'!F271:F273)=3,'Monthly data'!F273-2*'Monthly data'!F272+'Monthly data'!F271,"")</x:f>
        <x:v>-2.499999999999986</x:v>
      </x:c>
      <x:c r="L273" s="8" t="n">
        <x:f>IF(COUNT('Monthly data'!G271:G273)=3,'Monthly data'!G273-2*'Monthly data'!G272+'Monthly data'!G271,"")</x:f>
        <x:v>5.626799999999999</x:v>
      </x:c>
      <x:c r="M273" s="8" t="n">
        <x:f>IF(COUNT('Monthly data'!H271:H273)=3,'Monthly data'!H273-2*'Monthly data'!H272+'Monthly data'!H271,"")</x:f>
        <x:v>-1.5893999999999977</x:v>
      </x:c>
      <x:c r="N273" s="8" t="n">
        <x:f>IF(COUNT('Monthly data'!I271:I273)=3,'Monthly data'!I273-2*'Monthly data'!I272+'Monthly data'!I271,"")</x:f>
        <x:v>0.8192000000000004</x:v>
      </x:c>
      <x:c r="O273" s="8" t="n">
        <x:f>IF(COUNT('Monthly data'!J271:J273)=3,'Monthly data'!J273-2*'Monthly data'!J272+'Monthly data'!J271,"")</x:f>
        <x:v>-5.047699999999997</x:v>
      </x:c>
      <x:c r="P273" s="8" t="n">
        <x:f>IF(COUNT('Monthly data'!K271:K273)=3,'Monthly data'!K273-2*'Monthly data'!K272+'Monthly data'!K271,"")</x:f>
        <x:v>3.5816</x:v>
      </x:c>
      <x:c r="Q273" s="8" t="n">
        <x:f>IF(COUNT('Monthly data'!L271:L273)=3,'Monthly data'!L273-2*'Monthly data'!L272+'Monthly data'!L271,"")</x:f>
        <x:v>-0.09470000000000023</x:v>
      </x:c>
      <x:c r="R273" s="8" t="n">
        <x:f>IF(COUNT('Monthly data'!M271:M273)=3,'Monthly data'!M273-2*'Monthly data'!M272+'Monthly data'!M271,"")</x:f>
        <x:v>-2.3805</x:v>
      </x:c>
      <x:c r="S273" s="8" t="n">
        <x:f>IF(COUNT('Monthly data'!N271:N273)=3,'Monthly data'!N273-2*'Monthly data'!N272+'Monthly data'!N271,"")</x:f>
        <x:v>-3.4152999999999984</x:v>
      </x:c>
      <x:c r="T273" s="8" t="n">
        <x:f>IF(COUNT('Monthly data'!E272:E273)=2,'Monthly data'!E273-'Monthly data'!E272,"")</x:f>
        <x:v>-0.00026680460000072515</x:v>
      </x:c>
    </x:row>
    <x:row r="274" ht="19" customHeight="1">
      <x:c r="A274" s="7" t="n">
        <x:f>'Monthly data'!A274</x:f>
        <x:v>41153</x:v>
      </x:c>
      <x:c r="B274" s="8" t="n">
        <x:f>IF(ISNUMBER('Monthly data'!F274),LN(1+'Monthly data'!F274),"")</x:f>
        <x:v>4.6341462942246086</x:v>
      </x:c>
      <x:c r="C274" s="8" t="n">
        <x:f>IF(ISNUMBER('Monthly data'!G274),LN(1+'Monthly data'!G274),"")</x:f>
        <x:v>2.622027426193562</x:v>
      </x:c>
      <x:c r="D274" s="8" t="n">
        <x:f>IF(ISNUMBER('Monthly data'!H274),LN(1+'Monthly data'!H274),"")</x:f>
        <x:v>3.672068945961301</x:v>
      </x:c>
      <x:c r="E274" s="8" t="n">
        <x:f>IF(ISNUMBER('Monthly data'!I274),LN(1+'Monthly data'!I274),"")</x:f>
        <x:v>2.996666836713767</x:v>
      </x:c>
      <x:c r="F274" s="8" t="n">
        <x:f>IF(ISNUMBER('Monthly data'!J274),LN(1+'Monthly data'!J274),"")</x:f>
        <x:v>2.4661654589687596</x:v>
      </x:c>
      <x:c r="G274" s="8" t="n">
        <x:f>IF(ISNUMBER('Monthly data'!K274),LN(1+'Monthly data'!K274),"")</x:f>
        <x:v>2.1720776949142633</x:v>
      </x:c>
      <x:c r="H274" s="8" t="n">
        <x:f>IF(ISNUMBER('Monthly data'!L274),LN(1+'Monthly data'!L274),"")</x:f>
        <x:v>0.2591282650337199</x:v>
      </x:c>
      <x:c r="I274" s="8" t="n">
        <x:f>IF(ISNUMBER('Monthly data'!M274),LN(1+'Monthly data'!M274),"")</x:f>
        <x:v>0.9079359274914014</x:v>
      </x:c>
      <x:c r="J274" s="8" t="n">
        <x:f>IF(ISNUMBER('Monthly data'!N274),LN(1+'Monthly data'!N274),"")</x:f>
        <x:v>2.5253845851266825</x:v>
      </x:c>
      <x:c r="K274" s="8" t="n">
        <x:f>IF(COUNT('Monthly data'!F272:F274)=3,'Monthly data'!F274-2*'Monthly data'!F273+'Monthly data'!F272,"")</x:f>
        <x:v>17.889999999999986</x:v>
      </x:c>
      <x:c r="L274" s="8" t="n">
        <x:f>IF(COUNT('Monthly data'!G272:G274)=3,'Monthly data'!G274-2*'Monthly data'!G273+'Monthly data'!G272,"")</x:f>
        <x:v>-7.288499999999999</x:v>
      </x:c>
      <x:c r="M274" s="8" t="n">
        <x:f>IF(COUNT('Monthly data'!H272:H274)=3,'Monthly data'!H274-2*'Monthly data'!H273+'Monthly data'!H272,"")</x:f>
        <x:v>20.932199999999995</x:v>
      </x:c>
      <x:c r="N274" s="8" t="n">
        <x:f>IF(COUNT('Monthly data'!I272:I274)=3,'Monthly data'!I274-2*'Monthly data'!I273+'Monthly data'!I272,"")</x:f>
        <x:v>3.0516000000000005</x:v>
      </x:c>
      <x:c r="O274" s="8" t="n">
        <x:f>IF(COUNT('Monthly data'!J272:J274)=3,'Monthly data'!J274-2*'Monthly data'!J273+'Monthly data'!J272,"")</x:f>
        <x:v>-2.943100000000001</x:v>
      </x:c>
      <x:c r="P274" s="8" t="n">
        <x:f>IF(COUNT('Monthly data'!K272:K274)=3,'Monthly data'!K274-2*'Monthly data'!K273+'Monthly data'!K272,"")</x:f>
        <x:v>-0.33299999999999885</x:v>
      </x:c>
      <x:c r="Q274" s="8" t="n">
        <x:f>IF(COUNT('Monthly data'!L272:L274)=3,'Monthly data'!L274-2*'Monthly data'!L273+'Monthly data'!L272,"")</x:f>
        <x:v>0.12650000000000006</x:v>
      </x:c>
      <x:c r="R274" s="8" t="n">
        <x:f>IF(COUNT('Monthly data'!M272:M274)=3,'Monthly data'!M274-2*'Monthly data'!M273+'Monthly data'!M272,"")</x:f>
        <x:v>-0.3195000000000001</x:v>
      </x:c>
      <x:c r="S274" s="8" t="n">
        <x:f>IF(COUNT('Monthly data'!N272:N274)=3,'Monthly data'!N274-2*'Monthly data'!N273+'Monthly data'!N272,"")</x:f>
        <x:v>4.663699999999999</x:v>
      </x:c>
      <x:c r="T274" s="8" t="n">
        <x:f>IF(COUNT('Monthly data'!E273:E274)=2,'Monthly data'!E274-'Monthly data'!E273,"")</x:f>
        <x:v>-0.007524210999999781</x:v>
      </x:c>
    </x:row>
    <x:row r="275" ht="19" customHeight="1">
      <x:c r="A275" s="7" t="n">
        <x:f>'Monthly data'!A275</x:f>
        <x:v>41183</x:v>
      </x:c>
      <x:c r="B275" s="8" t="n">
        <x:f>IF(ISNUMBER('Monthly data'!F275),LN(1+'Monthly data'!F275),"")</x:f>
        <x:v>4.539350844950798</x:v>
      </x:c>
      <x:c r="C275" s="8" t="n">
        <x:f>IF(ISNUMBER('Monthly data'!G275),LN(1+'Monthly data'!G275),"")</x:f>
        <x:v>2.8828266987231244</x:v>
      </x:c>
      <x:c r="D275" s="8" t="n">
        <x:f>IF(ISNUMBER('Monthly data'!H275),LN(1+'Monthly data'!H275),"")</x:f>
        <x:v>3.245237288054889</x:v>
      </x:c>
      <x:c r="E275" s="8" t="n">
        <x:f>IF(ISNUMBER('Monthly data'!I275),LN(1+'Monthly data'!I275),"")</x:f>
        <x:v>3.179369630969169</x:v>
      </x:c>
      <x:c r="F275" s="8" t="n">
        <x:f>IF(ISNUMBER('Monthly data'!J275),LN(1+'Monthly data'!J275),"")</x:f>
        <x:v>2.4736434575092896</x:v>
      </x:c>
      <x:c r="G275" s="8" t="n">
        <x:f>IF(ISNUMBER('Monthly data'!K275),LN(1+'Monthly data'!K275),"")</x:f>
        <x:v>1.5547071377275958</x:v>
      </x:c>
      <x:c r="H275" s="8" t="n">
        <x:f>IF(ISNUMBER('Monthly data'!L275),LN(1+'Monthly data'!L275),"")</x:f>
        <x:v>0.08056564783956725</x:v>
      </x:c>
      <x:c r="I275" s="8" t="n">
        <x:f>IF(ISNUMBER('Monthly data'!M275),LN(1+'Monthly data'!M275),"")</x:f>
        <x:v>1.4521523239113545</x:v>
      </x:c>
      <x:c r="J275" s="8" t="n">
        <x:f>IF(ISNUMBER('Monthly data'!N275),LN(1+'Monthly data'!N275),"")</x:f>
        <x:v>2.4078816066037847</x:v>
      </x:c>
      <x:c r="K275" s="8" t="n">
        <x:f>IF(COUNT('Monthly data'!F273:F275)=3,'Monthly data'!F275-2*'Monthly data'!F274+'Monthly data'!F273,"")</x:f>
        <x:v>-23.909999999999997</x:v>
      </x:c>
      <x:c r="L275" s="8" t="n">
        <x:f>IF(COUNT('Monthly data'!G273:G275)=3,'Monthly data'!G275-2*'Monthly data'!G274+'Monthly data'!G273,"")</x:f>
        <x:v>7.5417999999999985</x:v>
      </x:c>
      <x:c r="M275" s="8" t="n">
        <x:f>IF(COUNT('Monthly data'!H273:H275)=3,'Monthly data'!H275-2*'Monthly data'!H274+'Monthly data'!H273,"")</x:f>
        <x:v>-30.206599999999995</x:v>
      </x:c>
      <x:c r="N275" s="8" t="n">
        <x:f>IF(COUNT('Monthly data'!I273:I275)=3,'Monthly data'!I275-2*'Monthly data'!I274+'Monthly data'!I273,"")</x:f>
        <x:v>-1.165499999999998</x:v>
      </x:c>
      <x:c r="O275" s="8" t="n">
        <x:f>IF(COUNT('Monthly data'!J273:J275)=3,'Monthly data'!J275-2*'Monthly data'!J274+'Monthly data'!J273,"")</x:f>
        <x:v>5.1287</x:v>
      </x:c>
      <x:c r="P275" s="8" t="n">
        <x:f>IF(COUNT('Monthly data'!K273:K275)=3,'Monthly data'!K275-2*'Monthly data'!K274+'Monthly data'!K273,"")</x:f>
        <x:v>-6.317600000000002</x:v>
      </x:c>
      <x:c r="Q275" s="8" t="n">
        <x:f>IF(COUNT('Monthly data'!L273:L275)=3,'Monthly data'!L275-2*'Monthly data'!L274+'Monthly data'!L273,"")</x:f>
        <x:v>0.266</x:v>
      </x:c>
      <x:c r="R275" s="8" t="n">
        <x:f>IF(COUNT('Monthly data'!M273:M275)=3,'Monthly data'!M275-2*'Monthly data'!M274+'Monthly data'!M273,"")</x:f>
        <x:v>2.9358</x:v>
      </x:c>
      <x:c r="S275" s="8" t="n">
        <x:f>IF(COUNT('Monthly data'!N273:N275)=3,'Monthly data'!N275-2*'Monthly data'!N274+'Monthly data'!N273,"")</x:f>
        <x:v>-2.092399999999998</x:v>
      </x:c>
      <x:c r="T275" s="8" t="n">
        <x:f>IF(COUNT('Monthly data'!E274:E275)=2,'Monthly data'!E275-'Monthly data'!E274,"")</x:f>
        <x:v>0.008031628799999524</x:v>
      </x:c>
    </x:row>
    <x:row r="276" ht="19" customHeight="1">
      <x:c r="A276" s="7" t="n">
        <x:f>'Monthly data'!A276</x:f>
        <x:v>41214</x:v>
      </x:c>
      <x:c r="B276" s="8" t="n">
        <x:f>IF(ISNUMBER('Monthly data'!F276),LN(1+'Monthly data'!F276),"")</x:f>
        <x:v>4.391234115424795</x:v>
      </x:c>
      <x:c r="C276" s="8" t="n">
        <x:f>IF(ISNUMBER('Monthly data'!G276),LN(1+'Monthly data'!G276),"")</x:f>
        <x:v>3.335249868361164</x:v>
      </x:c>
      <x:c r="D276" s="8" t="n">
        <x:f>IF(ISNUMBER('Monthly data'!H276),LN(1+'Monthly data'!H276),"")</x:f>
        <x:v>3.0124812235119593</x:v>
      </x:c>
      <x:c r="E276" s="8" t="n">
        <x:f>IF(ISNUMBER('Monthly data'!I276),LN(1+'Monthly data'!I276),"")</x:f>
        <x:v>2.4027199788000533</x:v>
      </x:c>
      <x:c r="F276" s="8" t="n">
        <x:f>IF(ISNUMBER('Monthly data'!J276),LN(1+'Monthly data'!J276),"")</x:f>
        <x:v>2.3526220985811763</x:v>
      </x:c>
      <x:c r="G276" s="8" t="n">
        <x:f>IF(ISNUMBER('Monthly data'!K276),LN(1+'Monthly data'!K276),"")</x:f>
        <x:v>1.2386640441158665</x:v>
      </x:c>
      <x:c r="H276" s="8" t="n">
        <x:f>IF(ISNUMBER('Monthly data'!L276),LN(1+'Monthly data'!L276),"")</x:f>
        <x:v>0.2552621811956697</x:v>
      </x:c>
      <x:c r="I276" s="8" t="n">
        <x:f>IF(ISNUMBER('Monthly data'!M276),LN(1+'Monthly data'!M276),"")</x:f>
        <x:v>0.9632124849835595</x:v>
      </x:c>
      <x:c r="J276" s="8" t="n">
        <x:f>IF(ISNUMBER('Monthly data'!N276),LN(1+'Monthly data'!N276),"")</x:f>
        <x:v>2.3406994251027036</x:v>
      </x:c>
      <x:c r="K276" s="8" t="n">
        <x:f>IF(COUNT('Monthly data'!F274:F276)=3,'Monthly data'!F276-2*'Monthly data'!F275+'Monthly data'!F274,"")</x:f>
        <x:v>-3.5799999999999983</x:v>
      </x:c>
      <x:c r="L276" s="8" t="n">
        <x:f>IF(COUNT('Monthly data'!G274:G276)=3,'Monthly data'!G276-2*'Monthly data'!G275+'Monthly data'!G274,"")</x:f>
        <x:v>6.119600000000002</x:v>
      </x:c>
      <x:c r="M276" s="8" t="n">
        <x:f>IF(COUNT('Monthly data'!H274:H276)=3,'Monthly data'!H276-2*'Monthly data'!H275+'Monthly data'!H274,"")</x:f>
        <x:v>8.3354</x:v>
      </x:c>
      <x:c r="N276" s="8" t="n">
        <x:f>IF(COUNT('Monthly data'!I274:I276)=3,'Monthly data'!I276-2*'Monthly data'!I275+'Monthly data'!I274,"")</x:f>
        <x:v>-16.991300000000006</x:v>
      </x:c>
      <x:c r="O276" s="8" t="n">
        <x:f>IF(COUNT('Monthly data'!J274:J276)=3,'Monthly data'!J276-2*'Monthly data'!J275+'Monthly data'!J274,"")</x:f>
        <x:v>-1.440900000000001</x:v>
      </x:c>
      <x:c r="P276" s="8" t="n">
        <x:f>IF(COUNT('Monthly data'!K274:K276)=3,'Monthly data'!K276-2*'Monthly data'!K275+'Monthly data'!K274,"")</x:f>
        <x:v>2.7601000000000013</x:v>
      </x:c>
      <x:c r="Q276" s="8" t="n">
        <x:f>IF(COUNT('Monthly data'!L274:L276)=3,'Monthly data'!L276-2*'Monthly data'!L275+'Monthly data'!L274,"")</x:f>
        <x:v>0.4188</x:v>
      </x:c>
      <x:c r="R276" s="8" t="n">
        <x:f>IF(COUNT('Monthly data'!M274:M276)=3,'Monthly data'!M276-2*'Monthly data'!M275+'Monthly data'!M274,"")</x:f>
        <x:v>-3.4453</x:v>
      </x:c>
      <x:c r="S276" s="8" t="n">
        <x:f>IF(COUNT('Monthly data'!N274:N276)=3,'Monthly data'!N276-2*'Monthly data'!N275+'Monthly data'!N274,"")</x:f>
        <x:v>0.6633999999999993</x:v>
      </x:c>
      <x:c r="T276" s="8" t="n">
        <x:f>IF(COUNT('Monthly data'!E275:E276)=2,'Monthly data'!E276-'Monthly data'!E275,"")</x:f>
        <x:v>0.006960991099999703</x:v>
      </x:c>
    </x:row>
    <x:row r="277" ht="19" customHeight="1">
      <x:c r="A277" s="7" t="n">
        <x:f>'Monthly data'!A277</x:f>
        <x:v>41244</x:v>
      </x:c>
      <x:c r="B277" s="8" t="n">
        <x:f>IF(ISNUMBER('Monthly data'!F277),LN(1+'Monthly data'!F277),"")</x:f>
        <x:v>4.446526092548494</x:v>
      </x:c>
      <x:c r="C277" s="8" t="n">
        <x:f>IF(ISNUMBER('Monthly data'!G277),LN(1+'Monthly data'!G277),"")</x:f>
        <x:v>2.7996078945825755</x:v>
      </x:c>
      <x:c r="D277" s="8" t="n">
        <x:f>IF(ISNUMBER('Monthly data'!H277),LN(1+'Monthly data'!H277),"")</x:f>
        <x:v>3.1678225016852575</x:v>
      </x:c>
      <x:c r="E277" s="8" t="n">
        <x:f>IF(ISNUMBER('Monthly data'!I277),LN(1+'Monthly data'!I277),"")</x:f>
        <x:v>2.4866468015120398</x:v>
      </x:c>
      <x:c r="F277" s="8" t="n">
        <x:f>IF(ISNUMBER('Monthly data'!J277),LN(1+'Monthly data'!J277),"")</x:f>
        <x:v>2.9938855694451147</x:v>
      </x:c>
      <x:c r="G277" s="8" t="n">
        <x:f>IF(ISNUMBER('Monthly data'!K277),LN(1+'Monthly data'!K277),"")</x:f>
        <x:v>1.4896854387070722</x:v>
      </x:c>
      <x:c r="H277" s="8" t="n">
        <x:f>IF(ISNUMBER('Monthly data'!L277),LN(1+'Monthly data'!L277),"")</x:f>
        <x:v>0.237204234962544</x:v>
      </x:c>
      <x:c r="I277" s="8" t="n">
        <x:f>IF(ISNUMBER('Monthly data'!M277),LN(1+'Monthly data'!M277),"")</x:f>
        <x:v>1.1159609270027229</x:v>
      </x:c>
      <x:c r="J277" s="8" t="n">
        <x:f>IF(ISNUMBER('Monthly data'!N277),LN(1+'Monthly data'!N277),"")</x:f>
        <x:v>2.433279966499212</x:v>
      </x:c>
      <x:c r="K277" s="8" t="n">
        <x:f>IF(COUNT('Monthly data'!F275:F277)=3,'Monthly data'!F277-2*'Monthly data'!F276+'Monthly data'!F275,"")</x:f>
        <x:v>17.480000000000004</x:v>
      </x:c>
      <x:c r="L277" s="8" t="n">
        <x:f>IF(COUNT('Monthly data'!G275:G277)=3,'Monthly data'!G277-2*'Monthly data'!G276+'Monthly data'!G275,"")</x:f>
        <x:v>-21.8679</x:v>
      </x:c>
      <x:c r="M277" s="8" t="n">
        <x:f>IF(COUNT('Monthly data'!H275:H277)=3,'Monthly data'!H277-2*'Monthly data'!H276+'Monthly data'!H275,"")</x:f>
        <x:v>8.747899999999998</x:v>
      </x:c>
      <x:c r="N277" s="8" t="n">
        <x:f>IF(COUNT('Monthly data'!I275:I277)=3,'Monthly data'!I277-2*'Monthly data'!I276+'Monthly data'!I275,"")</x:f>
        <x:v>13.9461</x:v>
      </x:c>
      <x:c r="O277" s="8" t="n">
        <x:f>IF(COUNT('Monthly data'!J275:J277)=3,'Monthly data'!J277-2*'Monthly data'!J276+'Monthly data'!J275,"")</x:f>
        <x:v>10.802500000000002</x:v>
      </x:c>
      <x:c r="P277" s="8" t="n">
        <x:f>IF(COUNT('Monthly data'!K275:K277)=3,'Monthly data'!K277-2*'Monthly data'!K276+'Monthly data'!K275,"")</x:f>
        <x:v>2.2674</x:v>
      </x:c>
      <x:c r="Q277" s="8" t="n">
        <x:f>IF(COUNT('Monthly data'!L275:L277)=3,'Monthly data'!L277-2*'Monthly data'!L276+'Monthly data'!L275,"")</x:f>
        <x:v>-0.23</x:v>
      </x:c>
      <x:c r="R277" s="8" t="n">
        <x:f>IF(COUNT('Monthly data'!M275:M277)=3,'Monthly data'!M277-2*'Monthly data'!M276+'Monthly data'!M275,"")</x:f>
        <x:v>2.0846</x:v>
      </x:c>
      <x:c r="S277" s="8" t="n">
        <x:f>IF(COUNT('Monthly data'!N275:N277)=3,'Monthly data'!N277-2*'Monthly data'!N276+'Monthly data'!N275,"")</x:f>
        <x:v>1.7295999999999996</x:v>
      </x:c>
      <x:c r="T277" s="8" t="n">
        <x:f>IF(COUNT('Monthly data'!E276:E277)=2,'Monthly data'!E277-'Monthly data'!E276,"")</x:f>
        <x:v>-0.0015231178999997042</x:v>
      </x:c>
    </x:row>
    <x:row r="278" ht="19" customHeight="1">
      <x:c r="A278" s="7" t="n">
        <x:f>'Monthly data'!A278</x:f>
        <x:v>41275</x:v>
      </x:c>
      <x:c r="B278" s="8" t="n">
        <x:f>IF(ISNUMBER('Monthly data'!F278),LN(1+'Monthly data'!F278),"")</x:f>
        <x:v>4.502140285668547</x:v>
      </x:c>
      <x:c r="C278" s="8" t="n">
        <x:f>IF(ISNUMBER('Monthly data'!G278),LN(1+'Monthly data'!G278),"")</x:f>
        <x:v>3.2563642692791923</x:v>
      </x:c>
      <x:c r="D278" s="8" t="n">
        <x:f>IF(ISNUMBER('Monthly data'!H278),LN(1+'Monthly data'!H278),"")</x:f>
        <x:v>3.0971781369492213</x:v>
      </x:c>
      <x:c r="E278" s="8" t="n">
        <x:f>IF(ISNUMBER('Monthly data'!I278),LN(1+'Monthly data'!I278),"")</x:f>
        <x:v>2.7390448652044337</x:v>
      </x:c>
      <x:c r="F278" s="8" t="n">
        <x:f>IF(ISNUMBER('Monthly data'!J278),LN(1+'Monthly data'!J278),"")</x:f>
        <x:v>2.6531715395922206</x:v>
      </x:c>
      <x:c r="G278" s="8" t="n">
        <x:f>IF(ISNUMBER('Monthly data'!K278),LN(1+'Monthly data'!K278),"")</x:f>
        <x:v>1.4901362242084284</x:v>
      </x:c>
      <x:c r="H278" s="8" t="n">
        <x:f>IF(ISNUMBER('Monthly data'!L278),LN(1+'Monthly data'!L278),"")</x:f>
        <x:v>0.41164596718324553</x:v>
      </x:c>
      <x:c r="I278" s="8" t="n">
        <x:f>IF(ISNUMBER('Monthly data'!M278),LN(1+'Monthly data'!M278),"")</x:f>
        <x:v>0.9273889185401883</x:v>
      </x:c>
      <x:c r="J278" s="8" t="n">
        <x:f>IF(ISNUMBER('Monthly data'!N278),LN(1+'Monthly data'!N278),"")</x:f>
        <x:v>2.3954832753607764</x:v>
      </x:c>
      <x:c r="K278" s="8" t="n">
        <x:f>IF(COUNT('Monthly data'!F276:F278)=3,'Monthly data'!F278-2*'Monthly data'!F277+'Monthly data'!F276,"")</x:f>
        <x:v>0.28999999999999204</x:v>
      </x:c>
      <x:c r="L278" s="8" t="n">
        <x:f>IF(COUNT('Monthly data'!G276:G278)=3,'Monthly data'!G278-2*'Monthly data'!G277+'Monthly data'!G276,"")</x:f>
        <x:v>21.163999999999998</x:v>
      </x:c>
      <x:c r="M278" s="8" t="n">
        <x:f>IF(COUNT('Monthly data'!H276:H278)=3,'Monthly data'!H278-2*'Monthly data'!H277+'Monthly data'!H276,"")</x:f>
        <x:v>-5.0382</x:v>
      </x:c>
      <x:c r="N278" s="8" t="n">
        <x:f>IF(COUNT('Monthly data'!I276:I278)=3,'Monthly data'!I278-2*'Monthly data'!I277+'Monthly data'!I276,"")</x:f>
        <x:v>2.4836000000000027</x:v>
      </x:c>
      <x:c r="O278" s="8" t="n">
        <x:f>IF(COUNT('Monthly data'!J276:J278)=3,'Monthly data'!J278-2*'Monthly data'!J277+'Monthly data'!J276,"")</x:f>
        <x:v>-15.214100000000004</x:v>
      </x:c>
      <x:c r="P278" s="8" t="n">
        <x:f>IF(COUNT('Monthly data'!K276:K278)=3,'Monthly data'!K278-2*'Monthly data'!K277+'Monthly data'!K276,"")</x:f>
        <x:v>-0.9827000000000004</x:v>
      </x:c>
      <x:c r="Q278" s="8" t="n">
        <x:f>IF(COUNT('Monthly data'!L276:L278)=3,'Monthly data'!L278-2*'Monthly data'!L277+'Monthly data'!L276,"")</x:f>
        <x:v>0.2647</x:v>
      </x:c>
      <x:c r="R278" s="8" t="n">
        <x:f>IF(COUNT('Monthly data'!M276:M278)=3,'Monthly data'!M278-2*'Monthly data'!M277+'Monthly data'!M276,"")</x:f>
        <x:v>-0.9570000000000005</x:v>
      </x:c>
      <x:c r="S278" s="8" t="n">
        <x:f>IF(COUNT('Monthly data'!N276:N278)=3,'Monthly data'!N278-2*'Monthly data'!N277+'Monthly data'!N276,"")</x:f>
        <x:v>-1.4304000000000006</x:v>
      </x:c>
      <x:c r="T278" s="8" t="n">
        <x:f>IF(COUNT('Monthly data'!E277:E278)=2,'Monthly data'!E278-'Monthly data'!E277,"")</x:f>
        <x:v>-0.007363102699999402</x:v>
      </x:c>
    </x:row>
    <x:row r="279" ht="19" customHeight="1">
      <x:c r="A279" s="7" t="n">
        <x:f>'Monthly data'!A279</x:f>
        <x:v>41306</x:v>
      </x:c>
      <x:c r="B279" s="8" t="n">
        <x:f>IF(ISNUMBER('Monthly data'!F279),LN(1+'Monthly data'!F279),"")</x:f>
        <x:v>4.47688216568656</x:v>
      </x:c>
      <x:c r="C279" s="8" t="n">
        <x:f>IF(ISNUMBER('Monthly data'!G279),LN(1+'Monthly data'!G279),"")</x:f>
        <x:v>3.000620307626767</x:v>
      </x:c>
      <x:c r="D279" s="8" t="n">
        <x:f>IF(ISNUMBER('Monthly data'!H279),LN(1+'Monthly data'!H279),"")</x:f>
        <x:v>3.214241101109658</x:v>
      </x:c>
      <x:c r="E279" s="8" t="n">
        <x:f>IF(ISNUMBER('Monthly data'!I279),LN(1+'Monthly data'!I279),"")</x:f>
        <x:v>2.5604932900777153</x:v>
      </x:c>
      <x:c r="F279" s="8" t="n">
        <x:f>IF(ISNUMBER('Monthly data'!J279),LN(1+'Monthly data'!J279),"")</x:f>
        <x:v>2.5604932900777153</x:v>
      </x:c>
      <x:c r="G279" s="8" t="n">
        <x:f>IF(ISNUMBER('Monthly data'!K279),LN(1+'Monthly data'!K279),"")</x:f>
        <x:v>2.239432277988777</x:v>
      </x:c>
      <x:c r="H279" s="8" t="n">
        <x:f>IF(ISNUMBER('Monthly data'!L279),LN(1+'Monthly data'!L279),"")</x:f>
        <x:v>0.2126082493988269</x:v>
      </x:c>
      <x:c r="I279" s="8" t="n">
        <x:f>IF(ISNUMBER('Monthly data'!M279),LN(1+'Monthly data'!M279),"")</x:f>
        <x:v>0.5369610973706165</x:v>
      </x:c>
      <x:c r="J279" s="8" t="n">
        <x:f>IF(ISNUMBER('Monthly data'!N279),LN(1+'Monthly data'!N279),"")</x:f>
        <x:v>2.464482829591456</x:v>
      </x:c>
      <x:c r="K279" s="8" t="n">
        <x:f>IF(COUNT('Monthly data'!F277:F279)=3,'Monthly data'!F279-2*'Monthly data'!F278+'Monthly data'!F277,"")</x:f>
        <x:v>-7.1299999999999955</x:v>
      </x:c>
      <x:c r="L279" s="8" t="n">
        <x:f>IF(COUNT('Monthly data'!G277:G279)=3,'Monthly data'!G279-2*'Monthly data'!G278+'Monthly data'!G277,"")</x:f>
        <x:v>-15.373799999999997</x:v>
      </x:c>
      <x:c r="M279" s="8" t="n">
        <x:f>IF(COUNT('Monthly data'!H277:H279)=3,'Monthly data'!H279-2*'Monthly data'!H278+'Monthly data'!H277,"")</x:f>
        <x:v>4.369299999999999</x:v>
      </x:c>
      <x:c r="N279" s="8" t="n">
        <x:f>IF(COUNT('Monthly data'!I277:I279)=3,'Monthly data'!I279-2*'Monthly data'!I278+'Monthly data'!I277,"")</x:f>
        <x:v>-5.981300000000003</x:v>
      </x:c>
      <x:c r="O279" s="8" t="n">
        <x:f>IF(COUNT('Monthly data'!J277:J279)=3,'Monthly data'!J279-2*'Monthly data'!J278+'Monthly data'!J277,"")</x:f>
        <x:v>4.507300000000001</x:v>
      </x:c>
      <x:c r="P279" s="8" t="n">
        <x:f>IF(COUNT('Monthly data'!K277:K279)=3,'Monthly data'!K279-2*'Monthly data'!K278+'Monthly data'!K277,"")</x:f>
        <x:v>4.9483</x:v>
      </x:c>
      <x:c r="Q279" s="8" t="n">
        <x:f>IF(COUNT('Monthly data'!L277:L279)=3,'Monthly data'!L279-2*'Monthly data'!L278+'Monthly data'!L277,"")</x:f>
        <x:v>-0.514</x:v>
      </x:c>
      <x:c r="R279" s="8" t="n">
        <x:f>IF(COUNT('Monthly data'!M277:M279)=3,'Monthly data'!M279-2*'Monthly data'!M278+'Monthly data'!M277,"")</x:f>
        <x:v>-0.2925</x:v>
      </x:c>
      <x:c r="S279" s="8" t="n">
        <x:f>IF(COUNT('Monthly data'!N277:N279)=3,'Monthly data'!N279-2*'Monthly data'!N278+'Monthly data'!N277,"")</x:f>
        <x:v>1.2066000000000017</x:v>
      </x:c>
      <x:c r="T279" s="8" t="n">
        <x:f>IF(COUNT('Monthly data'!E278:E279)=2,'Monthly data'!E279-'Monthly data'!E278,"")</x:f>
        <x:v>-0.0027925840999998286</x:v>
      </x:c>
    </x:row>
    <x:row r="280" ht="19" customHeight="1">
      <x:c r="A280" s="7" t="n">
        <x:f>'Monthly data'!A280</x:f>
        <x:v>41334</x:v>
      </x:c>
      <x:c r="B280" s="8" t="n">
        <x:f>IF(ISNUMBER('Monthly data'!F280),LN(1+'Monthly data'!F280),"")</x:f>
        <x:v>4.431173877940127</x:v>
      </x:c>
      <x:c r="C280" s="8" t="n">
        <x:f>IF(ISNUMBER('Monthly data'!G280),LN(1+'Monthly data'!G280),"")</x:f>
        <x:v>2.605005520346052</x:v>
      </x:c>
      <x:c r="D280" s="8" t="n">
        <x:f>IF(ISNUMBER('Monthly data'!H280),LN(1+'Monthly data'!H280),"")</x:f>
        <x:v>3.3690219256327874</x:v>
      </x:c>
      <x:c r="E280" s="8" t="n">
        <x:f>IF(ISNUMBER('Monthly data'!I280),LN(1+'Monthly data'!I280),"")</x:f>
        <x:v>2.19815747538482</x:v>
      </x:c>
      <x:c r="F280" s="8" t="n">
        <x:f>IF(ISNUMBER('Monthly data'!J280),LN(1+'Monthly data'!J280),"")</x:f>
        <x:v>2.5084929595941423</x:v>
      </x:c>
      <x:c r="G280" s="8" t="n">
        <x:f>IF(ISNUMBER('Monthly data'!K280),LN(1+'Monthly data'!K280),"")</x:f>
        <x:v>1.9831508813615497</x:v>
      </x:c>
      <x:c r="H280" s="8" t="n">
        <x:f>IF(ISNUMBER('Monthly data'!L280),LN(1+'Monthly data'!L280),"")</x:f>
        <x:v>0.7709412079999655</x:v>
      </x:c>
      <x:c r="I280" s="8" t="n">
        <x:f>IF(ISNUMBER('Monthly data'!M280),LN(1+'Monthly data'!M280),"")</x:f>
        <x:v>1.1885139292633904</x:v>
      </x:c>
      <x:c r="J280" s="8" t="n">
        <x:f>IF(ISNUMBER('Monthly data'!N280),LN(1+'Monthly data'!N280),"")</x:f>
        <x:v>2.6702860266811927</x:v>
      </x:c>
      <x:c r="K280" s="8" t="n">
        <x:f>IF(COUNT('Monthly data'!F278:F280)=3,'Monthly data'!F280-2*'Monthly data'!F279+'Monthly data'!F278,"")</x:f>
        <x:v>-1.6799999999999926</x:v>
      </x:c>
      <x:c r="L280" s="8" t="n">
        <x:f>IF(COUNT('Monthly data'!G278:G280)=3,'Monthly data'!G280-2*'Monthly data'!G279+'Monthly data'!G278,"")</x:f>
        <x:v>-0.709699999999998</x:v>
      </x:c>
      <x:c r="M280" s="8" t="n">
        <x:f>IF(COUNT('Monthly data'!H278:H280)=3,'Monthly data'!H280-2*'Monthly data'!H279+'Monthly data'!H278,"")</x:f>
        <x:v>1.4167000000000023</x:v>
      </x:c>
      <x:c r="N280" s="8" t="n">
        <x:f>IF(COUNT('Monthly data'!I278:I280)=3,'Monthly data'!I280-2*'Monthly data'!I279+'Monthly data'!I278,"")</x:f>
        <x:v>-1.4037999999999986</x:v>
      </x:c>
      <x:c r="O280" s="8" t="n">
        <x:f>IF(COUNT('Monthly data'!J278:J280)=3,'Monthly data'!J280-2*'Monthly data'!J279+'Monthly data'!J278,"")</x:f>
        <x:v>0.6010000000000009</x:v>
      </x:c>
      <x:c r="P280" s="8" t="n">
        <x:f>IF(COUNT('Monthly data'!K278:K280)=3,'Monthly data'!K280-2*'Monthly data'!K279+'Monthly data'!K278,"")</x:f>
        <x:v>-7.072700000000001</x:v>
      </x:c>
      <x:c r="Q280" s="8" t="n">
        <x:f>IF(COUNT('Monthly data'!L278:L280)=3,'Monthly data'!L280-2*'Monthly data'!L279+'Monthly data'!L278,"")</x:f>
        <x:v>1.1972999999999998</x:v>
      </x:c>
      <x:c r="R280" s="8" t="n">
        <x:f>IF(COUNT('Monthly data'!M278:M280)=3,'Monthly data'!M280-2*'Monthly data'!M279+'Monthly data'!M278,"")</x:f>
        <x:v>2.3885</x:v>
      </x:c>
      <x:c r="S280" s="8" t="n">
        <x:f>IF(COUNT('Monthly data'!N278:N280)=3,'Monthly data'!N280-2*'Monthly data'!N279+'Monthly data'!N278,"")</x:f>
        <x:v>1.9027999999999992</x:v>
      </x:c>
      <x:c r="T280" s="8" t="n">
        <x:f>IF(COUNT('Monthly data'!E279:E280)=2,'Monthly data'!E280-'Monthly data'!E279,"")</x:f>
        <x:v>0.0027060721999987436</x:v>
      </x:c>
    </x:row>
    <x:row r="281" ht="19" customHeight="1">
      <x:c r="A281" s="7" t="n">
        <x:f>'Monthly data'!A281</x:f>
        <x:v>41365</x:v>
      </x:c>
      <x:c r="B281" s="8" t="n">
        <x:f>IF(ISNUMBER('Monthly data'!F281),LN(1+'Monthly data'!F281),"")</x:f>
        <x:v>4.709440107163888</x:v>
      </x:c>
      <x:c r="C281" s="8" t="n">
        <x:f>IF(ISNUMBER('Monthly data'!G281),LN(1+'Monthly data'!G281),"")</x:f>
        <x:v>2.704350030573435</x:v>
      </x:c>
      <x:c r="D281" s="8" t="n">
        <x:f>IF(ISNUMBER('Monthly data'!H281),LN(1+'Monthly data'!H281),"")</x:f>
        <x:v>3.0832210365767736</x:v>
      </x:c>
      <x:c r="E281" s="8" t="n">
        <x:f>IF(ISNUMBER('Monthly data'!I281),LN(1+'Monthly data'!I281),"")</x:f>
        <x:v>3.769611155146258</x:v>
      </x:c>
      <x:c r="F281" s="8" t="n">
        <x:f>IF(ISNUMBER('Monthly data'!J281),LN(1+'Monthly data'!J281),"")</x:f>
        <x:v>2.3994486111979167</x:v>
      </x:c>
      <x:c r="G281" s="8" t="n">
        <x:f>IF(ISNUMBER('Monthly data'!K281),LN(1+'Monthly data'!K281),"")</x:f>
        <x:v>2.5093471980925135</x:v>
      </x:c>
      <x:c r="H281" s="8" t="n">
        <x:f>IF(ISNUMBER('Monthly data'!L281),LN(1+'Monthly data'!L281),"")</x:f>
        <x:v>0.6088956281123542</x:v>
      </x:c>
      <x:c r="I281" s="8" t="n">
        <x:f>IF(ISNUMBER('Monthly data'!M281),LN(1+'Monthly data'!M281),"")</x:f>
        <x:v>0.9075728412544322</x:v>
      </x:c>
      <x:c r="J281" s="8" t="n">
        <x:f>IF(ISNUMBER('Monthly data'!N281),LN(1+'Monthly data'!N281),"")</x:f>
        <x:v>2.324620519854658</x:v>
      </x:c>
      <x:c r="K281" s="8" t="n">
        <x:f>IF(COUNT('Monthly data'!F279:F281)=3,'Monthly data'!F281-2*'Monthly data'!F280+'Monthly data'!F279,"")</x:f>
        <x:v>30.889999999999986</x:v>
      </x:c>
      <x:c r="L281" s="8" t="n">
        <x:f>IF(COUNT('Monthly data'!G279:G281)=3,'Monthly data'!G281-2*'Monthly data'!G280+'Monthly data'!G279,"")</x:f>
        <x:v>7.979999999999999</x:v>
      </x:c>
      <x:c r="M281" s="8" t="n">
        <x:f>IF(COUNT('Monthly data'!H279:H281)=3,'Monthly data'!H281-2*'Monthly data'!H280+'Monthly data'!H279,"")</x:f>
        <x:v>-11.3872</x:v>
      </x:c>
      <x:c r="N281" s="8" t="n">
        <x:f>IF(COUNT('Monthly data'!I279:I281)=3,'Monthly data'!I281-2*'Monthly data'!I280+'Monthly data'!I279,"")</x:f>
        <x:v>38.2886</x:v>
      </x:c>
      <x:c r="O281" s="8" t="n">
        <x:f>IF(COUNT('Monthly data'!J279:J281)=3,'Monthly data'!J281-2*'Monthly data'!J280+'Monthly data'!J279,"")</x:f>
        <x:v>-0.6135000000000019</x:v>
      </x:c>
      <x:c r="P281" s="8" t="n">
        <x:f>IF(COUNT('Monthly data'!K279:K281)=3,'Monthly data'!K281-2*'Monthly data'!K280+'Monthly data'!K279,"")</x:f>
        <x:v>7.153700000000001</x:v>
      </x:c>
      <x:c r="Q281" s="8" t="n">
        <x:f>IF(COUNT('Monthly data'!L279:L281)=3,'Monthly data'!L281-2*'Monthly data'!L280+'Monthly data'!L279,"")</x:f>
        <x:v>-1.2483</x:v>
      </x:c>
      <x:c r="R281" s="8" t="n">
        <x:f>IF(COUNT('Monthly data'!M279:M281)=3,'Monthly data'!M281-2*'Monthly data'!M280+'Monthly data'!M279,"")</x:f>
        <x:v>-2.3753</x:v>
      </x:c>
      <x:c r="S281" s="8" t="n">
        <x:f>IF(COUNT('Monthly data'!N279:N281)=3,'Monthly data'!N281-2*'Monthly data'!N280+'Monthly data'!N279,"")</x:f>
        <x:v>-6.908000000000001</x:v>
      </x:c>
      <x:c r="T281" s="8" t="n">
        <x:f>IF(COUNT('Monthly data'!E280:E281)=2,'Monthly data'!E281-'Monthly data'!E280,"")</x:f>
        <x:v>0.005551481100001254</x:v>
      </x:c>
    </x:row>
    <x:row r="282" ht="19" customHeight="1">
      <x:c r="A282" s="7" t="n">
        <x:f>'Monthly data'!A282</x:f>
        <x:v>41395</x:v>
      </x:c>
      <x:c r="B282" s="8" t="n">
        <x:f>IF(ISNUMBER('Monthly data'!F282),LN(1+'Monthly data'!F282),"")</x:f>
        <x:v>4.546905277856116</x:v>
      </x:c>
      <x:c r="C282" s="8" t="n">
        <x:f>IF(ISNUMBER('Monthly data'!G282),LN(1+'Monthly data'!G282),"")</x:f>
        <x:v>3.0364998665945127</x:v>
      </x:c>
      <x:c r="D282" s="8" t="n">
        <x:f>IF(ISNUMBER('Monthly data'!H282),LN(1+'Monthly data'!H282),"")</x:f>
        <x:v>3.252809509360951</x:v>
      </x:c>
      <x:c r="E282" s="8" t="n">
        <x:f>IF(ISNUMBER('Monthly data'!I282),LN(1+'Monthly data'!I282),"")</x:f>
        <x:v>3.1914881839491978</x:v>
      </x:c>
      <x:c r="F282" s="8" t="n">
        <x:f>IF(ISNUMBER('Monthly data'!J282),LN(1+'Monthly data'!J282),"")</x:f>
        <x:v>2.361250149056159</x:v>
      </x:c>
      <x:c r="G282" s="8" t="n">
        <x:f>IF(ISNUMBER('Monthly data'!K282),LN(1+'Monthly data'!K282),"")</x:f>
        <x:v>1.3090082671598169</x:v>
      </x:c>
      <x:c r="H282" s="8" t="n">
        <x:f>IF(ISNUMBER('Monthly data'!L282),LN(1+'Monthly data'!L282),"")</x:f>
        <x:v>0.18888331462909563</x:v>
      </x:c>
      <x:c r="I282" s="8" t="n">
        <x:f>IF(ISNUMBER('Monthly data'!M282),LN(1+'Monthly data'!M282),"")</x:f>
        <x:v>0.8097294956398099</x:v>
      </x:c>
      <x:c r="J282" s="8" t="n">
        <x:f>IF(ISNUMBER('Monthly data'!N282),LN(1+'Monthly data'!N282),"")</x:f>
        <x:v>2.5303897643904123</x:v>
      </x:c>
      <x:c r="K282" s="8" t="n">
        <x:f>IF(COUNT('Monthly data'!F280:F282)=3,'Monthly data'!F282-2*'Monthly data'!F281+'Monthly data'!F280,"")</x:f>
        <x:v>-43.609999999999985</x:v>
      </x:c>
      <x:c r="L282" s="8" t="n">
        <x:f>IF(COUNT('Monthly data'!G280:G282)=3,'Monthly data'!G282-2*'Monthly data'!G281+'Monthly data'!G280,"")</x:f>
        <x:v>4.474300000000001</x:v>
      </x:c>
      <x:c r="M282" s="8" t="n">
        <x:f>IF(COUNT('Monthly data'!H280:H282)=3,'Monthly data'!H282-2*'Monthly data'!H281+'Monthly data'!H280,"")</x:f>
        <x:v>11.255799999999997</x:v>
      </x:c>
      <x:c r="N282" s="8" t="n">
        <x:f>IF(COUNT('Monthly data'!I280:I282)=3,'Monthly data'!I282-2*'Monthly data'!I281+'Monthly data'!I280,"")</x:f>
        <x:v>-53.39339999999999</x:v>
      </x:c>
      <x:c r="O282" s="8" t="n">
        <x:f>IF(COUNT('Monthly data'!J280:J282)=3,'Monthly data'!J282-2*'Monthly data'!J281+'Monthly data'!J280,"")</x:f>
        <x:v>0.8564000000000025</x:v>
      </x:c>
      <x:c r="P282" s="8" t="n">
        <x:f>IF(COUNT('Monthly data'!K280:K282)=3,'Monthly data'!K282-2*'Monthly data'!K281+'Monthly data'!K280,"")</x:f>
        <x:v>-13.625700000000002</x:v>
      </x:c>
      <x:c r="Q282" s="8" t="n">
        <x:f>IF(COUNT('Monthly data'!L280:L282)=3,'Monthly data'!L282-2*'Monthly data'!L281+'Monthly data'!L280,"")</x:f>
        <x:v>-0.30710000000000015</x:v>
      </x:c>
      <x:c r="R282" s="8" t="n">
        <x:f>IF(COUNT('Monthly data'!M280:M282)=3,'Monthly data'!M282-2*'Monthly data'!M281+'Monthly data'!M280,"")</x:f>
        <x:v>0.5729000000000002</x:v>
      </x:c>
      <x:c r="S282" s="8" t="n">
        <x:f>IF(COUNT('Monthly data'!N280:N282)=3,'Monthly data'!N282-2*'Monthly data'!N281+'Monthly data'!N280,"")</x:f>
        <x:v>6.556900000000002</x:v>
      </x:c>
      <x:c r="T282" s="8" t="n">
        <x:f>IF(COUNT('Monthly data'!E281:E282)=2,'Monthly data'!E282-'Monthly data'!E281,"")</x:f>
        <x:v>-0.0017588891000013263</x:v>
      </x:c>
    </x:row>
    <x:row r="283" ht="19" customHeight="1">
      <x:c r="A283" s="7" t="n">
        <x:f>'Monthly data'!A283</x:f>
        <x:v>41426</x:v>
      </x:c>
      <x:c r="B283" s="8" t="n">
        <x:f>IF(ISNUMBER('Monthly data'!F283),LN(1+'Monthly data'!F283),"")</x:f>
        <x:v>4.497139441774387</x:v>
      </x:c>
      <x:c r="C283" s="8" t="n">
        <x:f>IF(ISNUMBER('Monthly data'!G283),LN(1+'Monthly data'!G283),"")</x:f>
        <x:v>2.7266560340943267</x:v>
      </x:c>
      <x:c r="D283" s="8" t="n">
        <x:f>IF(ISNUMBER('Monthly data'!H283),LN(1+'Monthly data'!H283),"")</x:f>
        <x:v>3.4880537466380437</x:v>
      </x:c>
      <x:c r="E283" s="8" t="n">
        <x:f>IF(ISNUMBER('Monthly data'!I283),LN(1+'Monthly data'!I283),"")</x:f>
        <x:v>2.5556136069459474</x:v>
      </x:c>
      <x:c r="F283" s="8" t="n">
        <x:f>IF(ISNUMBER('Monthly data'!J283),LN(1+'Monthly data'!J283),"")</x:f>
        <x:v>2.7941973158358975</x:v>
      </x:c>
      <x:c r="G283" s="8" t="n">
        <x:f>IF(ISNUMBER('Monthly data'!K283),LN(1+'Monthly data'!K283),"")</x:f>
        <x:v>1.435893721611175</x:v>
      </x:c>
      <x:c r="H283" s="8" t="n">
        <x:f>IF(ISNUMBER('Monthly data'!L283),LN(1+'Monthly data'!L283),"")</x:f>
        <x:v>0.1253101909654466</x:v>
      </x:c>
      <x:c r="I283" s="8" t="n">
        <x:f>IF(ISNUMBER('Monthly data'!M283),LN(1+'Monthly data'!M283),"")</x:f>
        <x:v>1.1285270146163122</x:v>
      </x:c>
      <x:c r="J283" s="8" t="n">
        <x:f>IF(ISNUMBER('Monthly data'!N283),LN(1+'Monthly data'!N283),"")</x:f>
        <x:v>2.406900062258685</x:v>
      </x:c>
      <x:c r="K283" s="8" t="n">
        <x:f>IF(COUNT('Monthly data'!F281:F283)=3,'Monthly data'!F283-2*'Monthly data'!F282+'Monthly data'!F281,"")</x:f>
        <x:v>12.069999999999993</x:v>
      </x:c>
      <x:c r="L283" s="8" t="n">
        <x:f>IF(COUNT('Monthly data'!G281:G283)=3,'Monthly data'!G283-2*'Monthly data'!G282+'Monthly data'!G281,"")</x:f>
        <x:v>-11.4381</x:v>
      </x:c>
      <x:c r="M283" s="8" t="n">
        <x:f>IF(COUNT('Monthly data'!H281:H283)=3,'Monthly data'!H283-2*'Monthly data'!H282+'Monthly data'!H281,"")</x:f>
        <x:v>2.825000000000003</x:v>
      </x:c>
      <x:c r="N283" s="8" t="n">
        <x:f>IF(COUNT('Monthly data'!I281:I283)=3,'Monthly data'!I283-2*'Monthly data'!I282+'Monthly data'!I281,"")</x:f>
        <x:v>7.593200000000003</x:v>
      </x:c>
      <x:c r="O283" s="8" t="n">
        <x:f>IF(COUNT('Monthly data'!J281:J283)=3,'Monthly data'!J283-2*'Monthly data'!J282+'Monthly data'!J281,"")</x:f>
        <x:v>6.158199999999999</x:v>
      </x:c>
      <x:c r="P283" s="8" t="n">
        <x:f>IF(COUNT('Monthly data'!K281:K283)=3,'Monthly data'!K283-2*'Monthly data'!K282+'Monthly data'!K281,"")</x:f>
        <x:v>9.0953</x:v>
      </x:c>
      <x:c r="Q283" s="8" t="n">
        <x:f>IF(COUNT('Monthly data'!L281:L283)=3,'Monthly data'!L283-2*'Monthly data'!L282+'Monthly data'!L281,"")</x:f>
        <x:v>0.5561</x:v>
      </x:c>
      <x:c r="R283" s="8" t="n">
        <x:f>IF(COUNT('Monthly data'!M281:M283)=3,'Monthly data'!M283-2*'Monthly data'!M282+'Monthly data'!M281,"")</x:f>
        <x:v>1.0747999999999998</x:v>
      </x:c>
      <x:c r="S283" s="8" t="n">
        <x:f>IF(COUNT('Monthly data'!N281:N283)=3,'Monthly data'!N283-2*'Monthly data'!N282+'Monthly data'!N281,"")</x:f>
        <x:v>-3.794500000000001</x:v>
      </x:c>
      <x:c r="T283" s="8" t="n">
        <x:f>IF(COUNT('Monthly data'!E282:E283)=2,'Monthly data'!E283-'Monthly data'!E282,"")</x:f>
        <x:v>0.0007056830000014003</x:v>
      </x:c>
    </x:row>
    <x:row r="284" ht="19" customHeight="1">
      <x:c r="A284" s="7" t="n">
        <x:f>'Monthly data'!A284</x:f>
        <x:v>41456</x:v>
      </x:c>
      <x:c r="B284" s="8" t="n">
        <x:f>IF(ISNUMBER('Monthly data'!F284),LN(1+'Monthly data'!F284),"")</x:f>
        <x:v>4.411221292953157</x:v>
      </x:c>
      <x:c r="C284" s="8" t="n">
        <x:f>IF(ISNUMBER('Monthly data'!G284),LN(1+'Monthly data'!G284),"")</x:f>
        <x:v>2.292585260915712</x:v>
      </x:c>
      <x:c r="D284" s="8" t="n">
        <x:f>IF(ISNUMBER('Monthly data'!H284),LN(1+'Monthly data'!H284),"")</x:f>
        <x:v>3.2933745778000243</x:v>
      </x:c>
      <x:c r="E284" s="8" t="n">
        <x:f>IF(ISNUMBER('Monthly data'!I284),LN(1+'Monthly data'!I284),"")</x:f>
        <x:v>2.4793663305234865</x:v>
      </x:c>
      <x:c r="F284" s="8" t="n">
        <x:f>IF(ISNUMBER('Monthly data'!J284),LN(1+'Monthly data'!J284),"")</x:f>
        <x:v>2.404708374458888</x:v>
      </x:c>
      <x:c r="G284" s="8" t="n">
        <x:f>IF(ISNUMBER('Monthly data'!K284),LN(1+'Monthly data'!K284),"")</x:f>
        <x:v>1.0638828081470117</x:v>
      </x:c>
      <x:c r="H284" s="8" t="n">
        <x:f>IF(ISNUMBER('Monthly data'!L284),LN(1+'Monthly data'!L284),"")</x:f>
        <x:v>2.569799116805963</x:v>
      </x:c>
      <x:c r="I284" s="8" t="n">
        <x:f>IF(ISNUMBER('Monthly data'!M284),LN(1+'Monthly data'!M284),"")</x:f>
        <x:v>0.7974621498245845</x:v>
      </x:c>
      <x:c r="J284" s="8" t="n">
        <x:f>IF(ISNUMBER('Monthly data'!N284),LN(1+'Monthly data'!N284),"")</x:f>
        <x:v>2.428891699591306</x:v>
      </x:c>
      <x:c r="K284" s="8" t="n">
        <x:f>IF(COUNT('Monthly data'!F282:F284)=3,'Monthly data'!F284-2*'Monthly data'!F283+'Monthly data'!F282,"")</x:f>
        <x:v>-2.8100000000000023</x:v>
      </x:c>
      <x:c r="L284" s="8" t="n">
        <x:f>IF(COUNT('Monthly data'!G282:G284)=3,'Monthly data'!G284-2*'Monthly data'!G283+'Monthly data'!G282,"")</x:f>
        <x:v>0.16929999999999978</x:v>
      </x:c>
      <x:c r="M284" s="8" t="n">
        <x:f>IF(COUNT('Monthly data'!H282:H284)=3,'Monthly data'!H284-2*'Monthly data'!H283+'Monthly data'!H282,"")</x:f>
        <x:v>-12.647900000000003</x:v>
      </x:c>
      <x:c r="N284" s="8" t="n">
        <x:f>IF(COUNT('Monthly data'!I282:I284)=3,'Monthly data'!I284-2*'Monthly data'!I283+'Monthly data'!I282,"")</x:f>
        <x:v>10.499899999999998</x:v>
      </x:c>
      <x:c r="O284" s="8" t="n">
        <x:f>IF(COUNT('Monthly data'!J282:J284)=3,'Monthly data'!J284-2*'Monthly data'!J283+'Monthly data'!J282,"")</x:f>
        <x:v>-11.019600000000002</x:v>
      </x:c>
      <x:c r="P284" s="8" t="n">
        <x:f>IF(COUNT('Monthly data'!K282:K284)=3,'Monthly data'!K284-2*'Monthly data'!K283+'Monthly data'!K282,"")</x:f>
        <x:v>-1.8066999999999998</x:v>
      </x:c>
      <x:c r="Q284" s="8" t="n">
        <x:f>IF(COUNT('Monthly data'!L282:L284)=3,'Monthly data'!L284-2*'Monthly data'!L283+'Monthly data'!L282,"")</x:f>
        <x:v>12.004100000000001</x:v>
      </x:c>
      <x:c r="R284" s="8" t="n">
        <x:f>IF(COUNT('Monthly data'!M282:M284)=3,'Monthly data'!M284-2*'Monthly data'!M283+'Monthly data'!M282,"")</x:f>
        <x:v>-1.7149999999999999</x:v>
      </x:c>
      <x:c r="S284" s="8" t="n">
        <x:f>IF(COUNT('Monthly data'!N282:N284)=3,'Monthly data'!N284-2*'Monthly data'!N283+'Monthly data'!N282,"")</x:f>
        <x:v>1.7056999999999984</x:v>
      </x:c>
      <x:c r="T284" s="8" t="n">
        <x:f>IF(COUNT('Monthly data'!E283:E284)=2,'Monthly data'!E284-'Monthly data'!E283,"")</x:f>
        <x:v>0.006692313000000283</x:v>
      </x:c>
    </x:row>
    <x:row r="285" ht="19" customHeight="1">
      <x:c r="A285" s="7" t="n">
        <x:f>'Monthly data'!A285</x:f>
        <x:v>41487</x:v>
      </x:c>
      <x:c r="B285" s="8" t="n">
        <x:f>IF(ISNUMBER('Monthly data'!F285),LN(1+'Monthly data'!F285),"")</x:f>
        <x:v>4.678885223810372</x:v>
      </x:c>
      <x:c r="C285" s="8" t="n">
        <x:f>IF(ISNUMBER('Monthly data'!G285),LN(1+'Monthly data'!G285),"")</x:f>
        <x:v>3.3692215607830045</x:v>
      </x:c>
      <x:c r="D285" s="8" t="n">
        <x:f>IF(ISNUMBER('Monthly data'!H285),LN(1+'Monthly data'!H285),"")</x:f>
        <x:v>3.1602250038247695</x:v>
      </x:c>
      <x:c r="E285" s="8" t="n">
        <x:f>IF(ISNUMBER('Monthly data'!I285),LN(1+'Monthly data'!I285),"")</x:f>
        <x:v>3.008174546443878</x:v>
      </x:c>
      <x:c r="F285" s="8" t="n">
        <x:f>IF(ISNUMBER('Monthly data'!J285),LN(1+'Monthly data'!J285),"")</x:f>
        <x:v>2.574975846876868</x:v>
      </x:c>
      <x:c r="G285" s="8" t="n">
        <x:f>IF(ISNUMBER('Monthly data'!K285),LN(1+'Monthly data'!K285),"")</x:f>
        <x:v>1.2341915829099326</x:v>
      </x:c>
      <x:c r="H285" s="8" t="n">
        <x:f>IF(ISNUMBER('Monthly data'!L285),LN(1+'Monthly data'!L285),"")</x:f>
        <x:v>2.3386855586187685</x:v>
      </x:c>
      <x:c r="I285" s="8" t="n">
        <x:f>IF(ISNUMBER('Monthly data'!M285),LN(1+'Monthly data'!M285),"")</x:f>
        <x:v>0.9158106166372778</x:v>
      </x:c>
      <x:c r="J285" s="8" t="n">
        <x:f>IF(ISNUMBER('Monthly data'!N285),LN(1+'Monthly data'!N285),"")</x:f>
        <x:v>2.5124245358247395</x:v>
      </x:c>
      <x:c r="K285" s="8" t="n">
        <x:f>IF(COUNT('Monthly data'!F283:F285)=3,'Monthly data'!F285-2*'Monthly data'!F284+'Monthly data'!F283,"")</x:f>
        <x:v>32.67</x:v>
      </x:c>
      <x:c r="L285" s="8" t="n">
        <x:f>IF(COUNT('Monthly data'!G283:G285)=3,'Monthly data'!G285-2*'Monthly data'!G284+'Monthly data'!G283,"")</x:f>
        <x:v>24.536600000000004</x:v>
      </x:c>
      <x:c r="M285" s="8" t="n">
        <x:f>IF(COUNT('Monthly data'!H283:H285)=3,'Monthly data'!H285-2*'Monthly data'!H284+'Monthly data'!H283,"")</x:f>
        <x:v>2.4309000000000047</x:v>
      </x:c>
      <x:c r="N285" s="8" t="n">
        <x:f>IF(COUNT('Monthly data'!I283:I285)=3,'Monthly data'!I285-2*'Monthly data'!I284+'Monthly data'!I283,"")</x:f>
        <x:v>9.2622</x:v>
      </x:c>
      <x:c r="O285" s="8" t="n">
        <x:f>IF(COUNT('Monthly data'!J283:J285)=3,'Monthly data'!J285-2*'Monthly data'!J284+'Monthly data'!J283,"")</x:f>
        <x:v>7.3301</x:v>
      </x:c>
      <x:c r="P285" s="8" t="n">
        <x:f>IF(COUNT('Monthly data'!K283:K285)=3,'Monthly data'!K285-2*'Monthly data'!K284+'Monthly data'!K283,"")</x:f>
        <x:v>1.8437999999999999</x:v>
      </x:c>
      <x:c r="Q285" s="8" t="n">
        <x:f>IF(COUNT('Monthly data'!L283:L285)=3,'Monthly data'!L285-2*'Monthly data'!L284+'Monthly data'!L283,"")</x:f>
        <x:v>-14.625300000000001</x:v>
      </x:c>
      <x:c r="R285" s="8" t="n">
        <x:f>IF(COUNT('Monthly data'!M283:M285)=3,'Monthly data'!M285-2*'Monthly data'!M284+'Monthly data'!M283,"")</x:f>
        <x:v>1.1501</x:v>
      </x:c>
      <x:c r="S285" s="8" t="n">
        <x:f>IF(COUNT('Monthly data'!N283:N285)=3,'Monthly data'!N285-2*'Monthly data'!N284+'Monthly data'!N283,"")</x:f>
        <x:v>0.7417000000000016</x:v>
      </x:c>
      <x:c r="T285" s="8" t="n">
        <x:f>IF(COUNT('Monthly data'!E284:E285)=2,'Monthly data'!E285-'Monthly data'!E284,"")</x:f>
        <x:v>-0.003182266100001385</x:v>
      </x:c>
    </x:row>
    <x:row r="286" ht="19" customHeight="1">
      <x:c r="A286" s="7" t="n">
        <x:f>'Monthly data'!A286</x:f>
        <x:v>41518</x:v>
      </x:c>
      <x:c r="B286" s="8" t="n">
        <x:f>IF(ISNUMBER('Monthly data'!F286),LN(1+'Monthly data'!F286),"")</x:f>
        <x:v>4.783148993347909</x:v>
      </x:c>
      <x:c r="C286" s="8" t="n">
        <x:f>IF(ISNUMBER('Monthly data'!G286),LN(1+'Monthly data'!G286),"")</x:f>
        <x:v>3.7676998766396954</x:v>
      </x:c>
      <x:c r="D286" s="8" t="n">
        <x:f>IF(ISNUMBER('Monthly data'!H286),LN(1+'Monthly data'!H286),"")</x:f>
        <x:v>3.583424489551508</x:v>
      </x:c>
      <x:c r="E286" s="8" t="n">
        <x:f>IF(ISNUMBER('Monthly data'!I286),LN(1+'Monthly data'!I286),"")</x:f>
        <x:v>2.9764933873259514</x:v>
      </x:c>
      <x:c r="F286" s="8" t="n">
        <x:f>IF(ISNUMBER('Monthly data'!J286),LN(1+'Monthly data'!J286),"")</x:f>
        <x:v>2.259343506955023</x:v>
      </x:c>
      <x:c r="G286" s="8" t="n">
        <x:f>IF(ISNUMBER('Monthly data'!K286),LN(1+'Monthly data'!K286),"")</x:f>
        <x:v>1.4924320746811686</x:v>
      </x:c>
      <x:c r="H286" s="8" t="n">
        <x:f>IF(ISNUMBER('Monthly data'!L286),LN(1+'Monthly data'!L286),"")</x:f>
        <x:v>0.9699452364096474</x:v>
      </x:c>
      <x:c r="I286" s="8" t="n">
        <x:f>IF(ISNUMBER('Monthly data'!M286),LN(1+'Monthly data'!M286),"")</x:f>
        <x:v>0.6445345006392522</x:v>
      </x:c>
      <x:c r="J286" s="8" t="n">
        <x:f>IF(ISNUMBER('Monthly data'!N286),LN(1+'Monthly data'!N286),"")</x:f>
        <x:v>2.1990562321651894</x:v>
      </x:c>
      <x:c r="K286" s="8" t="n">
        <x:f>IF(COUNT('Monthly data'!F284:F286)=3,'Monthly data'!F286-2*'Monthly data'!F285+'Monthly data'!F284,"")</x:f>
        <x:v>-13.450000000000003</x:v>
      </x:c>
      <x:c r="L286" s="8" t="n">
        <x:f>IF(COUNT('Monthly data'!G284:G286)=3,'Monthly data'!G286-2*'Monthly data'!G285+'Monthly data'!G284,"")</x:f>
        <x:v>-4.930900000000003</x:v>
      </x:c>
      <x:c r="M286" s="8" t="n">
        <x:f>IF(COUNT('Monthly data'!H284:H286)=3,'Monthly data'!H286-2*'Monthly data'!H285+'Monthly data'!H284,"")</x:f>
        <x:v>15.778399999999998</x:v>
      </x:c>
      <x:c r="N286" s="8" t="n">
        <x:f>IF(COUNT('Monthly data'!I284:I286)=3,'Monthly data'!I286-2*'Monthly data'!I285+'Monthly data'!I284,"")</x:f>
        <x:v>-8.948199999999998</x:v>
      </x:c>
      <x:c r="O286" s="8" t="n">
        <x:f>IF(COUNT('Monthly data'!J284:J286)=3,'Monthly data'!J286-2*'Monthly data'!J285+'Monthly data'!J284,"")</x:f>
        <x:v>-5.609999999999999</x:v>
      </x:c>
      <x:c r="P286" s="8" t="n">
        <x:f>IF(COUNT('Monthly data'!K284:K286)=3,'Monthly data'!K286-2*'Monthly data'!K285+'Monthly data'!K284,"")</x:f>
        <x:v>0.47430000000000017</x:v>
      </x:c>
      <x:c r="Q286" s="8" t="n">
        <x:f>IF(COUNT('Monthly data'!L284:L286)=3,'Monthly data'!L286-2*'Monthly data'!L285+'Monthly data'!L284,"")</x:f>
        <x:v>-5.0342</x:v>
      </x:c>
      <x:c r="R286" s="8" t="n">
        <x:f>IF(COUNT('Monthly data'!M284:M286)=3,'Monthly data'!M286-2*'Monthly data'!M285+'Monthly data'!M284,"")</x:f>
        <x:v>-0.8725999999999998</x:v>
      </x:c>
      <x:c r="S286" s="8" t="n">
        <x:f>IF(COUNT('Monthly data'!N284:N286)=3,'Monthly data'!N286-2*'Monthly data'!N285+'Monthly data'!N284,"")</x:f>
        <x:v>-4.306799999999999</x:v>
      </x:c>
      <x:c r="T286" s="8" t="n">
        <x:f>IF(COUNT('Monthly data'!E285:E286)=2,'Monthly data'!E286-'Monthly data'!E285,"")</x:f>
        <x:v>-0.006122316699999075</x:v>
      </x:c>
    </x:row>
    <x:row r="287" ht="19" customHeight="1">
      <x:c r="A287" s="7" t="n">
        <x:f>'Monthly data'!A287</x:f>
        <x:v>41548</x:v>
      </x:c>
      <x:c r="B287" s="8" t="n">
        <x:f>IF(ISNUMBER('Monthly data'!F287),LN(1+'Monthly data'!F287),"")</x:f>
        <x:v>4.489983776178974</x:v>
      </x:c>
      <x:c r="C287" s="8" t="n">
        <x:f>IF(ISNUMBER('Monthly data'!G287),LN(1+'Monthly data'!G287),"")</x:f>
        <x:v>2.392864457623767</x:v>
      </x:c>
      <x:c r="D287" s="8" t="n">
        <x:f>IF(ISNUMBER('Monthly data'!H287),LN(1+'Monthly data'!H287),"")</x:f>
        <x:v>3.5248211050234914</x:v>
      </x:c>
      <x:c r="E287" s="8" t="n">
        <x:f>IF(ISNUMBER('Monthly data'!I287),LN(1+'Monthly data'!I287),"")</x:f>
        <x:v>2.8021111160515564</x:v>
      </x:c>
      <x:c r="F287" s="8" t="n">
        <x:f>IF(ISNUMBER('Monthly data'!J287),LN(1+'Monthly data'!J287),"")</x:f>
        <x:v>2.344302686345914</x:v>
      </x:c>
      <x:c r="G287" s="8" t="n">
        <x:f>IF(ISNUMBER('Monthly data'!K287),LN(1+'Monthly data'!K287),"")</x:f>
        <x:v>1.9473519662799852</x:v>
      </x:c>
      <x:c r="H287" s="8" t="n">
        <x:f>IF(ISNUMBER('Monthly data'!L287),LN(1+'Monthly data'!L287),"")</x:f>
        <x:v>0.8503218549319439</x:v>
      </x:c>
      <x:c r="I287" s="8" t="n">
        <x:f>IF(ISNUMBER('Monthly data'!M287),LN(1+'Monthly data'!M287),"")</x:f>
        <x:v>0.7933092074589263</x:v>
      </x:c>
      <x:c r="J287" s="8" t="n">
        <x:f>IF(ISNUMBER('Monthly data'!N287),LN(1+'Monthly data'!N287),"")</x:f>
        <x:v>2.546385808344675</x:v>
      </x:c>
      <x:c r="K287" s="8" t="n">
        <x:f>IF(COUNT('Monthly data'!F285:F287)=3,'Monthly data'!F287-2*'Monthly data'!F286+'Monthly data'!F285,"")</x:f>
        <x:v>-42.19</x:v>
      </x:c>
      <x:c r="L287" s="8" t="n">
        <x:f>IF(COUNT('Monthly data'!G285:G287)=3,'Monthly data'!G287-2*'Monthly data'!G286+'Monthly data'!G285,"")</x:f>
        <x:v>-46.5601</x:v>
      </x:c>
      <x:c r="M287" s="8" t="n">
        <x:f>IF(COUNT('Monthly data'!H285:H287)=3,'Monthly data'!H287-2*'Monthly data'!H286+'Monthly data'!H285,"")</x:f>
        <x:v>-14.469600000000003</x:v>
      </x:c>
      <x:c r="N287" s="8" t="n">
        <x:f>IF(COUNT('Monthly data'!I285:I287)=3,'Monthly data'!I287-2*'Monthly data'!I286+'Monthly data'!I285,"")</x:f>
        <x:v>-2.5080000000000027</x:v>
      </x:c>
      <x:c r="O287" s="8" t="n">
        <x:f>IF(COUNT('Monthly data'!J285:J287)=3,'Monthly data'!J287-2*'Monthly data'!J286+'Monthly data'!J285,"")</x:f>
        <x:v>4.4033999999999995</x:v>
      </x:c>
      <x:c r="P287" s="8" t="n">
        <x:f>IF(COUNT('Monthly data'!K285:K287)=3,'Monthly data'!K287-2*'Monthly data'!K286+'Monthly data'!K285,"")</x:f>
        <x:v>1.5499</x:v>
      </x:c>
      <x:c r="Q287" s="8" t="n">
        <x:f>IF(COUNT('Monthly data'!L285:L287)=3,'Monthly data'!L287-2*'Monthly data'!L286+'Monthly data'!L285,"")</x:f>
        <x:v>7.4323999999999995</x:v>
      </x:c>
      <x:c r="R287" s="8" t="n">
        <x:f>IF(COUNT('Monthly data'!M285:M287)=3,'Monthly data'!M287-2*'Monthly data'!M286+'Monthly data'!M285,"")</x:f>
        <x:v>0.8993</x:v>
      </x:c>
      <x:c r="S287" s="8" t="n">
        <x:f>IF(COUNT('Monthly data'!N285:N287)=3,'Monthly data'!N287-2*'Monthly data'!N286+'Monthly data'!N285,"")</x:f>
        <x:v>7.062699999999998</x:v>
      </x:c>
      <x:c r="T287" s="8" t="n">
        <x:f>IF(COUNT('Monthly data'!E286:E287)=2,'Monthly data'!E287-'Monthly data'!E286,"")</x:f>
        <x:v>0.0036481798999989934</x:v>
      </x:c>
    </x:row>
    <x:row r="288" ht="19" customHeight="1">
      <x:c r="A288" s="7" t="n">
        <x:f>'Monthly data'!A288</x:f>
        <x:v>41579</x:v>
      </x:c>
      <x:c r="B288" s="8" t="n">
        <x:f>IF(ISNUMBER('Monthly data'!F288),LN(1+'Monthly data'!F288),"")</x:f>
        <x:v>4.503580330226458</x:v>
      </x:c>
      <x:c r="C288" s="8" t="n">
        <x:f>IF(ISNUMBER('Monthly data'!G288),LN(1+'Monthly data'!G288),"")</x:f>
        <x:v>2.333123997302878</x:v>
      </x:c>
      <x:c r="D288" s="8" t="n">
        <x:f>IF(ISNUMBER('Monthly data'!H288),LN(1+'Monthly data'!H288),"")</x:f>
        <x:v>3.610352888183099</x:v>
      </x:c>
      <x:c r="E288" s="8" t="n">
        <x:f>IF(ISNUMBER('Monthly data'!I288),LN(1+'Monthly data'!I288),"")</x:f>
        <x:v>2.5555514893573323</x:v>
      </x:c>
      <x:c r="F288" s="8" t="n">
        <x:f>IF(ISNUMBER('Monthly data'!J288),LN(1+'Monthly data'!J288),"")</x:f>
        <x:v>2.434560275351262</x:v>
      </x:c>
      <x:c r="G288" s="8" t="n">
        <x:f>IF(ISNUMBER('Monthly data'!K288),LN(1+'Monthly data'!K288),"")</x:f>
        <x:v>2.3463818584924283</x:v>
      </x:c>
      <x:c r="H288" s="8" t="n">
        <x:f>IF(ISNUMBER('Monthly data'!L288),LN(1+'Monthly data'!L288),"")</x:f>
        <x:v>1.170715872424484</x:v>
      </x:c>
      <x:c r="I288" s="8" t="n">
        <x:f>IF(ISNUMBER('Monthly data'!M288),LN(1+'Monthly data'!M288),"")</x:f>
        <x:v>0.9921029652351023</x:v>
      </x:c>
      <x:c r="J288" s="8" t="n">
        <x:f>IF(ISNUMBER('Monthly data'!N288),LN(1+'Monthly data'!N288),"")</x:f>
        <x:v>2.239943438333865</x:v>
      </x:c>
      <x:c r="K288" s="8" t="n">
        <x:f>IF(COUNT('Monthly data'!F286:F288)=3,'Monthly data'!F288-2*'Monthly data'!F287+'Monthly data'!F286,"")</x:f>
        <x:v>31.58</x:v>
      </x:c>
      <x:c r="L288" s="8" t="n">
        <x:f>IF(COUNT('Monthly data'!G286:G288)=3,'Monthly data'!G288-2*'Monthly data'!G287+'Monthly data'!G286,"")</x:f>
        <x:v>31.700899999999997</x:v>
      </x:c>
      <x:c r="M288" s="8" t="n">
        <x:f>IF(COUNT('Monthly data'!H286:H288)=3,'Monthly data'!H288-2*'Monthly data'!H287+'Monthly data'!H286,"")</x:f>
        <x:v>5.080300000000008</x:v>
      </x:c>
      <x:c r="N288" s="8" t="n">
        <x:f>IF(COUNT('Monthly data'!I286:I288)=3,'Monthly data'!I288-2*'Monthly data'!I287+'Monthly data'!I286,"")</x:f>
        <x:v>-0.4615000000000009</x:v>
      </x:c>
      <x:c r="O288" s="8" t="n">
        <x:f>IF(COUNT('Monthly data'!J286:J288)=3,'Monthly data'!J288-2*'Monthly data'!J287+'Monthly data'!J286,"")</x:f>
        <x:v>0.13560000000000016</x:v>
      </x:c>
      <x:c r="P288" s="8" t="n">
        <x:f>IF(COUNT('Monthly data'!K286:K288)=3,'Monthly data'!K288-2*'Monthly data'!K287+'Monthly data'!K286,"")</x:f>
        <x:v>0.8753999999999986</x:v>
      </x:c>
      <x:c r="Q288" s="8" t="n">
        <x:f>IF(COUNT('Monthly data'!L286:L288)=3,'Monthly data'!L288-2*'Monthly data'!L287+'Monthly data'!L286,"")</x:f>
        <x:v>1.1812999999999998</x:v>
      </x:c>
      <x:c r="R288" s="8" t="n">
        <x:f>IF(COUNT('Monthly data'!M286:M288)=3,'Monthly data'!M288-2*'Monthly data'!M287+'Monthly data'!M286,"")</x:f>
        <x:v>0.18059999999999987</x:v>
      </x:c>
      <x:c r="S288" s="8" t="n">
        <x:f>IF(COUNT('Monthly data'!N286:N288)=3,'Monthly data'!N288-2*'Monthly data'!N287+'Monthly data'!N286,"")</x:f>
        <x:v>-7.112499999999999</x:v>
      </x:c>
      <x:c r="T288" s="8" t="n">
        <x:f>IF(COUNT('Monthly data'!E287:E288)=2,'Monthly data'!E288-'Monthly data'!E287,"")</x:f>
        <x:v>0.003920584100001179</x:v>
      </x:c>
    </x:row>
    <x:row r="289" ht="19" customHeight="1">
      <x:c r="A289" s="7" t="n">
        <x:f>'Monthly data'!A289</x:f>
        <x:v>41609</x:v>
      </x:c>
      <x:c r="B289" s="8" t="n">
        <x:f>IF(ISNUMBER('Monthly data'!F289),LN(1+'Monthly data'!F289),"")</x:f>
        <x:v>4.542230386214217</x:v>
      </x:c>
      <x:c r="C289" s="8" t="n">
        <x:f>IF(ISNUMBER('Monthly data'!G289),LN(1+'Monthly data'!G289),"")</x:f>
        <x:v>2.3995666026209848</x:v>
      </x:c>
      <x:c r="D289" s="8" t="n">
        <x:f>IF(ISNUMBER('Monthly data'!H289),LN(1+'Monthly data'!H289),"")</x:f>
        <x:v>3.612335825848933</x:v>
      </x:c>
      <x:c r="E289" s="8" t="n">
        <x:f>IF(ISNUMBER('Monthly data'!I289),LN(1+'Monthly data'!I289),"")</x:f>
        <x:v>2.5820560462868074</x:v>
      </x:c>
      <x:c r="F289" s="8" t="n">
        <x:f>IF(ISNUMBER('Monthly data'!J289),LN(1+'Monthly data'!J289),"")</x:f>
        <x:v>2.920750073220302</x:v>
      </x:c>
      <x:c r="G289" s="8" t="n">
        <x:f>IF(ISNUMBER('Monthly data'!K289),LN(1+'Monthly data'!K289),"")</x:f>
        <x:v>1.512618594453385</x:v>
      </x:c>
      <x:c r="H289" s="8" t="n">
        <x:f>IF(ISNUMBER('Monthly data'!L289),LN(1+'Monthly data'!L289),"")</x:f>
        <x:v>1.4606594430751974</x:v>
      </x:c>
      <x:c r="I289" s="8" t="n">
        <x:f>IF(ISNUMBER('Monthly data'!M289),LN(1+'Monthly data'!M289),"")</x:f>
        <x:v>1.0592475651458328</x:v>
      </x:c>
      <x:c r="J289" s="8" t="n">
        <x:f>IF(ISNUMBER('Monthly data'!N289),LN(1+'Monthly data'!N289),"")</x:f>
        <x:v>2.231948013394605</x:v>
      </x:c>
      <x:c r="K289" s="8" t="n">
        <x:f>IF(COUNT('Monthly data'!F287:F289)=3,'Monthly data'!F289-2*'Monthly data'!F288+'Monthly data'!F287,"")</x:f>
        <x:v>2.3400000000000034</x:v>
      </x:c>
      <x:c r="L289" s="8" t="n">
        <x:f>IF(COUNT('Monthly data'!G287:G289)=3,'Monthly data'!G289-2*'Monthly data'!G288+'Monthly data'!G287,"")</x:f>
        <x:v>1.343</x:v>
      </x:c>
      <x:c r="M289" s="8" t="n">
        <x:f>IF(COUNT('Monthly data'!H287:H289)=3,'Monthly data'!H289-2*'Monthly data'!H288+'Monthly data'!H287,"")</x:f>
        <x:v>-2.9580000000000055</x:v>
      </x:c>
      <x:c r="N289" s="8" t="n">
        <x:f>IF(COUNT('Monthly data'!I287:I289)=3,'Monthly data'!I289-2*'Monthly data'!I288+'Monthly data'!I287,"")</x:f>
        <x:v>3.946900000000001</x:v>
      </x:c>
      <x:c r="O289" s="8" t="n">
        <x:f>IF(COUNT('Monthly data'!J287:J289)=3,'Monthly data'!J289-2*'Monthly data'!J288+'Monthly data'!J287,"")</x:f>
        <x:v>6.159599999999999</x:v>
      </x:c>
      <x:c r="P289" s="8" t="n">
        <x:f>IF(COUNT('Monthly data'!K287:K289)=3,'Monthly data'!K289-2*'Monthly data'!K288+'Monthly data'!K287,"")</x:f>
        <x:v>-9.346699999999998</x:v>
      </x:c>
      <x:c r="Q289" s="8" t="n">
        <x:f>IF(COUNT('Monthly data'!L287:L289)=3,'Monthly data'!L289-2*'Monthly data'!L288+'Monthly data'!L287,"")</x:f>
        <x:v>0.20060000000000033</x:v>
      </x:c>
      <x:c r="R289" s="8" t="n">
        <x:f>IF(COUNT('Monthly data'!M287:M289)=3,'Monthly data'!M289-2*'Monthly data'!M288+'Monthly data'!M287,"")</x:f>
        <x:v>-0.29889999999999994</x:v>
      </x:c>
      <x:c r="S289" s="8" t="n">
        <x:f>IF(COUNT('Monthly data'!N287:N289)=3,'Monthly data'!N289-2*'Monthly data'!N288+'Monthly data'!N287,"")</x:f>
        <x:v>3.2933000000000003</x:v>
      </x:c>
      <x:c r="T289" s="8" t="n">
        <x:f>IF(COUNT('Monthly data'!E288:E289)=2,'Monthly data'!E289-'Monthly data'!E288,"")</x:f>
        <x:v>0.005502516700000015</x:v>
      </x:c>
    </x:row>
    <x:row r="290" ht="19" customHeight="1">
      <x:c r="A290" s="7" t="n">
        <x:f>'Monthly data'!A290</x:f>
        <x:v>41640</x:v>
      </x:c>
      <x:c r="B290" s="8" t="n">
        <x:f>IF(ISNUMBER('Monthly data'!F290),LN(1+'Monthly data'!F290),"")</x:f>
        <x:v>4.607267984070237</x:v>
      </x:c>
      <x:c r="C290" s="8" t="n">
        <x:f>IF(ISNUMBER('Monthly data'!G290),LN(1+'Monthly data'!G290),"")</x:f>
        <x:v>2.6689558799611217</x:v>
      </x:c>
      <x:c r="D290" s="8" t="n">
        <x:f>IF(ISNUMBER('Monthly data'!H290),LN(1+'Monthly data'!H290),"")</x:f>
        <x:v>3.482731284643418</x:v>
      </x:c>
      <x:c r="E290" s="8" t="n">
        <x:f>IF(ISNUMBER('Monthly data'!I290),LN(1+'Monthly data'!I290),"")</x:f>
        <x:v>2.87813609543865</x:v>
      </x:c>
      <x:c r="F290" s="8" t="n">
        <x:f>IF(ISNUMBER('Monthly data'!J290),LN(1+'Monthly data'!J290),"")</x:f>
        <x:v>3.1554801171372273</x:v>
      </x:c>
      <x:c r="G290" s="8" t="n">
        <x:f>IF(ISNUMBER('Monthly data'!K290),LN(1+'Monthly data'!K290),"")</x:f>
        <x:v>1.4403089494261287</x:v>
      </x:c>
      <x:c r="H290" s="8" t="n">
        <x:f>IF(ISNUMBER('Monthly data'!L290),LN(1+'Monthly data'!L290),"")</x:f>
        <x:v>1.1179245997004825</x:v>
      </x:c>
      <x:c r="I290" s="8" t="n">
        <x:f>IF(ISNUMBER('Monthly data'!M290),LN(1+'Monthly data'!M290),"")</x:f>
        <x:v>0.7717272806828024</x:v>
      </x:c>
      <x:c r="J290" s="8" t="n">
        <x:f>IF(ISNUMBER('Monthly data'!N290),LN(1+'Monthly data'!N290),"")</x:f>
        <x:v>2.2562479177856805</x:v>
      </x:c>
      <x:c r="K290" s="8" t="n">
        <x:f>IF(COUNT('Monthly data'!F288:F290)=3,'Monthly data'!F290-2*'Monthly data'!F289+'Monthly data'!F288,"")</x:f>
        <x:v>2.749999999999986</x:v>
      </x:c>
      <x:c r="L290" s="8" t="n">
        <x:f>IF(COUNT('Monthly data'!G288:G290)=3,'Monthly data'!G290-2*'Monthly data'!G289+'Monthly data'!G288,"")</x:f>
        <x:v>2.6982</x:v>
      </x:c>
      <x:c r="M290" s="8" t="n">
        <x:f>IF(COUNT('Monthly data'!H288:H290)=3,'Monthly data'!H290-2*'Monthly data'!H289+'Monthly data'!H288,"")</x:f>
        <x:v>-4.577399999999997</x:v>
      </x:c>
      <x:c r="N290" s="8" t="n">
        <x:f>IF(COUNT('Monthly data'!I288:I290)=3,'Monthly data'!I290-2*'Monthly data'!I289+'Monthly data'!I288,"")</x:f>
        <x:v>4.210899999999999</x:v>
      </x:c>
      <x:c r="O290" s="8" t="n">
        <x:f>IF(COUNT('Monthly data'!J288:J290)=3,'Monthly data'!J290-2*'Monthly data'!J289+'Monthly data'!J288,"")</x:f>
        <x:v>-2.235299999999997</x:v>
      </x:c>
      <x:c r="P290" s="8" t="n">
        <x:f>IF(COUNT('Monthly data'!K288:K290)=3,'Monthly data'!K290-2*'Monthly data'!K289+'Monthly data'!K288,"")</x:f>
        <x:v>5.592499999999999</x:v>
      </x:c>
      <x:c r="Q290" s="8" t="n">
        <x:f>IF(COUNT('Monthly data'!L288:L290)=3,'Monthly data'!L290-2*'Monthly data'!L289+'Monthly data'!L288,"")</x:f>
        <x:v>-2.334800000000001</x:v>
      </x:c>
      <x:c r="R290" s="8" t="n">
        <x:f>IF(COUNT('Monthly data'!M288:M290)=3,'Monthly data'!M290-2*'Monthly data'!M289+'Monthly data'!M288,"")</x:f>
        <x:v>-0.9080000000000001</x:v>
      </x:c>
      <x:c r="S290" s="8" t="n">
        <x:f>IF(COUNT('Monthly data'!N288:N290)=3,'Monthly data'!N290-2*'Monthly data'!N289+'Monthly data'!N288,"")</x:f>
        <x:v>0.30400000000000027</x:v>
      </x:c>
      <x:c r="T290" s="8" t="n">
        <x:f>IF(COUNT('Monthly data'!E289:E290)=2,'Monthly data'!E290-'Monthly data'!E289,"")</x:f>
        <x:v>0.0028649875999988694</x:v>
      </x:c>
    </x:row>
    <x:row r="291" ht="19" customHeight="1">
      <x:c r="A291" s="7" t="n">
        <x:f>'Monthly data'!A291</x:f>
        <x:v>41671</x:v>
      </x:c>
      <x:c r="B291" s="8" t="n">
        <x:f>IF(ISNUMBER('Monthly data'!F291),LN(1+'Monthly data'!F291),"")</x:f>
        <x:v>4.604770105966751</x:v>
      </x:c>
      <x:c r="C291" s="8" t="n">
        <x:f>IF(ISNUMBER('Monthly data'!G291),LN(1+'Monthly data'!G291),"")</x:f>
        <x:v>2.3559552292517463</x:v>
      </x:c>
      <x:c r="D291" s="8" t="n">
        <x:f>IF(ISNUMBER('Monthly data'!H291),LN(1+'Monthly data'!H291),"")</x:f>
        <x:v>3.628383417780034</x:v>
      </x:c>
      <x:c r="E291" s="8" t="n">
        <x:f>IF(ISNUMBER('Monthly data'!I291),LN(1+'Monthly data'!I291),"")</x:f>
        <x:v>2.65089414020067</x:v>
      </x:c>
      <x:c r="F291" s="8" t="n">
        <x:f>IF(ISNUMBER('Monthly data'!J291),LN(1+'Monthly data'!J291),"")</x:f>
        <x:v>3.067913390513999</x:v>
      </x:c>
      <x:c r="G291" s="8" t="n">
        <x:f>IF(ISNUMBER('Monthly data'!K291),LN(1+'Monthly data'!K291),"")</x:f>
        <x:v>1.5249905183564811</x:v>
      </x:c>
      <x:c r="H291" s="8" t="n">
        <x:f>IF(ISNUMBER('Monthly data'!L291),LN(1+'Monthly data'!L291),"")</x:f>
        <x:v>1.5249905183564811</x:v>
      </x:c>
      <x:c r="I291" s="8" t="n">
        <x:f>IF(ISNUMBER('Monthly data'!M291),LN(1+'Monthly data'!M291),"")</x:f>
        <x:v>0.7516990675095608</x:v>
      </x:c>
      <x:c r="J291" s="8" t="n">
        <x:f>IF(ISNUMBER('Monthly data'!N291),LN(1+'Monthly data'!N291),"")</x:f>
        <x:v>2.4668614772630932</x:v>
      </x:c>
      <x:c r="K291" s="8" t="n">
        <x:f>IF(COUNT('Monthly data'!F289:F291)=3,'Monthly data'!F291-2*'Monthly data'!F290+'Monthly data'!F289,"")</x:f>
        <x:v>-6.559999999999988</x:v>
      </x:c>
      <x:c r="L291" s="8" t="n">
        <x:f>IF(COUNT('Monthly data'!G289:G291)=3,'Monthly data'!G291-2*'Monthly data'!G290+'Monthly data'!G289,"")</x:f>
        <x:v>-7.283200000000001</x:v>
      </x:c>
      <x:c r="M291" s="8" t="n">
        <x:f>IF(COUNT('Monthly data'!H289:H291)=3,'Monthly data'!H291-2*'Monthly data'!H290+'Monthly data'!H289,"")</x:f>
        <x:v>9.607399999999998</x:v>
      </x:c>
      <x:c r="N291" s="8" t="n">
        <x:f>IF(COUNT('Monthly data'!I289:I291)=3,'Monthly data'!I291-2*'Monthly data'!I290+'Monthly data'!I289,"")</x:f>
        <x:v>-8.171199999999999</x:v>
      </x:c>
      <x:c r="O291" s="8" t="n">
        <x:f>IF(COUNT('Monthly data'!J289:J291)=3,'Monthly data'!J291-2*'Monthly data'!J290+'Monthly data'!J289,"")</x:f>
        <x:v>-6.876400000000004</x:v>
      </x:c>
      <x:c r="P291" s="8" t="n">
        <x:f>IF(COUNT('Monthly data'!K289:K291)=3,'Monthly data'!K291-2*'Monthly data'!K290+'Monthly data'!K289,"")</x:f>
        <x:v>0.6897000000000002</x:v>
      </x:c>
      <x:c r="Q291" s="8" t="n">
        <x:f>IF(COUNT('Monthly data'!L289:L291)=3,'Monthly data'!L291-2*'Monthly data'!L290+'Monthly data'!L289,"")</x:f>
        <x:v>2.7869</x:v>
      </x:c>
      <x:c r="R291" s="8" t="n">
        <x:f>IF(COUNT('Monthly data'!M289:M291)=3,'Monthly data'!M291-2*'Monthly data'!M290+'Monthly data'!M289,"")</x:f>
        <x:v>0.6778000000000002</x:v>
      </x:c>
      <x:c r="S291" s="8" t="n">
        <x:f>IF(COUNT('Monthly data'!N289:N291)=3,'Monthly data'!N291-2*'Monthly data'!N290+'Monthly data'!N289,"")</x:f>
        <x:v>2.0089999999999986</x:v>
      </x:c>
      <x:c r="T291" s="8" t="n">
        <x:f>IF(COUNT('Monthly data'!E290:E291)=2,'Monthly data'!E291-'Monthly data'!E290,"")</x:f>
        <x:v>0.00627493300000026</x:v>
      </x:c>
    </x:row>
    <x:row r="292" ht="19" customHeight="1">
      <x:c r="A292" s="7" t="n">
        <x:f>'Monthly data'!A292</x:f>
        <x:v>41699</x:v>
      </x:c>
      <x:c r="B292" s="8" t="n">
        <x:f>IF(ISNUMBER('Monthly data'!F292),LN(1+'Monthly data'!F292),"")</x:f>
        <x:v>4.8548388162416565</x:v>
      </x:c>
      <x:c r="C292" s="8" t="n">
        <x:f>IF(ISNUMBER('Monthly data'!G292),LN(1+'Monthly data'!G292),"")</x:f>
        <x:v>3.9301202578302057</x:v>
      </x:c>
      <x:c r="D292" s="8" t="n">
        <x:f>IF(ISNUMBER('Monthly data'!H292),LN(1+'Monthly data'!H292),"")</x:f>
        <x:v>3.5209695487952675</x:v>
      </x:c>
      <x:c r="E292" s="8" t="n">
        <x:f>IF(ISNUMBER('Monthly data'!I292),LN(1+'Monthly data'!I292),"")</x:f>
        <x:v>2.5470595150100843</x:v>
      </x:c>
      <x:c r="F292" s="8" t="n">
        <x:f>IF(ISNUMBER('Monthly data'!J292),LN(1+'Monthly data'!J292),"")</x:f>
        <x:v>2.5571032726673932</x:v>
      </x:c>
      <x:c r="G292" s="8" t="n">
        <x:f>IF(ISNUMBER('Monthly data'!K292),LN(1+'Monthly data'!K292),"")</x:f>
        <x:v>0.9840241439082456</x:v>
      </x:c>
      <x:c r="H292" s="8" t="n">
        <x:f>IF(ISNUMBER('Monthly data'!L292),LN(1+'Monthly data'!L292),"")</x:f>
        <x:v>0.729430892637192</x:v>
      </x:c>
      <x:c r="I292" s="8" t="n">
        <x:f>IF(ISNUMBER('Monthly data'!M292),LN(1+'Monthly data'!M292),"")</x:f>
        <x:v>2.0244572333470763</x:v>
      </x:c>
      <x:c r="J292" s="8" t="n">
        <x:f>IF(ISNUMBER('Monthly data'!N292),LN(1+'Monthly data'!N292),"")</x:f>
        <x:v>2.5369217669321453</x:v>
      </x:c>
      <x:c r="K292" s="8" t="n">
        <x:f>IF(COUNT('Monthly data'!F290:F292)=3,'Monthly data'!F292-2*'Monthly data'!F291+'Monthly data'!F290,"")</x:f>
        <x:v>28.650000000000006</x:v>
      </x:c>
      <x:c r="L292" s="8" t="n">
        <x:f>IF(COUNT('Monthly data'!G290:G292)=3,'Monthly data'!G292-2*'Monthly data'!G291+'Monthly data'!G290,"")</x:f>
        <x:v>44.2416</x:v>
      </x:c>
      <x:c r="M292" s="8" t="n">
        <x:f>IF(COUNT('Monthly data'!H290:H292)=3,'Monthly data'!H292-2*'Monthly data'!H291+'Monthly data'!H290,"")</x:f>
        <x:v>-8.938099999999995</x:v>
      </x:c>
      <x:c r="N292" s="8" t="n">
        <x:f>IF(COUNT('Monthly data'!I290:I292)=3,'Monthly data'!I292-2*'Monthly data'!I291+'Monthly data'!I290,"")</x:f>
        <x:v>2.2171999999999983</x:v>
      </x:c>
      <x:c r="O292" s="8" t="n">
        <x:f>IF(COUNT('Monthly data'!J290:J292)=3,'Monthly data'!J292-2*'Monthly data'!J291+'Monthly data'!J290,"")</x:f>
        <x:v>-6.631299999999996</x:v>
      </x:c>
      <x:c r="P292" s="8" t="n">
        <x:f>IF(COUNT('Monthly data'!K290:K292)=3,'Monthly data'!K292-2*'Monthly data'!K291+'Monthly data'!K290,"")</x:f>
        <x:v>-2.2929999999999997</x:v>
      </x:c>
      <x:c r="Q292" s="8" t="n">
        <x:f>IF(COUNT('Monthly data'!L290:L292)=3,'Monthly data'!L292-2*'Monthly data'!L291+'Monthly data'!L290,"")</x:f>
        <x:v>-4.0578</x:v>
      </x:c>
      <x:c r="R292" s="8" t="n">
        <x:f>IF(COUNT('Monthly data'!M290:M292)=3,'Monthly data'!M292-2*'Monthly data'!M291+'Monthly data'!M290,"")</x:f>
        <x:v>5.4943</x:v>
      </x:c>
      <x:c r="S292" s="8" t="n">
        <x:f>IF(COUNT('Monthly data'!N290:N292)=3,'Monthly data'!N292-2*'Monthly data'!N291+'Monthly data'!N290,"")</x:f>
        <x:v>-1.3828999999999976</x:v>
      </x:c>
      <x:c r="T292" s="8" t="n">
        <x:f>IF(COUNT('Monthly data'!E291:E292)=2,'Monthly data'!E292-'Monthly data'!E291,"")</x:f>
        <x:v>-0.008258284500000102</x:v>
      </x:c>
    </x:row>
    <x:row r="293" ht="19" customHeight="1">
      <x:c r="A293" s="7" t="n">
        <x:f>'Monthly data'!A293</x:f>
        <x:v>41730</x:v>
      </x:c>
      <x:c r="B293" s="8" t="n">
        <x:f>IF(ISNUMBER('Monthly data'!F293),LN(1+'Monthly data'!F293),"")</x:f>
        <x:v>4.621732274287069</x:v>
      </x:c>
      <x:c r="C293" s="8" t="n">
        <x:f>IF(ISNUMBER('Monthly data'!G293),LN(1+'Monthly data'!G293),"")</x:f>
        <x:v>3.182000199845045</x:v>
      </x:c>
      <x:c r="D293" s="8" t="n">
        <x:f>IF(ISNUMBER('Monthly data'!H293),LN(1+'Monthly data'!H293),"")</x:f>
        <x:v>3.5109064287374028</x:v>
      </x:c>
      <x:c r="E293" s="8" t="n">
        <x:f>IF(ISNUMBER('Monthly data'!I293),LN(1+'Monthly data'!I293),"")</x:f>
        <x:v>2.728068491415959</x:v>
      </x:c>
      <x:c r="F293" s="8" t="n">
        <x:f>IF(ISNUMBER('Monthly data'!J293),LN(1+'Monthly data'!J293),"")</x:f>
        <x:v>2.7428444653025776</x:v>
      </x:c>
      <x:c r="G293" s="8" t="n">
        <x:f>IF(ISNUMBER('Monthly data'!K293),LN(1+'Monthly data'!K293),"")</x:f>
        <x:v>1.1871114472505242</x:v>
      </x:c>
      <x:c r="H293" s="8" t="n">
        <x:f>IF(ISNUMBER('Monthly data'!L293),LN(1+'Monthly data'!L293),"")</x:f>
        <x:v>0.436058973192798</x:v>
      </x:c>
      <x:c r="I293" s="8" t="n">
        <x:f>IF(ISNUMBER('Monthly data'!M293),LN(1+'Monthly data'!M293),"")</x:f>
        <x:v>1.6981994237115583</x:v>
      </x:c>
      <x:c r="J293" s="8" t="n">
        <x:f>IF(ISNUMBER('Monthly data'!N293),LN(1+'Monthly data'!N293),"")</x:f>
        <x:v>2.2999616547873316</x:v>
      </x:c>
      <x:c r="K293" s="8" t="n">
        <x:f>IF(COUNT('Monthly data'!F291:F293)=3,'Monthly data'!F293-2*'Monthly data'!F292+'Monthly data'!F291,"")</x:f>
        <x:v>-55.09000000000002</x:v>
      </x:c>
      <x:c r="L293" s="8" t="n">
        <x:f>IF(COUNT('Monthly data'!G291:G293)=3,'Monthly data'!G293-2*'Monthly data'!G292+'Monthly data'!G291,"")</x:f>
        <x:v>-67.18310000000001</x:v>
      </x:c>
      <x:c r="M293" s="8" t="n">
        <x:f>IF(COUNT('Monthly data'!H291:H293)=3,'Monthly data'!H293-2*'Monthly data'!H292+'Monthly data'!H291,"")</x:f>
        <x:v>3.4960999999999984</x:v>
      </x:c>
      <x:c r="N293" s="8" t="n">
        <x:f>IF(COUNT('Monthly data'!I291:I293)=3,'Monthly data'!I293-2*'Monthly data'!I292+'Monthly data'!I291,"")</x:f>
        <x:v>3.930999999999999</x:v>
      </x:c>
      <x:c r="O293" s="8" t="n">
        <x:f>IF(COUNT('Monthly data'!J291:J293)=3,'Monthly data'!J293-2*'Monthly data'!J292+'Monthly data'!J291,"")</x:f>
        <x:v>11.2313</x:v>
      </x:c>
      <x:c r="P293" s="8" t="n">
        <x:f>IF(COUNT('Monthly data'!K291:K293)=3,'Monthly data'!K293-2*'Monthly data'!K292+'Monthly data'!K291,"")</x:f>
        <x:v>2.5223</x:v>
      </x:c>
      <x:c r="Q293" s="8" t="n">
        <x:f>IF(COUNT('Monthly data'!L291:L293)=3,'Monthly data'!L293-2*'Monthly data'!L292+'Monthly data'!L291,"")</x:f>
        <x:v>1.9938999999999998</x:v>
      </x:c>
      <x:c r="R293" s="8" t="n">
        <x:f>IF(COUNT('Monthly data'!M291:M293)=3,'Monthly data'!M293-2*'Monthly data'!M292+'Monthly data'!M291,"")</x:f>
        <x:v>-7.5593</x:v>
      </x:c>
      <x:c r="S293" s="8" t="n">
        <x:f>IF(COUNT('Monthly data'!N291:N293)=3,'Monthly data'!N293-2*'Monthly data'!N292+'Monthly data'!N291,"")</x:f>
        <x:v>-3.5222000000000016</x:v>
      </x:c>
      <x:c r="T293" s="8" t="n">
        <x:f>IF(COUNT('Monthly data'!E292:E293)=2,'Monthly data'!E293-'Monthly data'!E292,"")</x:f>
        <x:v>-0.002646818299998799</x:v>
      </x:c>
    </x:row>
    <x:row r="294" ht="19" customHeight="1">
      <x:c r="A294" s="7" t="n">
        <x:f>'Monthly data'!A294</x:f>
        <x:v>41760</x:v>
      </x:c>
      <x:c r="B294" s="8" t="n">
        <x:f>IF(ISNUMBER('Monthly data'!F294),LN(1+'Monthly data'!F294),"")</x:f>
        <x:v>4.671519566529625</x:v>
      </x:c>
      <x:c r="C294" s="8" t="n">
        <x:f>IF(ISNUMBER('Monthly data'!G294),LN(1+'Monthly data'!G294),"")</x:f>
        <x:v>3.038068321316958</x:v>
      </x:c>
      <x:c r="D294" s="8" t="n">
        <x:f>IF(ISNUMBER('Monthly data'!H294),LN(1+'Monthly data'!H294),"")</x:f>
        <x:v>3.4091093327998845</x:v>
      </x:c>
      <x:c r="E294" s="8" t="n">
        <x:f>IF(ISNUMBER('Monthly data'!I294),LN(1+'Monthly data'!I294),"")</x:f>
        <x:v>2.972049026382908</x:v>
      </x:c>
      <x:c r="F294" s="8" t="n">
        <x:f>IF(ISNUMBER('Monthly data'!J294),LN(1+'Monthly data'!J294),"")</x:f>
        <x:v>3.019346255851318</x:v>
      </x:c>
      <x:c r="G294" s="8" t="n">
        <x:f>IF(ISNUMBER('Monthly data'!K294),LN(1+'Monthly data'!K294),"")</x:f>
        <x:v>1.1055548002346847</x:v>
      </x:c>
      <x:c r="H294" s="8" t="n">
        <x:f>IF(ISNUMBER('Monthly data'!L294),LN(1+'Monthly data'!L294),"")</x:f>
        <x:v>1.3994080002652736</x:v>
      </x:c>
      <x:c r="I294" s="8" t="n">
        <x:f>IF(ISNUMBER('Monthly data'!M294),LN(1+'Monthly data'!M294),"")</x:f>
        <x:v>1.6177631611800904</x:v>
      </x:c>
      <x:c r="J294" s="8" t="n">
        <x:f>IF(ISNUMBER('Monthly data'!N294),LN(1+'Monthly data'!N294),"")</x:f>
        <x:v>2.3638212924646194</x:v>
      </x:c>
      <x:c r="K294" s="8" t="n">
        <x:f>IF(COUNT('Monthly data'!F292:F294)=3,'Monthly data'!F294-2*'Monthly data'!F293+'Monthly data'!F292,"")</x:f>
        <x:v>31.879999999999995</x:v>
      </x:c>
      <x:c r="L294" s="8" t="n">
        <x:f>IF(COUNT('Monthly data'!G292:G294)=3,'Monthly data'!G294-2*'Monthly data'!G293+'Monthly data'!G292,"")</x:f>
        <x:v>23.5882</x:v>
      </x:c>
      <x:c r="M294" s="8" t="n">
        <x:f>IF(COUNT('Monthly data'!H292:H294)=3,'Monthly data'!H294-2*'Monthly data'!H293+'Monthly data'!H292,"")</x:f>
        <x:v>-2.9017000000000053</x:v>
      </x:c>
      <x:c r="N294" s="8" t="n">
        <x:f>IF(COUNT('Monthly data'!I292:I294)=3,'Monthly data'!I294-2*'Monthly data'!I293+'Monthly data'!I292,"")</x:f>
        <x:v>1.6948000000000008</x:v>
      </x:c>
      <x:c r="O294" s="8" t="n">
        <x:f>IF(COUNT('Monthly data'!J292:J294)=3,'Monthly data'!J294-2*'Monthly data'!J293+'Monthly data'!J292,"")</x:f>
        <x:v>2.3141000000000016</x:v>
      </x:c>
      <x:c r="P294" s="8" t="n">
        <x:f>IF(COUNT('Monthly data'!K292:K294)=3,'Monthly data'!K294-2*'Monthly data'!K293+'Monthly data'!K292,"")</x:f>
        <x:v>-0.8591</x:v>
      </x:c>
      <x:c r="Q294" s="8" t="n">
        <x:f>IF(COUNT('Monthly data'!L292:L294)=3,'Monthly data'!L294-2*'Monthly data'!L293+'Monthly data'!L292,"")</x:f>
        <x:v>3.0335</x:v>
      </x:c>
      <x:c r="R294" s="8" t="n">
        <x:f>IF(COUNT('Monthly data'!M292:M294)=3,'Monthly data'!M294-2*'Monthly data'!M293+'Monthly data'!M292,"")</x:f>
        <x:v>1.6856</x:v>
      </x:c>
      <x:c r="S294" s="8" t="n">
        <x:f>IF(COUNT('Monthly data'!N292:N294)=3,'Monthly data'!N294-2*'Monthly data'!N293+'Monthly data'!N292,"")</x:f>
        <x:v>3.3246</x:v>
      </x:c>
      <x:c r="T294" s="8" t="n">
        <x:f>IF(COUNT('Monthly data'!E293:E294)=2,'Monthly data'!E294-'Monthly data'!E293,"")</x:f>
        <x:v>0.0022225963999993326</x:v>
      </x:c>
    </x:row>
    <x:row r="295" ht="19" customHeight="1">
      <x:c r="A295" s="7" t="n">
        <x:f>'Monthly data'!A295</x:f>
        <x:v>41791</x:v>
      </x:c>
      <x:c r="B295" s="8" t="n">
        <x:f>IF(ISNUMBER('Monthly data'!F295),LN(1+'Monthly data'!F295),"")</x:f>
        <x:v>4.828713657323628</x:v>
      </x:c>
      <x:c r="C295" s="8" t="n">
        <x:f>IF(ISNUMBER('Monthly data'!G295),LN(1+'Monthly data'!G295),"")</x:f>
        <x:v>3.8797539136678654</x:v>
      </x:c>
      <x:c r="D295" s="8" t="n">
        <x:f>IF(ISNUMBER('Monthly data'!H295),LN(1+'Monthly data'!H295),"")</x:f>
        <x:v>3.537696034279907</x:v>
      </x:c>
      <x:c r="E295" s="8" t="n">
        <x:f>IF(ISNUMBER('Monthly data'!I295),LN(1+'Monthly data'!I295),"")</x:f>
        <x:v>2.9182138771242534</x:v>
      </x:c>
      <x:c r="F295" s="8" t="n">
        <x:f>IF(ISNUMBER('Monthly data'!J295),LN(1+'Monthly data'!J295),"")</x:f>
        <x:v>2.5358294588876844</x:v>
      </x:c>
      <x:c r="G295" s="8" t="n">
        <x:f>IF(ISNUMBER('Monthly data'!K295),LN(1+'Monthly data'!K295),"")</x:f>
        <x:v>0.7351524747049754</x:v>
      </x:c>
      <x:c r="H295" s="8" t="n">
        <x:f>IF(ISNUMBER('Monthly data'!L295),LN(1+'Monthly data'!L295),"")</x:f>
        <x:v>0.570470942692431</x:v>
      </x:c>
      <x:c r="I295" s="8" t="n">
        <x:f>IF(ISNUMBER('Monthly data'!M295),LN(1+'Monthly data'!M295),"")</x:f>
        <x:v>1.0168236132351023</x:v>
      </x:c>
      <x:c r="J295" s="8" t="n">
        <x:f>IF(ISNUMBER('Monthly data'!N295),LN(1+'Monthly data'!N295),"")</x:f>
        <x:v>2.441981751269786</x:v>
      </x:c>
      <x:c r="K295" s="8" t="n">
        <x:f>IF(COUNT('Monthly data'!F293:F295)=3,'Monthly data'!F295-2*'Monthly data'!F294+'Monthly data'!F293,"")</x:f>
        <x:v>13</x:v>
      </x:c>
      <x:c r="L295" s="8" t="n">
        <x:f>IF(COUNT('Monthly data'!G293:G295)=3,'Monthly data'!G295-2*'Monthly data'!G294+'Monthly data'!G293,"")</x:f>
        <x:v>30.777400000000004</x:v>
      </x:c>
      <x:c r="M295" s="8" t="n">
        <x:f>IF(COUNT('Monthly data'!H293:H295)=3,'Monthly data'!H295-2*'Monthly data'!H294+'Monthly data'!H293,"")</x:f>
        <x:v>7.3896000000000015</x:v>
      </x:c>
      <x:c r="N295" s="8" t="n">
        <x:f>IF(COUNT('Monthly data'!I293:I295)=3,'Monthly data'!I295-2*'Monthly data'!I294+'Monthly data'!I293,"")</x:f>
        <x:v>-5.252300000000002</x:v>
      </x:c>
      <x:c r="O295" s="8" t="n">
        <x:f>IF(COUNT('Monthly data'!J293:J295)=3,'Monthly data'!J295-2*'Monthly data'!J294+'Monthly data'!J293,"")</x:f>
        <x:v>-12.797800000000004</x:v>
      </x:c>
      <x:c r="P295" s="8" t="n">
        <x:f>IF(COUNT('Monthly data'!K293:K295)=3,'Monthly data'!K295-2*'Monthly data'!K294+'Monthly data'!K293,"")</x:f>
        <x:v>-0.6784000000000003</x:v>
      </x:c>
      <x:c r="Q295" s="8" t="n">
        <x:f>IF(COUNT('Monthly data'!L293:L295)=3,'Monthly data'!L295-2*'Monthly data'!L294+'Monthly data'!L293,"")</x:f>
        <x:v>-4.7899</x:v>
      </x:c>
      <x:c r="R295" s="8" t="n">
        <x:f>IF(COUNT('Monthly data'!M293:M295)=3,'Monthly data'!M295-2*'Monthly data'!M294+'Monthly data'!M293,"")</x:f>
        <x:v>-1.8551000000000002</x:v>
      </x:c>
      <x:c r="S295" s="8" t="n">
        <x:f>IF(COUNT('Monthly data'!N293:N295)=3,'Monthly data'!N295-2*'Monthly data'!N294+'Monthly data'!N293,"")</x:f>
        <x:v>0.20659999999999812</x:v>
      </x:c>
      <x:c r="T295" s="8" t="n">
        <x:f>IF(COUNT('Monthly data'!E294:E295)=2,'Monthly data'!E295-'Monthly data'!E294,"")</x:f>
        <x:v>0.0038926123999996065</x:v>
      </x:c>
    </x:row>
    <x:row r="296" ht="19" customHeight="1">
      <x:c r="A296" s="7" t="n">
        <x:f>'Monthly data'!A296</x:f>
        <x:v>41821</x:v>
      </x:c>
      <x:c r="B296" s="8" t="n">
        <x:f>IF(ISNUMBER('Monthly data'!F296),LN(1+'Monthly data'!F296),"")</x:f>
        <x:v>4.970785049496295</x:v>
      </x:c>
      <x:c r="C296" s="8" t="n">
        <x:f>IF(ISNUMBER('Monthly data'!G296),LN(1+'Monthly data'!G296),"")</x:f>
        <x:v>4.239477561856609</x:v>
      </x:c>
      <x:c r="D296" s="8" t="n">
        <x:f>IF(ISNUMBER('Monthly data'!H296),LN(1+'Monthly data'!H296),"")</x:f>
        <x:v>3.2025025107502554</x:v>
      </x:c>
      <x:c r="E296" s="8" t="n">
        <x:f>IF(ISNUMBER('Monthly data'!I296),LN(1+'Monthly data'!I296),"")</x:f>
        <x:v>2.8217716664039076</x:v>
      </x:c>
      <x:c r="F296" s="8" t="n">
        <x:f>IF(ISNUMBER('Monthly data'!J296),LN(1+'Monthly data'!J296),"")</x:f>
        <x:v>2.5327757549921888</x:v>
      </x:c>
      <x:c r="G296" s="8" t="n">
        <x:f>IF(ISNUMBER('Monthly data'!K296),LN(1+'Monthly data'!K296),"")</x:f>
        <x:v>1.5091533810317492</x:v>
      </x:c>
      <x:c r="H296" s="8" t="n">
        <x:f>IF(ISNUMBER('Monthly data'!L296),LN(1+'Monthly data'!L296),"")</x:f>
        <x:v>0.5810976767513224</x:v>
      </x:c>
      <x:c r="I296" s="8" t="n">
        <x:f>IF(ISNUMBER('Monthly data'!M296),LN(1+'Monthly data'!M296),"")</x:f>
        <x:v>1.9820629742358735</x:v>
      </x:c>
      <x:c r="J296" s="8" t="n">
        <x:f>IF(ISNUMBER('Monthly data'!N296),LN(1+'Monthly data'!N296),"")</x:f>
        <x:v>2.6540022389057363</x:v>
      </x:c>
      <x:c r="K296" s="8" t="n">
        <x:f>IF(COUNT('Monthly data'!F294:F296)=3,'Monthly data'!F296-2*'Monthly data'!F295+'Monthly data'!F294,"")</x:f>
        <x:v>0.8999999999999915</x:v>
      </x:c>
      <x:c r="L296" s="8" t="n">
        <x:f>IF(COUNT('Monthly data'!G294:G296)=3,'Monthly data'!G296-2*'Monthly data'!G295+'Monthly data'!G294,"")</x:f>
        <x:v>-6.588100000000004</x:v>
      </x:c>
      <x:c r="M296" s="8" t="n">
        <x:f>IF(COUNT('Monthly data'!H294:H296)=3,'Monthly data'!H296-2*'Monthly data'!H295+'Monthly data'!H294,"")</x:f>
        <x:v>-13.942899999999998</x:v>
      </x:c>
      <x:c r="N296" s="8" t="n">
        <x:f>IF(COUNT('Monthly data'!I294:I296)=3,'Monthly data'!I296-2*'Monthly data'!I295+'Monthly data'!I294,"")</x:f>
        <x:v>-0.6778999999999975</x:v>
      </x:c>
      <x:c r="O296" s="8" t="n">
        <x:f>IF(COUNT('Monthly data'!J294:J296)=3,'Monthly data'!J296-2*'Monthly data'!J295+'Monthly data'!J294,"")</x:f>
        <x:v>7.8125000000000036</x:v>
      </x:c>
      <x:c r="P296" s="8" t="n">
        <x:f>IF(COUNT('Monthly data'!K294:K296)=3,'Monthly data'!K296-2*'Monthly data'!K295+'Monthly data'!K294,"")</x:f>
        <x:v>3.3722</x:v>
      </x:c>
      <x:c r="Q296" s="8" t="n">
        <x:f>IF(COUNT('Monthly data'!L294:L296)=3,'Monthly data'!L296-2*'Monthly data'!L295+'Monthly data'!L294,"")</x:f>
        <x:v>2.3026</x:v>
      </x:c>
      <x:c r="R296" s="8" t="n">
        <x:f>IF(COUNT('Monthly data'!M294:M296)=3,'Monthly data'!M296-2*'Monthly data'!M295+'Monthly data'!M294,"")</x:f>
        <x:v>6.7707</x:v>
      </x:c>
      <x:c r="S296" s="8" t="n">
        <x:f>IF(COUNT('Monthly data'!N294:N296)=3,'Monthly data'!N296-2*'Monthly data'!N295+'Monthly data'!N294,"")</x:f>
        <x:v>1.8507000000000033</x:v>
      </x:c>
      <x:c r="T296" s="8" t="n">
        <x:f>IF(COUNT('Monthly data'!E295:E296)=2,'Monthly data'!E296-'Monthly data'!E295,"")</x:f>
        <x:v>0.003259346300000132</x:v>
      </x:c>
    </x:row>
    <x:row r="297" ht="19" customHeight="1">
      <x:c r="A297" s="7" t="n">
        <x:f>'Monthly data'!A297</x:f>
        <x:v>41852</x:v>
      </x:c>
      <x:c r="B297" s="8" t="n">
        <x:f>IF(ISNUMBER('Monthly data'!F297),LN(1+'Monthly data'!F297),"")</x:f>
        <x:v>4.885525483053412</x:v>
      </x:c>
      <x:c r="C297" s="8" t="n">
        <x:f>IF(ISNUMBER('Monthly data'!G297),LN(1+'Monthly data'!G297),"")</x:f>
        <x:v>4.265762444986768</x:v>
      </x:c>
      <x:c r="D297" s="8" t="n">
        <x:f>IF(ISNUMBER('Monthly data'!H297),LN(1+'Monthly data'!H297),"")</x:f>
        <x:v>3.1415800077008296</x:v>
      </x:c>
      <x:c r="E297" s="8" t="n">
        <x:f>IF(ISNUMBER('Monthly data'!I297),LN(1+'Monthly data'!I297),"")</x:f>
        <x:v>2.620143878313481</x:v>
      </x:c>
      <x:c r="F297" s="8" t="n">
        <x:f>IF(ISNUMBER('Monthly data'!J297),LN(1+'Monthly data'!J297),"")</x:f>
        <x:v>2.2824436082921795</x:v>
      </x:c>
      <x:c r="G297" s="8" t="n">
        <x:f>IF(ISNUMBER('Monthly data'!K297),LN(1+'Monthly data'!K297),"")</x:f>
        <x:v>0.655652976132365</x:v>
      </x:c>
      <x:c r="H297" s="8" t="n">
        <x:f>IF(ISNUMBER('Monthly data'!L297),LN(1+'Monthly data'!L297),"")</x:f>
        <x:v>0.6313249669166024</x:v>
      </x:c>
      <x:c r="I297" s="8" t="n">
        <x:f>IF(ISNUMBER('Monthly data'!M297),LN(1+'Monthly data'!M297),"")</x:f>
        <x:v>1.6691397556801444</x:v>
      </x:c>
      <x:c r="J297" s="8" t="n">
        <x:f>IF(ISNUMBER('Monthly data'!N297),LN(1+'Monthly data'!N297),"")</x:f>
        <x:v>2.5135022050846065</x:v>
      </x:c>
      <x:c r="K297" s="8" t="n">
        <x:f>IF(COUNT('Monthly data'!F295:F297)=3,'Monthly data'!F297-2*'Monthly data'!F296+'Monthly data'!F295,"")</x:f>
        <x:v>-30.869999999999962</x:v>
      </x:c>
      <x:c r="L297" s="8" t="n">
        <x:f>IF(COUNT('Monthly data'!G295:G297)=3,'Monthly data'!G297-2*'Monthly data'!G296+'Monthly data'!G295,"")</x:f>
        <x:v>-19.1117</x:v>
      </x:c>
      <x:c r="M297" s="8" t="n">
        <x:f>IF(COUNT('Monthly data'!H295:H297)=3,'Monthly data'!H297-2*'Monthly data'!H296+'Monthly data'!H295,"")</x:f>
        <x:v>8.339999999999996</x:v>
      </x:c>
      <x:c r="N297" s="8" t="n">
        <x:f>IF(COUNT('Monthly data'!I295:I297)=3,'Monthly data'!I297-2*'Monthly data'!I296+'Monthly data'!I295,"")</x:f>
        <x:v>-1.3673000000000002</x:v>
      </x:c>
      <x:c r="O297" s="8" t="n">
        <x:f>IF(COUNT('Monthly data'!J295:J297)=3,'Monthly data'!J297-2*'Monthly data'!J296+'Monthly data'!J295,"")</x:f>
        <x:v>-2.7493000000000016</x:v>
      </x:c>
      <x:c r="P297" s="8" t="n">
        <x:f>IF(COUNT('Monthly data'!K295:K297)=3,'Monthly data'!K297-2*'Monthly data'!K296+'Monthly data'!K295,"")</x:f>
        <x:v>-5.0336</x:v>
      </x:c>
      <x:c r="Q297" s="8" t="n">
        <x:f>IF(COUNT('Monthly data'!L295:L297)=3,'Monthly data'!L297-2*'Monthly data'!L296+'Monthly data'!L295,"")</x:f>
        <x:v>0.07319999999999993</x:v>
      </x:c>
      <x:c r="R297" s="8" t="n">
        <x:f>IF(COUNT('Monthly data'!M295:M297)=3,'Monthly data'!M297-2*'Monthly data'!M296+'Monthly data'!M295,"")</x:f>
        <x:v>-6.443399999999999</x:v>
      </x:c>
      <x:c r="S297" s="8" t="n">
        <x:f>IF(COUNT('Monthly data'!N295:N297)=3,'Monthly data'!N297-2*'Monthly data'!N296+'Monthly data'!N295,"")</x:f>
        <x:v>-4.577700000000002</x:v>
      </x:c>
      <x:c r="T297" s="8" t="n">
        <x:f>IF(COUNT('Monthly data'!E296:E297)=2,'Monthly data'!E297-'Monthly data'!E296,"")</x:f>
        <x:v>0.004256765300000964</x:v>
      </x:c>
    </x:row>
    <x:row r="298" ht="19" customHeight="1">
      <x:c r="A298" s="7" t="n">
        <x:f>'Monthly data'!A298</x:f>
        <x:v>41883</x:v>
      </x:c>
      <x:c r="B298" s="8" t="n">
        <x:f>IF(ISNUMBER('Monthly data'!F298),LN(1+'Monthly data'!F298),"")</x:f>
        <x:v>4.939497266262916</x:v>
      </x:c>
      <x:c r="C298" s="8" t="n">
        <x:f>IF(ISNUMBER('Monthly data'!G298),LN(1+'Monthly data'!G298),"")</x:f>
        <x:v>4.232033342588454</x:v>
      </x:c>
      <x:c r="D298" s="8" t="n">
        <x:f>IF(ISNUMBER('Monthly data'!H298),LN(1+'Monthly data'!H298),"")</x:f>
        <x:v>3.2946027714895156</x:v>
      </x:c>
      <x:c r="E298" s="8" t="n">
        <x:f>IF(ISNUMBER('Monthly data'!I298),LN(1+'Monthly data'!I298),"")</x:f>
        <x:v>2.8393591258736337</x:v>
      </x:c>
      <x:c r="F298" s="8" t="n">
        <x:f>IF(ISNUMBER('Monthly data'!J298),LN(1+'Monthly data'!J298),"")</x:f>
        <x:v>2.0522887177498164</x:v>
      </x:c>
      <x:c r="G298" s="8" t="n">
        <x:f>IF(ISNUMBER('Monthly data'!K298),LN(1+'Monthly data'!K298),"")</x:f>
        <x:v>0.9664513850657708</x:v>
      </x:c>
      <x:c r="H298" s="8" t="n">
        <x:f>IF(ISNUMBER('Monthly data'!L298),LN(1+'Monthly data'!L298),"")</x:f>
        <x:v>0.30888078359277454</x:v>
      </x:c>
      <x:c r="I298" s="8" t="n">
        <x:f>IF(ISNUMBER('Monthly data'!M298),LN(1+'Monthly data'!M298),"")</x:f>
        <x:v>1.6500230789128085</x:v>
      </x:c>
      <x:c r="J298" s="8" t="n">
        <x:f>IF(ISNUMBER('Monthly data'!N298),LN(1+'Monthly data'!N298),"")</x:f>
        <x:v>2.820670302089296</x:v>
      </x:c>
      <x:c r="K298" s="8" t="n">
        <x:f>IF(COUNT('Monthly data'!F296:F298)=3,'Monthly data'!F298-2*'Monthly data'!F297+'Monthly data'!F296,"")</x:f>
        <x:v>19.119999999999948</x:v>
      </x:c>
      <x:c r="L298" s="8" t="n">
        <x:f>IF(COUNT('Monthly data'!G296:G298)=3,'Monthly data'!G298-2*'Monthly data'!G297+'Monthly data'!G296,"")</x:f>
        <x:v>-4.209699999999998</x:v>
      </x:c>
      <x:c r="M298" s="8" t="n">
        <x:f>IF(COUNT('Monthly data'!H296:H298)=3,'Monthly data'!H298-2*'Monthly data'!H297+'Monthly data'!H296,"")</x:f>
        <x:v>5.279900000000001</x:v>
      </x:c>
      <x:c r="N298" s="8" t="n">
        <x:f>IF(COUNT('Monthly data'!I296:I298)=3,'Monthly data'!I298-2*'Monthly data'!I297+'Monthly data'!I296,"")</x:f>
        <x:v>6.436</x:v>
      </x:c>
      <x:c r="O298" s="8" t="n">
        <x:f>IF(COUNT('Monthly data'!J296:J298)=3,'Monthly data'!J298-2*'Monthly data'!J297+'Monthly data'!J296,"")</x:f>
        <x:v>0.7729000000000017</x:v>
      </x:c>
      <x:c r="P298" s="8" t="n">
        <x:f>IF(COUNT('Monthly data'!K296:K298)=3,'Monthly data'!K298-2*'Monthly data'!K297+'Monthly data'!K296,"")</x:f>
        <x:v>3.2987</x:v>
      </x:c>
      <x:c r="Q298" s="8" t="n">
        <x:f>IF(COUNT('Monthly data'!L296:L298)=3,'Monthly data'!L298-2*'Monthly data'!L297+'Monthly data'!L296,"")</x:f>
        <x:v>-0.6102999999999998</x:v>
      </x:c>
      <x:c r="R298" s="8" t="n">
        <x:f>IF(COUNT('Monthly data'!M296:M298)=3,'Monthly data'!M298-2*'Monthly data'!M297+'Monthly data'!M296,"")</x:f>
        <x:v>1.8495999999999997</x:v>
      </x:c>
      <x:c r="S298" s="8" t="n">
        <x:f>IF(COUNT('Monthly data'!N296:N298)=3,'Monthly data'!N298-2*'Monthly data'!N297+'Monthly data'!N296,"")</x:f>
        <x:v>6.3027</x:v>
      </x:c>
      <x:c r="T298" s="8" t="n">
        <x:f>IF(COUNT('Monthly data'!E297:E298)=2,'Monthly data'!E298-'Monthly data'!E297,"")</x:f>
        <x:v>0.009336778599999818</x:v>
      </x:c>
    </x:row>
    <x:row r="299" ht="19" customHeight="1">
      <x:c r="A299" s="7" t="n">
        <x:f>'Monthly data'!A299</x:f>
        <x:v>41913</x:v>
      </x:c>
      <x:c r="B299" s="8" t="n">
        <x:f>IF(ISNUMBER('Monthly data'!F299),LN(1+'Monthly data'!F299),"")</x:f>
        <x:v>4.667863255326515</x:v>
      </x:c>
      <x:c r="C299" s="8" t="n">
        <x:f>IF(ISNUMBER('Monthly data'!G299),LN(1+'Monthly data'!G299),"")</x:f>
        <x:v>3.567454482151123</x:v>
      </x:c>
      <x:c r="D299" s="8" t="n">
        <x:f>IF(ISNUMBER('Monthly data'!H299),LN(1+'Monthly data'!H299),"")</x:f>
        <x:v>3.2640786096990295</x:v>
      </x:c>
      <x:c r="E299" s="8" t="n">
        <x:f>IF(ISNUMBER('Monthly data'!I299),LN(1+'Monthly data'!I299),"")</x:f>
        <x:v>2.9147879095104945</x:v>
      </x:c>
      <x:c r="F299" s="8" t="n">
        <x:f>IF(ISNUMBER('Monthly data'!J299),LN(1+'Monthly data'!J299),"")</x:f>
        <x:v>2.1742288575419035</x:v>
      </x:c>
      <x:c r="G299" s="8" t="n">
        <x:f>IF(ISNUMBER('Monthly data'!K299),LN(1+'Monthly data'!K299),"")</x:f>
        <x:v>1.173503287509736</x:v>
      </x:c>
      <x:c r="H299" s="8" t="n">
        <x:f>IF(ISNUMBER('Monthly data'!L299),LN(1+'Monthly data'!L299),"")</x:f>
        <x:v>0.29050308963848276</x:v>
      </x:c>
      <x:c r="I299" s="8" t="n">
        <x:f>IF(ISNUMBER('Monthly data'!M299),LN(1+'Monthly data'!M299),"")</x:f>
        <x:v>1.0487215190546446</x:v>
      </x:c>
      <x:c r="J299" s="8" t="n">
        <x:f>IF(ISNUMBER('Monthly data'!N299),LN(1+'Monthly data'!N299),"")</x:f>
        <x:v>2.8462398936473554</x:v>
      </x:c>
      <x:c r="K299" s="8" t="n">
        <x:f>IF(COUNT('Monthly data'!F297:F299)=3,'Monthly data'!F299-2*'Monthly data'!F298+'Monthly data'!F297,"")</x:f>
        <x:v>-40.569999999999965</x:v>
      </x:c>
      <x:c r="L299" s="8" t="n">
        <x:f>IF(COUNT('Monthly data'!G297:G299)=3,'Monthly data'!G299-2*'Monthly data'!G298+'Monthly data'!G297,"")</x:f>
        <x:v>-31.068700000000007</x:v>
      </x:c>
      <x:c r="M299" s="8" t="n">
        <x:f>IF(COUNT('Monthly data'!H297:H299)=3,'Monthly data'!H299-2*'Monthly data'!H298+'Monthly data'!H297,"")</x:f>
        <x:v>-4.6370000000000005</x:v>
      </x:c>
      <x:c r="N299" s="8" t="n">
        <x:f>IF(COUNT('Monthly data'!I297:I299)=3,'Monthly data'!I299-2*'Monthly data'!I298+'Monthly data'!I297,"")</x:f>
        <x:v>-2.027000000000001</x:v>
      </x:c>
      <x:c r="O299" s="8" t="n">
        <x:f>IF(COUNT('Monthly data'!J297:J299)=3,'Monthly data'!J299-2*'Monthly data'!J298+'Monthly data'!J297,"")</x:f>
        <x:v>3.0245999999999986</x:v>
      </x:c>
      <x:c r="P299" s="8" t="n">
        <x:f>IF(COUNT('Monthly data'!K297:K299)=3,'Monthly data'!K299-2*'Monthly data'!K298+'Monthly data'!K297,"")</x:f>
        <x:v>-0.09750000000000025</x:v>
      </x:c>
      <x:c r="Q299" s="8" t="n">
        <x:f>IF(COUNT('Monthly data'!L297:L299)=3,'Monthly data'!L299-2*'Monthly data'!L298+'Monthly data'!L297,"")</x:f>
        <x:v>0.4934</x:v>
      </x:c>
      <x:c r="R299" s="8" t="n">
        <x:f>IF(COUNT('Monthly data'!M297:M299)=3,'Monthly data'!M299-2*'Monthly data'!M298+'Monthly data'!M297,"")</x:f>
        <x:v>-2.2525999999999993</x:v>
      </x:c>
      <x:c r="S299" s="8" t="n">
        <x:f>IF(COUNT('Monthly data'!N297:N299)=3,'Monthly data'!N299-2*'Monthly data'!N298+'Monthly data'!N297,"")</x:f>
        <x:v>-4.0052</x:v>
      </x:c>
      <x:c r="T299" s="8" t="n">
        <x:f>IF(COUNT('Monthly data'!E298:E299)=2,'Monthly data'!E299-'Monthly data'!E298,"")</x:f>
        <x:v>0.012348804500000199</x:v>
      </x:c>
    </x:row>
    <x:row r="300" ht="19" customHeight="1">
      <x:c r="A300" s="7" t="n">
        <x:f>'Monthly data'!A300</x:f>
        <x:v>41944</x:v>
      </x:c>
      <x:c r="B300" s="8" t="n">
        <x:f>IF(ISNUMBER('Monthly data'!F300),LN(1+'Monthly data'!F300),"")</x:f>
        <x:v>4.555349491004136</x:v>
      </x:c>
      <x:c r="C300" s="8" t="n">
        <x:f>IF(ISNUMBER('Monthly data'!G300),LN(1+'Monthly data'!G300),"")</x:f>
        <x:v>3.3069672850246166</x:v>
      </x:c>
      <x:c r="D300" s="8" t="n">
        <x:f>IF(ISNUMBER('Monthly data'!H300),LN(1+'Monthly data'!H300),"")</x:f>
        <x:v>3.2826277867491283</x:v>
      </x:c>
      <x:c r="E300" s="8" t="n">
        <x:f>IF(ISNUMBER('Monthly data'!I300),LN(1+'Monthly data'!I300),"")</x:f>
        <x:v>2.7012269757540843</x:v>
      </x:c>
      <x:c r="F300" s="8" t="n">
        <x:f>IF(ISNUMBER('Monthly data'!J300),LN(1+'Monthly data'!J300),"")</x:f>
        <x:v>2.0644674880360943</x:v>
      </x:c>
      <x:c r="G300" s="8" t="n">
        <x:f>IF(ISNUMBER('Monthly data'!K300),LN(1+'Monthly data'!K300),"")</x:f>
        <x:v>1.9553228530934208</x:v>
      </x:c>
      <x:c r="H300" s="8" t="n">
        <x:f>IF(ISNUMBER('Monthly data'!L300),LN(1+'Monthly data'!L300),"")</x:f>
        <x:v>0.6911451778892722</x:v>
      </x:c>
      <x:c r="I300" s="8" t="n">
        <x:f>IF(ISNUMBER('Monthly data'!M300),LN(1+'Monthly data'!M300),"")</x:f>
        <x:v>0.8955572714872428</x:v>
      </x:c>
      <x:c r="J300" s="8" t="n">
        <x:f>IF(ISNUMBER('Monthly data'!N300),LN(1+'Monthly data'!N300),"")</x:f>
        <x:v>2.6320399078620333</x:v>
      </x:c>
      <x:c r="K300" s="8" t="n">
        <x:f>IF(COUNT('Monthly data'!F298:F300)=3,'Monthly data'!F300-2*'Monthly data'!F299+'Monthly data'!F298,"")</x:f>
        <x:v>21.89999999999999</x:v>
      </x:c>
      <x:c r="L300" s="8" t="n">
        <x:f>IF(COUNT('Monthly data'!G298:G300)=3,'Monthly data'!G300-2*'Monthly data'!G299+'Monthly data'!G298,"")</x:f>
        <x:v>25.306700000000006</x:v>
      </x:c>
      <x:c r="M300" s="8" t="n">
        <x:f>IF(COUNT('Monthly data'!H298:H300)=3,'Monthly data'!H300-2*'Monthly data'!H299+'Monthly data'!H298,"")</x:f>
        <x:v>1.3004000000000033</x:v>
      </x:c>
      <x:c r="N300" s="8" t="n">
        <x:f>IF(COUNT('Monthly data'!I298:I300)=3,'Monthly data'!I300-2*'Monthly data'!I299+'Monthly data'!I298,"")</x:f>
        <x:v>-4.8870000000000005</x:v>
      </x:c>
      <x:c r="O300" s="8" t="n">
        <x:f>IF(COUNT('Monthly data'!J298:J300)=3,'Monthly data'!J300-2*'Monthly data'!J299+'Monthly data'!J298,"")</x:f>
        <x:v>-1.9239999999999995</x:v>
      </x:c>
      <x:c r="P300" s="8" t="n">
        <x:f>IF(COUNT('Monthly data'!K298:K300)=3,'Monthly data'!K300-2*'Monthly data'!K299+'Monthly data'!K298,"")</x:f>
        <x:v>3.2282000000000006</x:v>
      </x:c>
      <x:c r="Q300" s="8" t="n">
        <x:f>IF(COUNT('Monthly data'!L298:L300)=3,'Monthly data'!L300-2*'Monthly data'!L299+'Monthly data'!L298,"")</x:f>
        <x:v>0.6837</x:v>
      </x:c>
      <x:c r="R300" s="8" t="n">
        <x:f>IF(COUNT('Monthly data'!M298:M300)=3,'Monthly data'!M300-2*'Monthly data'!M299+'Monthly data'!M298,"")</x:f>
        <x:v>1.9477999999999995</x:v>
      </x:c>
      <x:c r="S300" s="8" t="n">
        <x:f>IF(COUNT('Monthly data'!N298:N300)=3,'Monthly data'!N300-2*'Monthly data'!N299+'Monthly data'!N298,"")</x:f>
        <x:v>-3.7555999999999976</x:v>
      </x:c>
      <x:c r="T300" s="8" t="n">
        <x:f>IF(COUNT('Monthly data'!E299:E300)=2,'Monthly data'!E300-'Monthly data'!E299,"")</x:f>
        <x:v>-0.002953740700000651</x:v>
      </x:c>
    </x:row>
    <x:row r="301" ht="19" customHeight="1">
      <x:c r="A301" s="7" t="n">
        <x:f>'Monthly data'!A301</x:f>
        <x:v>41974</x:v>
      </x:c>
      <x:c r="B301" s="8" t="n">
        <x:f>IF(ISNUMBER('Monthly data'!F301),LN(1+'Monthly data'!F301),"")</x:f>
        <x:v>4.754021132720446</x:v>
      </x:c>
      <x:c r="C301" s="8" t="n">
        <x:f>IF(ISNUMBER('Monthly data'!G301),LN(1+'Monthly data'!G301),"")</x:f>
        <x:v>3.253354543284443</x:v>
      </x:c>
      <x:c r="D301" s="8" t="n">
        <x:f>IF(ISNUMBER('Monthly data'!H301),LN(1+'Monthly data'!H301),"")</x:f>
        <x:v>3.6452253278920885</x:v>
      </x:c>
      <x:c r="E301" s="8" t="n">
        <x:f>IF(ISNUMBER('Monthly data'!I301),LN(1+'Monthly data'!I301),"")</x:f>
        <x:v>3.2231506746638763</x:v>
      </x:c>
      <x:c r="F301" s="8" t="n">
        <x:f>IF(ISNUMBER('Monthly data'!J301),LN(1+'Monthly data'!J301),"")</x:f>
        <x:v>1.9817322362737877</x:v>
      </x:c>
      <x:c r="G301" s="8" t="n">
        <x:f>IF(ISNUMBER('Monthly data'!K301),LN(1+'Monthly data'!K301),"")</x:f>
        <x:v>0.6238506915572888</x:v>
      </x:c>
      <x:c r="H301" s="8" t="n">
        <x:f>IF(ISNUMBER('Monthly data'!L301),LN(1+'Monthly data'!L301),"")</x:f>
        <x:v>0.25363395831220836</x:v>
      </x:c>
      <x:c r="I301" s="8" t="n">
        <x:f>IF(ISNUMBER('Monthly data'!M301),LN(1+'Monthly data'!M301),"")</x:f>
        <x:v>1.6460205334957876</x:v>
      </x:c>
      <x:c r="J301" s="8" t="n">
        <x:f>IF(ISNUMBER('Monthly data'!N301),LN(1+'Monthly data'!N301),"")</x:f>
        <x:v>2.90021757283669</x:v>
      </x:c>
      <x:c r="K301" s="8" t="n">
        <x:f>IF(COUNT('Monthly data'!F299:F301)=3,'Monthly data'!F301-2*'Monthly data'!F300+'Monthly data'!F299,"")</x:f>
        <x:v>32.239999999999995</x:v>
      </x:c>
      <x:c r="L301" s="8" t="n">
        <x:f>IF(COUNT('Monthly data'!G299:G301)=3,'Monthly data'!G301-2*'Monthly data'!G300+'Monthly data'!G299,"")</x:f>
        <x:v>6.698899999999998</x:v>
      </x:c>
      <x:c r="M301" s="8" t="n">
        <x:f>IF(COUNT('Monthly data'!H299:H301)=3,'Monthly data'!H301-2*'Monthly data'!H300+'Monthly data'!H299,"")</x:f>
        <x:v>11.155999999999999</x:v>
      </x:c>
      <x:c r="N301" s="8" t="n">
        <x:f>IF(COUNT('Monthly data'!I299:I301)=3,'Monthly data'!I301-2*'Monthly data'!I300+'Monthly data'!I299,"")</x:f>
        <x:v>13.756</x:v>
      </x:c>
      <x:c r="O301" s="8" t="n">
        <x:f>IF(COUNT('Monthly data'!J299:J301)=3,'Monthly data'!J301-2*'Monthly data'!J300+'Monthly data'!J299,"")</x:f>
        <x:v>0.2885</x:v>
      </x:c>
      <x:c r="P301" s="8" t="n">
        <x:f>IF(COUNT('Monthly data'!K299:K301)=3,'Monthly data'!K301-2*'Monthly data'!K300+'Monthly data'!K299,"")</x:f>
        <x:v>-9.033000000000001</x:v>
      </x:c>
      <x:c r="Q301" s="8" t="n">
        <x:f>IF(COUNT('Monthly data'!L299:L301)=3,'Monthly data'!L301-2*'Monthly data'!L300+'Monthly data'!L299,"")</x:f>
        <x:v>-1.3662</x:v>
      </x:c>
      <x:c r="R301" s="8" t="n">
        <x:f>IF(COUNT('Monthly data'!M299:M301)=3,'Monthly data'!M301-2*'Monthly data'!M300+'Monthly data'!M299,"")</x:f>
        <x:v>3.1429</x:v>
      </x:c>
      <x:c r="S301" s="8" t="n">
        <x:f>IF(COUNT('Monthly data'!N299:N301)=3,'Monthly data'!N301-2*'Monthly data'!N300+'Monthly data'!N299,"")</x:f>
        <x:v>7.596799999999998</x:v>
      </x:c>
      <x:c r="T301" s="8" t="n">
        <x:f>IF(COUNT('Monthly data'!E300:E301)=2,'Monthly data'!E301-'Monthly data'!E300,"")</x:f>
        <x:v>0.01084861090000011</x:v>
      </x:c>
    </x:row>
    <x:row r="302" ht="19" customHeight="1">
      <x:c r="A302" s="7" t="n">
        <x:f>'Monthly data'!A302</x:f>
        <x:v>42005</x:v>
      </x:c>
      <x:c r="B302" s="8" t="n">
        <x:f>IF(ISNUMBER('Monthly data'!F302),LN(1+'Monthly data'!F302),"")</x:f>
        <x:v>4.856395721429257</x:v>
      </x:c>
      <x:c r="C302" s="8" t="n">
        <x:f>IF(ISNUMBER('Monthly data'!G302),LN(1+'Monthly data'!G302),"")</x:f>
        <x:v>3.042038402680432</x:v>
      </x:c>
      <x:c r="D302" s="8" t="n">
        <x:f>IF(ISNUMBER('Monthly data'!H302),LN(1+'Monthly data'!H302),"")</x:f>
        <x:v>3.508831311155312</x:v>
      </x:c>
      <x:c r="E302" s="8" t="n">
        <x:f>IF(ISNUMBER('Monthly data'!I302),LN(1+'Monthly data'!I302),"")</x:f>
        <x:v>3.8711135070795426</x:v>
      </x:c>
      <x:c r="F302" s="8" t="n">
        <x:f>IF(ISNUMBER('Monthly data'!J302),LN(1+'Monthly data'!J302),"")</x:f>
        <x:v>2.017632625113131</x:v>
      </x:c>
      <x:c r="G302" s="8" t="n">
        <x:f>IF(ISNUMBER('Monthly data'!K302),LN(1+'Monthly data'!K302),"")</x:f>
        <x:v>1.3096292761844053</x:v>
      </x:c>
      <x:c r="H302" s="8" t="n">
        <x:f>IF(ISNUMBER('Monthly data'!L302),LN(1+'Monthly data'!L302),"")</x:f>
        <x:v>1.242221891757633</x:v>
      </x:c>
      <x:c r="I302" s="8" t="n">
        <x:f>IF(ISNUMBER('Monthly data'!M302),LN(1+'Monthly data'!M302),"")</x:f>
        <x:v>1.360463601085369</x:v>
      </x:c>
      <x:c r="J302" s="8" t="n">
        <x:f>IF(ISNUMBER('Monthly data'!N302),LN(1+'Monthly data'!N302),"")</x:f>
        <x:v>2.6824314931512108</x:v>
      </x:c>
      <x:c r="K302" s="8" t="n">
        <x:f>IF(COUNT('Monthly data'!F300:F302)=3,'Monthly data'!F302-2*'Monthly data'!F301+'Monthly data'!F300,"")</x:f>
        <x:v>-8.399999999999991</x:v>
      </x:c>
      <x:c r="L302" s="8" t="n">
        <x:f>IF(COUNT('Monthly data'!G300:G302)=3,'Monthly data'!G302-2*'Monthly data'!G301+'Monthly data'!G300,"")</x:f>
        <x:v>-3.503899999999998</x:v>
      </x:c>
      <x:c r="M302" s="8" t="n">
        <x:f>IF(COUNT('Monthly data'!H300:H302)=3,'Monthly data'!H302-2*'Monthly data'!H301+'Monthly data'!H300,"")</x:f>
        <x:v>-16.527900000000006</x:v>
      </x:c>
      <x:c r="N302" s="8" t="n">
        <x:f>IF(COUNT('Monthly data'!I300:I302)=3,'Monthly data'!I302-2*'Monthly data'!I301+'Monthly data'!I300,"")</x:f>
        <x:v>12.679600000000004</x:v>
      </x:c>
      <x:c r="O302" s="8" t="n">
        <x:f>IF(COUNT('Monthly data'!J300:J302)=3,'Monthly data'!J302-2*'Monthly data'!J301+'Monthly data'!J300,"")</x:f>
        <x:v>0.891</x:v>
      </x:c>
      <x:c r="P302" s="8" t="n">
        <x:f>IF(COUNT('Monthly data'!K300:K302)=3,'Monthly data'!K302-2*'Monthly data'!K301+'Monthly data'!K300,"")</x:f>
        <x:v>7.0388</x:v>
      </x:c>
      <x:c r="Q302" s="8" t="n">
        <x:f>IF(COUNT('Monthly data'!L300:L302)=3,'Monthly data'!L302-2*'Monthly data'!L301+'Monthly data'!L300,"")</x:f>
        <x:v>2.8819</x:v>
      </x:c>
      <x:c r="R302" s="8" t="n">
        <x:f>IF(COUNT('Monthly data'!M300:M302)=3,'Monthly data'!M302-2*'Monthly data'!M301+'Monthly data'!M300,"")</x:f>
        <x:v>-4.0259</x:v>
      </x:c>
      <x:c r="S302" s="8" t="n">
        <x:f>IF(COUNT('Monthly data'!N300:N302)=3,'Monthly data'!N302-2*'Monthly data'!N301+'Monthly data'!N300,"")</x:f>
        <x:v>-7.833500000000001</x:v>
      </x:c>
      <x:c r="T302" s="8" t="n">
        <x:f>IF(COUNT('Monthly data'!E301:E302)=2,'Monthly data'!E302-'Monthly data'!E301,"")</x:f>
        <x:v>-0.009213212200000598</x:v>
      </x:c>
    </x:row>
    <x:row r="303" ht="19" customHeight="1">
      <x:c r="A303" s="7" t="n">
        <x:f>'Monthly data'!A303</x:f>
        <x:v>42036</x:v>
      </x:c>
      <x:c r="B303" s="8" t="n">
        <x:f>IF(ISNUMBER('Monthly data'!F303),LN(1+'Monthly data'!F303),"")</x:f>
        <x:v>4.778619164278448</x:v>
      </x:c>
      <x:c r="C303" s="8" t="n">
        <x:f>IF(ISNUMBER('Monthly data'!G303),LN(1+'Monthly data'!G303),"")</x:f>
        <x:v>3.6731793499498657</x:v>
      </x:c>
      <x:c r="D303" s="8" t="n">
        <x:f>IF(ISNUMBER('Monthly data'!H303),LN(1+'Monthly data'!H303),"")</x:f>
        <x:v>3.342808799710886</x:v>
      </x:c>
      <x:c r="E303" s="8" t="n">
        <x:f>IF(ISNUMBER('Monthly data'!I303),LN(1+'Monthly data'!I303),"")</x:f>
        <x:v>3.272992729114783</x:v>
      </x:c>
      <x:c r="F303" s="8" t="n">
        <x:f>IF(ISNUMBER('Monthly data'!J303),LN(1+'Monthly data'!J303),"")</x:f>
        <x:v>1.9889422708725233</x:v>
      </x:c>
      <x:c r="G303" s="8" t="n">
        <x:f>IF(ISNUMBER('Monthly data'!K303),LN(1+'Monthly data'!K303),"")</x:f>
        <x:v>1.503721777995855</x:v>
      </x:c>
      <x:c r="H303" s="8" t="n">
        <x:f>IF(ISNUMBER('Monthly data'!L303),LN(1+'Monthly data'!L303),"")</x:f>
        <x:v>1.2801835640713601</x:v>
      </x:c>
      <x:c r="I303" s="8" t="n">
        <x:f>IF(ISNUMBER('Monthly data'!M303),LN(1+'Monthly data'!M303),"")</x:f>
        <x:v>0.9099506761279563</x:v>
      </x:c>
      <x:c r="J303" s="8" t="n">
        <x:f>IF(ISNUMBER('Monthly data'!N303),LN(1+'Monthly data'!N303),"")</x:f>
        <x:v>2.638106878079263</x:v>
      </x:c>
      <x:c r="K303" s="8" t="n">
        <x:f>IF(COUNT('Monthly data'!F301:F303)=3,'Monthly data'!F303-2*'Monthly data'!F302+'Monthly data'!F301,"")</x:f>
        <x:v>-22.13000000000001</x:v>
      </x:c>
      <x:c r="L303" s="8" t="n">
        <x:f>IF(COUNT('Monthly data'!G301:G303)=3,'Monthly data'!G303-2*'Monthly data'!G302+'Monthly data'!G301,"")</x:f>
        <x:v>23.358099999999997</x:v>
      </x:c>
      <x:c r="M303" s="8" t="n">
        <x:f>IF(COUNT('Monthly data'!H301:H303)=3,'Monthly data'!H303-2*'Monthly data'!H302+'Monthly data'!H301,"")</x:f>
        <x:v>-0.2284999999999897</x:v>
      </x:c>
      <x:c r="N303" s="8" t="n">
        <x:f>IF(COUNT('Monthly data'!I301:I303)=3,'Monthly data'!I303-2*'Monthly data'!I302+'Monthly data'!I301,"")</x:f>
        <x:v>-44.49430000000001</x:v>
      </x:c>
      <x:c r="O303" s="8" t="n">
        <x:f>IF(COUNT('Monthly data'!J301:J303)=3,'Monthly data'!J303-2*'Monthly data'!J302+'Monthly data'!J301,"")</x:f>
        <x:v>-0.4779</x:v>
      </x:c>
      <x:c r="P303" s="8" t="n">
        <x:f>IF(COUNT('Monthly data'!K301:K303)=3,'Monthly data'!K303-2*'Monthly data'!K302+'Monthly data'!K301,"")</x:f>
        <x:v>-1.0451000000000001</x:v>
      </x:c>
      <x:c r="Q303" s="8" t="n">
        <x:f>IF(COUNT('Monthly data'!L301:L303)=3,'Monthly data'!L303-2*'Monthly data'!L302+'Monthly data'!L301,"")</x:f>
        <x:v>-2.0405999999999995</x:v>
      </x:c>
      <x:c r="R303" s="8" t="n">
        <x:f>IF(COUNT('Monthly data'!M301:M303)=3,'Monthly data'!M303-2*'Monthly data'!M302+'Monthly data'!M301,"")</x:f>
        <x:v>-0.12549999999999972</x:v>
      </x:c>
      <x:c r="S303" s="8" t="n">
        <x:f>IF(COUNT('Monthly data'!N301:N303)=3,'Monthly data'!N303-2*'Monthly data'!N302+'Monthly data'!N301,"")</x:f>
        <x:v>2.923600000000002</x:v>
      </x:c>
      <x:c r="T303" s="8" t="n">
        <x:f>IF(COUNT('Monthly data'!E302:E303)=2,'Monthly data'!E303-'Monthly data'!E302,"")</x:f>
        <x:v>-0.0014536622999994364</x:v>
      </x:c>
    </x:row>
    <x:row r="304" ht="19" customHeight="1">
      <x:c r="A304" s="7" t="n">
        <x:f>'Monthly data'!A304</x:f>
        <x:v>42064</x:v>
      </x:c>
      <x:c r="B304" s="8" t="n">
        <x:f>IF(ISNUMBER('Monthly data'!F304),LN(1+'Monthly data'!F304),"")</x:f>
        <x:v>4.7283607965432894</x:v>
      </x:c>
      <x:c r="C304" s="8" t="n">
        <x:f>IF(ISNUMBER('Monthly data'!G304),LN(1+'Monthly data'!G304),"")</x:f>
        <x:v>3.388014197431902</x:v>
      </x:c>
      <x:c r="D304" s="8" t="n">
        <x:f>IF(ISNUMBER('Monthly data'!H304),LN(1+'Monthly data'!H304),"")</x:f>
        <x:v>3.3848748916572133</x:v>
      </x:c>
      <x:c r="E304" s="8" t="n">
        <x:f>IF(ISNUMBER('Monthly data'!I304),LN(1+'Monthly data'!I304),"")</x:f>
        <x:v>3.210242666162804</x:v>
      </x:c>
      <x:c r="F304" s="8" t="n">
        <x:f>IF(ISNUMBER('Monthly data'!J304),LN(1+'Monthly data'!J304),"")</x:f>
        <x:v>1.9025402685714132</x:v>
      </x:c>
      <x:c r="G304" s="8" t="n">
        <x:f>IF(ISNUMBER('Monthly data'!K304),LN(1+'Monthly data'!K304),"")</x:f>
        <x:v>2.4364251879650953</x:v>
      </x:c>
      <x:c r="H304" s="8" t="n">
        <x:f>IF(ISNUMBER('Monthly data'!L304),LN(1+'Monthly data'!L304),"")</x:f>
        <x:v>0.08865169759456264</x:v>
      </x:c>
      <x:c r="I304" s="8" t="n">
        <x:f>IF(ISNUMBER('Monthly data'!M304),LN(1+'Monthly data'!M304),"")</x:f>
        <x:v>1.065055505139267</x:v>
      </x:c>
      <x:c r="J304" s="8" t="n">
        <x:f>IF(ISNUMBER('Monthly data'!N304),LN(1+'Monthly data'!N304),"")</x:f>
        <x:v>2.644393069204778</x:v>
      </x:c>
      <x:c r="K304" s="8" t="n">
        <x:f>IF(COUNT('Monthly data'!F302:F304)=3,'Monthly data'!F304-2*'Monthly data'!F303+'Monthly data'!F302,"")</x:f>
        <x:v>3.7900000000000063</x:v>
      </x:c>
      <x:c r="L304" s="8" t="n">
        <x:f>IF(COUNT('Monthly data'!G302:G304)=3,'Monthly data'!G304-2*'Monthly data'!G303+'Monthly data'!G302,"")</x:f>
        <x:v>-28.198799999999995</x:v>
      </x:c>
      <x:c r="M304" s="8" t="n">
        <x:f>IF(COUNT('Monthly data'!H302:H304)=3,'Monthly data'!H304-2*'Monthly data'!H303+'Monthly data'!H302,"")</x:f>
        <x:v>6.326499999999996</x:v>
      </x:c>
      <x:c r="N304" s="8" t="n">
        <x:f>IF(COUNT('Monthly data'!I302:I304)=3,'Monthly data'!I304-2*'Monthly data'!I303+'Monthly data'!I302,"")</x:f>
        <x:v>20.000500000000002</x:v>
      </x:c>
      <x:c r="O304" s="8" t="n">
        <x:f>IF(COUNT('Monthly data'!J302:J304)=3,'Monthly data'!J304-2*'Monthly data'!J303+'Monthly data'!J302,"")</x:f>
        <x:v>-0.39220000000000077</x:v>
      </x:c>
      <x:c r="P304" s="8" t="n">
        <x:f>IF(COUNT('Monthly data'!K302:K304)=3,'Monthly data'!K304-2*'Monthly data'!K303+'Monthly data'!K302,"")</x:f>
        <x:v>6.1401</x:v>
      </x:c>
      <x:c r="Q304" s="8" t="n">
        <x:f>IF(COUNT('Monthly data'!L302:L304)=3,'Monthly data'!L304-2*'Monthly data'!L303+'Monthly data'!L302,"")</x:f>
        <x:v>-2.6386000000000007</x:v>
      </x:c>
      <x:c r="R304" s="8" t="n">
        <x:f>IF(COUNT('Monthly data'!M302:M304)=3,'Monthly data'!M304-2*'Monthly data'!M303+'Monthly data'!M302,"")</x:f>
        <x:v>1.8306000000000002</x:v>
      </x:c>
      <x:c r="S304" s="8" t="n">
        <x:f>IF(COUNT('Monthly data'!N302:N304)=3,'Monthly data'!N304-2*'Monthly data'!N303+'Monthly data'!N302,"")</x:f>
        <x:v>0.7220999999999975</x:v>
      </x:c>
      <x:c r="T304" s="8" t="n">
        <x:f>IF(COUNT('Monthly data'!E303:E304)=2,'Monthly data'!E304-'Monthly data'!E303,"")</x:f>
        <x:v>0.011619393600000194</x:v>
      </x:c>
    </x:row>
    <x:row r="305" ht="19" customHeight="1">
      <x:c r="A305" s="7" t="n">
        <x:f>'Monthly data'!A305</x:f>
        <x:v>42095</x:v>
      </x:c>
      <x:c r="B305" s="8" t="n">
        <x:f>IF(ISNUMBER('Monthly data'!F305),LN(1+'Monthly data'!F305),"")</x:f>
        <x:v>4.726591041192431</x:v>
      </x:c>
      <x:c r="C305" s="8" t="n">
        <x:f>IF(ISNUMBER('Monthly data'!G305),LN(1+'Monthly data'!G305),"")</x:f>
        <x:v>3.5007802387486517</x:v>
      </x:c>
      <x:c r="D305" s="8" t="n">
        <x:f>IF(ISNUMBER('Monthly data'!H305),LN(1+'Monthly data'!H305),"")</x:f>
        <x:v>3.440203328164987</x:v>
      </x:c>
      <x:c r="E305" s="8" t="n">
        <x:f>IF(ISNUMBER('Monthly data'!I305),LN(1+'Monthly data'!I305),"")</x:f>
        <x:v>2.9089099695980196</x:v>
      </x:c>
      <x:c r="F305" s="8" t="n">
        <x:f>IF(ISNUMBER('Monthly data'!J305),LN(1+'Monthly data'!J305),"")</x:f>
        <x:v>1.5683033690755455</x:v>
      </x:c>
      <x:c r="G305" s="8" t="n">
        <x:f>IF(ISNUMBER('Monthly data'!K305),LN(1+'Monthly data'!K305),"")</x:f>
        <x:v>2.5444640356440127</x:v>
      </x:c>
      <x:c r="H305" s="8" t="n">
        <x:f>IF(ISNUMBER('Monthly data'!L305),LN(1+'Monthly data'!L305),"")</x:f>
        <x:v>0.3634618606277064</x:v>
      </x:c>
      <x:c r="I305" s="8" t="n">
        <x:f>IF(ISNUMBER('Monthly data'!M305),LN(1+'Monthly data'!M305),"")</x:f>
        <x:v>1.0975116832240766</x:v>
      </x:c>
      <x:c r="J305" s="8" t="n">
        <x:f>IF(ISNUMBER('Monthly data'!N305),LN(1+'Monthly data'!N305),"")</x:f>
        <x:v>2.7258115306808524</x:v>
      </x:c>
      <x:c r="K305" s="8" t="n">
        <x:f>IF(COUNT('Monthly data'!F303:F305)=3,'Monthly data'!F305-2*'Monthly data'!F304+'Monthly data'!F303,"")</x:f>
        <x:v>5.6299999999999955</x:v>
      </x:c>
      <x:c r="L305" s="8" t="n">
        <x:f>IF(COUNT('Monthly data'!G303:G305)=3,'Monthly data'!G305-2*'Monthly data'!G304+'Monthly data'!G303,"")</x:f>
        <x:v>13.304000000000002</x:v>
      </x:c>
      <x:c r="M305" s="8" t="n">
        <x:f>IF(COUNT('Monthly data'!H303:H305)=3,'Monthly data'!H305-2*'Monthly data'!H304+'Monthly data'!H303,"")</x:f>
        <x:v>0.46320000000000405</x:v>
      </x:c>
      <x:c r="N305" s="8" t="n">
        <x:f>IF(COUNT('Monthly data'!I303:I305)=3,'Monthly data'!I305-2*'Monthly data'!I304+'Monthly data'!I303,"")</x:f>
        <x:v>-4.8431999999999995</x:v>
      </x:c>
      <x:c r="O305" s="8" t="n">
        <x:f>IF(COUNT('Monthly data'!J303:J305)=3,'Monthly data'!J305-2*'Monthly data'!J304+'Monthly data'!J303,"")</x:f>
        <x:v>-1.2994999999999983</x:v>
      </x:c>
      <x:c r="P305" s="8" t="n">
        <x:f>IF(COUNT('Monthly data'!K303:K305)=3,'Monthly data'!K305-2*'Monthly data'!K304+'Monthly data'!K303,"")</x:f>
        <x:v>-5.6294</x:v>
      </x:c>
      <x:c r="Q305" s="8" t="n">
        <x:f>IF(COUNT('Monthly data'!L303:L305)=3,'Monthly data'!L305-2*'Monthly data'!L304+'Monthly data'!L303,"")</x:f>
        <x:v>2.8502</x:v>
      </x:c>
      <x:c r="R305" s="8" t="n">
        <x:f>IF(COUNT('Monthly data'!M303:M305)=3,'Monthly data'!M305-2*'Monthly data'!M304+'Monthly data'!M303,"")</x:f>
        <x:v>-0.32110000000000016</x:v>
      </x:c>
      <x:c r="S305" s="8" t="n">
        <x:f>IF(COUNT('Monthly data'!N303:N305)=3,'Monthly data'!N305-2*'Monthly data'!N304+'Monthly data'!N303,"")</x:f>
        <x:v>1.1057000000000023</x:v>
      </x:c>
      <x:c r="T305" s="8" t="n">
        <x:f>IF(COUNT('Monthly data'!E304:E305)=2,'Monthly data'!E305-'Monthly data'!E304,"")</x:f>
        <x:v>-0.004915213500000348</x:v>
      </x:c>
    </x:row>
    <x:row r="306" ht="19" customHeight="1">
      <x:c r="A306" s="7" t="n">
        <x:f>'Monthly data'!A306</x:f>
        <x:v>42125</x:v>
      </x:c>
      <x:c r="B306" s="8" t="n">
        <x:f>IF(ISNUMBER('Monthly data'!F306),LN(1+'Monthly data'!F306),"")</x:f>
        <x:v>4.648421227982406</x:v>
      </x:c>
      <x:c r="C306" s="8" t="n">
        <x:f>IF(ISNUMBER('Monthly data'!G306),LN(1+'Monthly data'!G306),"")</x:f>
        <x:v>3.3295868012485483</x:v>
      </x:c>
      <x:c r="D306" s="8" t="n">
        <x:f>IF(ISNUMBER('Monthly data'!H306),LN(1+'Monthly data'!H306),"")</x:f>
        <x:v>3.5827158382796975</x:v>
      </x:c>
      <x:c r="E306" s="8" t="n">
        <x:f>IF(ISNUMBER('Monthly data'!I306),LN(1+'Monthly data'!I306),"")</x:f>
        <x:v>2.7124073615436193</x:v>
      </x:c>
      <x:c r="F306" s="8" t="n">
        <x:f>IF(ISNUMBER('Monthly data'!J306),LN(1+'Monthly data'!J306),"")</x:f>
        <x:v>1.95577561067777</x:v>
      </x:c>
      <x:c r="G306" s="8" t="n">
        <x:f>IF(ISNUMBER('Monthly data'!K306),LN(1+'Monthly data'!K306),"")</x:f>
        <x:v>1.5895820837227506</x:v>
      </x:c>
      <x:c r="H306" s="8" t="n">
        <x:f>IF(ISNUMBER('Monthly data'!L306),LN(1+'Monthly data'!L306),"")</x:f>
        <x:v>1.0058023140776253</x:v>
      </x:c>
      <x:c r="I306" s="8" t="n">
        <x:f>IF(ISNUMBER('Monthly data'!M306),LN(1+'Monthly data'!M306),"")</x:f>
        <x:v>0.5154548921496529</x:v>
      </x:c>
      <x:c r="J306" s="8" t="n">
        <x:f>IF(ISNUMBER('Monthly data'!N306),LN(1+'Monthly data'!N306),"")</x:f>
        <x:v>2.777395899227411</x:v>
      </x:c>
      <x:c r="K306" s="8" t="n">
        <x:f>IF(COUNT('Monthly data'!F304:F306)=3,'Monthly data'!F306-2*'Monthly data'!F305+'Monthly data'!F304,"")</x:f>
        <x:v>-8.289999999999992</x:v>
      </x:c>
      <x:c r="L306" s="8" t="n">
        <x:f>IF(COUNT('Monthly data'!G304:G306)=3,'Monthly data'!G306-2*'Monthly data'!G305+'Monthly data'!G304,"")</x:f>
        <x:v>-8.748700000000003</x:v>
      </x:c>
      <x:c r="M306" s="8" t="n">
        <x:f>IF(COUNT('Monthly data'!H304:H306)=3,'Monthly data'!H306-2*'Monthly data'!H305+'Monthly data'!H304,"")</x:f>
        <x:v>3.098799999999997</x:v>
      </x:c>
      <x:c r="N306" s="8" t="n">
        <x:f>IF(COUNT('Monthly data'!I304:I306)=3,'Monthly data'!I306-2*'Monthly data'!I305+'Monthly data'!I304,"")</x:f>
        <x:v>3.1769999999999996</x:v>
      </x:c>
      <x:c r="O306" s="8" t="n">
        <x:f>IF(COUNT('Monthly data'!J304:J306)=3,'Monthly data'!J306-2*'Monthly data'!J305+'Monthly data'!J304,"")</x:f>
        <x:v>4.175299999999999</x:v>
      </x:c>
      <x:c r="P306" s="8" t="n">
        <x:f>IF(COUNT('Monthly data'!K304:K306)=3,'Monthly data'!K306-2*'Monthly data'!K305+'Monthly data'!K304,"")</x:f>
        <x:v>-9.139000000000001</x:v>
      </x:c>
      <x:c r="Q306" s="8" t="n">
        <x:f>IF(COUNT('Monthly data'!L304:L306)=3,'Monthly data'!L306-2*'Monthly data'!L305+'Monthly data'!L304,"")</x:f>
        <x:v>0.9501999999999999</x:v>
      </x:c>
      <x:c r="R306" s="8" t="n">
        <x:f>IF(COUNT('Monthly data'!M304:M306)=3,'Monthly data'!M306-2*'Monthly data'!M305+'Monthly data'!M304,"")</x:f>
        <x:v>-1.418</x:v>
      </x:c>
      <x:c r="S306" s="8" t="n">
        <x:f>IF(COUNT('Monthly data'!N304:N306)=3,'Monthly data'!N306-2*'Monthly data'!N305+'Monthly data'!N304,"")</x:f>
        <x:v>-0.38560000000000194</x:v>
      </x:c>
      <x:c r="T306" s="8" t="n">
        <x:f>IF(COUNT('Monthly data'!E305:E306)=2,'Monthly data'!E306-'Monthly data'!E305,"")</x:f>
        <x:v>-0.0007473975999996441</x:v>
      </x:c>
    </x:row>
    <x:row r="307" ht="19" customHeight="1">
      <x:c r="A307" s="7" t="n">
        <x:f>'Monthly data'!A307</x:f>
        <x:v>42156</x:v>
      </x:c>
      <x:c r="B307" s="8" t="n">
        <x:f>IF(ISNUMBER('Monthly data'!F307),LN(1+'Monthly data'!F307),"")</x:f>
        <x:v>4.667205576907544</x:v>
      </x:c>
      <x:c r="C307" s="8" t="n">
        <x:f>IF(ISNUMBER('Monthly data'!G307),LN(1+'Monthly data'!G307),"")</x:f>
        <x:v>3.3456776244907154</x:v>
      </x:c>
      <x:c r="D307" s="8" t="n">
        <x:f>IF(ISNUMBER('Monthly data'!H307),LN(1+'Monthly data'!H307),"")</x:f>
        <x:v>3.5074325147306427</x:v>
      </x:c>
      <x:c r="E307" s="8" t="n">
        <x:f>IF(ISNUMBER('Monthly data'!I307),LN(1+'Monthly data'!I307),"")</x:f>
        <x:v>2.874914011254073</x:v>
      </x:c>
      <x:c r="F307" s="8" t="n">
        <x:f>IF(ISNUMBER('Monthly data'!J307),LN(1+'Monthly data'!J307),"")</x:f>
        <x:v>1.797078630705655</x:v>
      </x:c>
      <x:c r="G307" s="8" t="n">
        <x:f>IF(ISNUMBER('Monthly data'!K307),LN(1+'Monthly data'!K307),"")</x:f>
        <x:v>1.8906994170829585</x:v>
      </x:c>
      <x:c r="H307" s="8" t="n">
        <x:f>IF(ISNUMBER('Monthly data'!L307),LN(1+'Monthly data'!L307),"")</x:f>
        <x:v>0.36741704047063445</x:v>
      </x:c>
      <x:c r="I307" s="8" t="n">
        <x:f>IF(ISNUMBER('Monthly data'!M307),LN(1+'Monthly data'!M307),"")</x:f>
        <x:v>1.2432031328176052</x:v>
      </x:c>
      <x:c r="J307" s="8" t="n">
        <x:f>IF(ISNUMBER('Monthly data'!N307),LN(1+'Monthly data'!N307),"")</x:f>
        <x:v>2.7952793321594798</x:v>
      </x:c>
      <x:c r="K307" s="8" t="n">
        <x:f>IF(COUNT('Monthly data'!F305:F307)=3,'Monthly data'!F307-2*'Monthly data'!F306+'Monthly data'!F305,"")</x:f>
        <x:v>10.469999999999999</x:v>
      </x:c>
      <x:c r="L307" s="8" t="n">
        <x:f>IF(COUNT('Monthly data'!G305:G307)=3,'Monthly data'!G307-2*'Monthly data'!G306+'Monthly data'!G305,"")</x:f>
        <x:v>5.6675</x:v>
      </x:c>
      <x:c r="M307" s="8" t="n">
        <x:f>IF(COUNT('Monthly data'!H305:H307)=3,'Monthly data'!H307-2*'Monthly data'!H306+'Monthly data'!H305,"")</x:f>
        <x:v>-7.386400000000002</x:v>
      </x:c>
      <x:c r="N307" s="8" t="n">
        <x:f>IF(COUNT('Monthly data'!I305:I307)=3,'Monthly data'!I307-2*'Monthly data'!I306+'Monthly data'!I305,"")</x:f>
        <x:v>5.9297</x:v>
      </x:c>
      <x:c r="O307" s="8" t="n">
        <x:f>IF(COUNT('Monthly data'!J305:J307)=3,'Monthly data'!J307-2*'Monthly data'!J306+'Monthly data'!J305,"")</x:f>
        <x:v>-3.3082999999999996</x:v>
      </x:c>
      <x:c r="P307" s="8" t="n">
        <x:f>IF(COUNT('Monthly data'!K305:K307)=3,'Monthly data'!K307-2*'Monthly data'!K306+'Monthly data'!K305,"")</x:f>
        <x:v>9.556999999999999</x:v>
      </x:c>
      <x:c r="Q307" s="8" t="n">
        <x:f>IF(COUNT('Monthly data'!L305:L307)=3,'Monthly data'!L307-2*'Monthly data'!L306+'Monthly data'!L305,"")</x:f>
        <x:v>-2.5859</x:v>
      </x:c>
      <x:c r="R307" s="8" t="n">
        <x:f>IF(COUNT('Monthly data'!M305:M307)=3,'Monthly data'!M307-2*'Monthly data'!M306+'Monthly data'!M305,"")</x:f>
        <x:v>3.1146</x:v>
      </x:c>
      <x:c r="S307" s="8" t="n">
        <x:f>IF(COUNT('Monthly data'!N305:N307)=3,'Monthly data'!N307-2*'Monthly data'!N306+'Monthly data'!N305,"")</x:f>
        <x:v>-0.5181999999999984</x:v>
      </x:c>
      <x:c r="T307" s="8" t="n">
        <x:f>IF(COUNT('Monthly data'!E306:E307)=2,'Monthly data'!E307-'Monthly data'!E306,"")</x:f>
        <x:v>0.005602553599999283</x:v>
      </x:c>
    </x:row>
    <x:row r="308" ht="19" customHeight="1">
      <x:c r="A308" s="7" t="n">
        <x:f>'Monthly data'!A308</x:f>
        <x:v>42186</x:v>
      </x:c>
      <x:c r="B308" s="8" t="n">
        <x:f>IF(ISNUMBER('Monthly data'!F308),LN(1+'Monthly data'!F308),"")</x:f>
        <x:v>4.7892402133161625</x:v>
      </x:c>
      <x:c r="C308" s="8" t="n">
        <x:f>IF(ISNUMBER('Monthly data'!G308),LN(1+'Monthly data'!G308),"")</x:f>
        <x:v>3.091133358317244</x:v>
      </x:c>
      <x:c r="D308" s="8" t="n">
        <x:f>IF(ISNUMBER('Monthly data'!H308),LN(1+'Monthly data'!H308),"")</x:f>
        <x:v>3.764751940025786</x:v>
      </x:c>
      <x:c r="E308" s="8" t="n">
        <x:f>IF(ISNUMBER('Monthly data'!I308),LN(1+'Monthly data'!I308),"")</x:f>
        <x:v>3.091133358317244</x:v>
      </x:c>
      <x:c r="F308" s="8" t="n">
        <x:f>IF(ISNUMBER('Monthly data'!J308),LN(1+'Monthly data'!J308),"")</x:f>
        <x:v>1.9886411773533395</x:v>
      </x:c>
      <x:c r="G308" s="8" t="n">
        <x:f>IF(ISNUMBER('Monthly data'!K308),LN(1+'Monthly data'!K308),"")</x:f>
        <x:v>2.657219957384885</x:v>
      </x:c>
      <x:c r="H308" s="8" t="n">
        <x:f>IF(ISNUMBER('Monthly data'!L308),LN(1+'Monthly data'!L308),"")</x:f>
        <x:v>0.2217826256748682</x:v>
      </x:c>
      <x:c r="I308" s="8" t="n">
        <x:f>IF(ISNUMBER('Monthly data'!M308),LN(1+'Monthly data'!M308),"")</x:f>
        <x:v>0.7382639393630683</x:v>
      </x:c>
      <x:c r="J308" s="8" t="n">
        <x:f>IF(ISNUMBER('Monthly data'!N308),LN(1+'Monthly data'!N308),"")</x:f>
        <x:v>2.7180203337395197</x:v>
      </x:c>
      <x:c r="K308" s="8" t="n">
        <x:f>IF(COUNT('Monthly data'!F306:F308)=3,'Monthly data'!F308-2*'Monthly data'!F307+'Monthly data'!F306,"")</x:f>
        <x:v>11.829999999999984</x:v>
      </x:c>
      <x:c r="L308" s="8" t="n">
        <x:f>IF(COUNT('Monthly data'!G306:G308)=3,'Monthly data'!G308-2*'Monthly data'!G307+'Monthly data'!G306,"")</x:f>
        <x:v>-6.830799999999996</x:v>
      </x:c>
      <x:c r="M308" s="8" t="n">
        <x:f>IF(COUNT('Monthly data'!H306:H308)=3,'Monthly data'!H308-2*'Monthly data'!H307+'Monthly data'!H306,"")</x:f>
        <x:v>12.399100000000004</x:v>
      </x:c>
      <x:c r="N308" s="8" t="n">
        <x:f>IF(COUNT('Monthly data'!I306:I308)=3,'Monthly data'!I308-2*'Monthly data'!I307+'Monthly data'!I306,"")</x:f>
        <x:v>1.6196999999999981</x:v>
      </x:c>
      <x:c r="O308" s="8" t="n">
        <x:f>IF(COUNT('Monthly data'!J306:J308)=3,'Monthly data'!J308-2*'Monthly data'!J307+'Monthly data'!J306,"")</x:f>
        <x:v>2.311</x:v>
      </x:c>
      <x:c r="P308" s="8" t="n">
        <x:f>IF(COUNT('Monthly data'!K306:K308)=3,'Monthly data'!K308-2*'Monthly data'!K307+'Monthly data'!K306,"")</x:f>
        <x:v>5.910300000000001</x:v>
      </x:c>
      <x:c r="Q308" s="8" t="n">
        <x:f>IF(COUNT('Monthly data'!L306:L308)=3,'Monthly data'!L308-2*'Monthly data'!L307+'Monthly data'!L306,"")</x:f>
        <x:v>1.0943999999999998</x:v>
      </x:c>
      <x:c r="R308" s="8" t="n">
        <x:f>IF(COUNT('Monthly data'!M306:M308)=3,'Monthly data'!M308-2*'Monthly data'!M307+'Monthly data'!M306,"")</x:f>
        <x:v>-3.1667</x:v>
      </x:c>
      <x:c r="S308" s="8" t="n">
        <x:f>IF(COUNT('Monthly data'!N306:N308)=3,'Monthly data'!N308-2*'Monthly data'!N307+'Monthly data'!N306,"")</x:f>
        <x:v>-1.5069999999999997</x:v>
      </x:c>
      <x:c r="T308" s="8" t="n">
        <x:f>IF(COUNT('Monthly data'!E307:E308)=2,'Monthly data'!E308-'Monthly data'!E307,"")</x:f>
        <x:v>0.006320591299999734</x:v>
      </x:c>
    </x:row>
    <x:row r="309" ht="19" customHeight="1">
      <x:c r="A309" s="7" t="n">
        <x:f>'Monthly data'!A309</x:f>
        <x:v>42217</x:v>
      </x:c>
      <x:c r="B309" s="8" t="n">
        <x:f>IF(ISNUMBER('Monthly data'!F309),LN(1+'Monthly data'!F309),"")</x:f>
        <x:v>4.654436427291009</x:v>
      </x:c>
      <x:c r="C309" s="8" t="n">
        <x:f>IF(ISNUMBER('Monthly data'!G309),LN(1+'Monthly data'!G309),"")</x:f>
        <x:v>3.1154645193764368</x:v>
      </x:c>
      <x:c r="D309" s="8" t="n">
        <x:f>IF(ISNUMBER('Monthly data'!H309),LN(1+'Monthly data'!H309),"")</x:f>
        <x:v>3.3016201107600565</x:v>
      </x:c>
      <x:c r="E309" s="8" t="n">
        <x:f>IF(ISNUMBER('Monthly data'!I309),LN(1+'Monthly data'!I309),"")</x:f>
        <x:v>3.0305780459795897</x:v>
      </x:c>
      <x:c r="F309" s="8" t="n">
        <x:f>IF(ISNUMBER('Monthly data'!J309),LN(1+'Monthly data'!J309),"")</x:f>
        <x:v>1.797095208817574</x:v>
      </x:c>
      <x:c r="G309" s="8" t="n">
        <x:f>IF(ISNUMBER('Monthly data'!K309),LN(1+'Monthly data'!K309),"")</x:f>
        <x:v>2.340150590880187</x:v>
      </x:c>
      <x:c r="H309" s="8" t="n">
        <x:f>IF(ISNUMBER('Monthly data'!L309),LN(1+'Monthly data'!L309),"")</x:f>
        <x:v>0.38648614151036154</x:v>
      </x:c>
      <x:c r="I309" s="8" t="n">
        <x:f>IF(ISNUMBER('Monthly data'!M309),LN(1+'Monthly data'!M309),"")</x:f>
        <x:v>1.0232419816433331</x:v>
      </x:c>
      <x:c r="J309" s="8" t="n">
        <x:f>IF(ISNUMBER('Monthly data'!N309),LN(1+'Monthly data'!N309),"")</x:f>
        <x:v>3.0431548363161176</x:v>
      </x:c>
      <x:c r="K309" s="8" t="n">
        <x:f>IF(COUNT('Monthly data'!F307:F309)=3,'Monthly data'!F309-2*'Monthly data'!F308+'Monthly data'!F307,"")</x:f>
        <x:v>-28.97</x:v>
      </x:c>
      <x:c r="L309" s="8" t="n">
        <x:f>IF(COUNT('Monthly data'!G307:G309)=3,'Monthly data'!G309-2*'Monthly data'!G308+'Monthly data'!G307,"")</x:f>
        <x:v>6.919700000000002</x:v>
      </x:c>
      <x:c r="M309" s="8" t="n">
        <x:f>IF(COUNT('Monthly data'!H307:H309)=3,'Monthly data'!H309-2*'Monthly data'!H308+'Monthly data'!H307,"")</x:f>
        <x:v>-25.786900000000003</x:v>
      </x:c>
      <x:c r="N309" s="8" t="n">
        <x:f>IF(COUNT('Monthly data'!I307:I309)=3,'Monthly data'!I309-2*'Monthly data'!I308+'Monthly data'!I307,"")</x:f>
        <x:v>-5.570899999999998</x:v>
      </x:c>
      <x:c r="O309" s="8" t="n">
        <x:f>IF(COUNT('Monthly data'!J307:J309)=3,'Monthly data'!J309-2*'Monthly data'!J308+'Monthly data'!J307,"")</x:f>
        <x:v>-2.5471000000000004</x:v>
      </x:c>
      <x:c r="P309" s="8" t="n">
        <x:f>IF(COUNT('Monthly data'!K307:K309)=3,'Monthly data'!K309-2*'Monthly data'!K308+'Monthly data'!K307,"")</x:f>
        <x:v>-11.506400000000003</x:v>
      </x:c>
      <x:c r="Q309" s="8" t="n">
        <x:f>IF(COUNT('Monthly data'!L307:L309)=3,'Monthly data'!L309-2*'Monthly data'!L308+'Monthly data'!L307,"")</x:f>
        <x:v>0.4192</x:v>
      </x:c>
      <x:c r="R309" s="8" t="n">
        <x:f>IF(COUNT('Monthly data'!M307:M309)=3,'Monthly data'!M309-2*'Monthly data'!M308+'Monthly data'!M307,"")</x:f>
        <x:v>2.0643</x:v>
      </x:c>
      <x:c r="S309" s="8" t="n">
        <x:f>IF(COUNT('Monthly data'!N307:N309)=3,'Monthly data'!N309-2*'Monthly data'!N308+'Monthly data'!N307,"")</x:f>
        <x:v>7.0379000000000005</x:v>
      </x:c>
      <x:c r="T309" s="8" t="n">
        <x:f>IF(COUNT('Monthly data'!E308:E309)=2,'Monthly data'!E309-'Monthly data'!E308,"")</x:f>
        <x:v>-0.0031927025999998193</x:v>
      </x:c>
    </x:row>
    <x:row r="310" ht="19" customHeight="1">
      <x:c r="A310" s="7" t="n">
        <x:f>'Monthly data'!A310</x:f>
        <x:v>42248</x:v>
      </x:c>
      <x:c r="B310" s="8" t="n">
        <x:f>IF(ISNUMBER('Monthly data'!F310),LN(1+'Monthly data'!F310),"")</x:f>
        <x:v>4.75298656068231</x:v>
      </x:c>
      <x:c r="C310" s="8" t="n">
        <x:f>IF(ISNUMBER('Monthly data'!G310),LN(1+'Monthly data'!G310),"")</x:f>
        <x:v>3.2040991861051578</x:v>
      </x:c>
      <x:c r="D310" s="8" t="n">
        <x:f>IF(ISNUMBER('Monthly data'!H310),LN(1+'Monthly data'!H310),"")</x:f>
        <x:v>3.627110427716304</x:v>
      </x:c>
      <x:c r="E310" s="8" t="n">
        <x:f>IF(ISNUMBER('Monthly data'!I310),LN(1+'Monthly data'!I310),"")</x:f>
        <x:v>2.344993029243623</x:v>
      </x:c>
      <x:c r="F310" s="8" t="n">
        <x:f>IF(ISNUMBER('Monthly data'!J310),LN(1+'Monthly data'!J310),"")</x:f>
        <x:v>2.310751655660439</x:v>
      </x:c>
      <x:c r="G310" s="8" t="n">
        <x:f>IF(ISNUMBER('Monthly data'!K310),LN(1+'Monthly data'!K310),"")</x:f>
        <x:v>2.0377728346330124</x:v>
      </x:c>
      <x:c r="H310" s="8" t="n">
        <x:f>IF(ISNUMBER('Monthly data'!L310),LN(1+'Monthly data'!L310),"")</x:f>
        <x:v>1.0138529194589072</x:v>
      </x:c>
      <x:c r="I310" s="8" t="n">
        <x:f>IF(ISNUMBER('Monthly data'!M310),LN(1+'Monthly data'!M310),"")</x:f>
        <x:v>0.7673730029119168</x:v>
      </x:c>
      <x:c r="J310" s="8" t="n">
        <x:f>IF(ISNUMBER('Monthly data'!N310),LN(1+'Monthly data'!N310),"")</x:f>
        <x:v>3.317587485798062</x:v>
      </x:c>
      <x:c r="K310" s="8" t="n">
        <x:f>IF(COUNT('Monthly data'!F308:F310)=3,'Monthly data'!F310-2*'Monthly data'!F309+'Monthly data'!F308,"")</x:f>
        <x:v>26.040000000000006</x:v>
      </x:c>
      <x:c r="L310" s="8" t="n">
        <x:f>IF(COUNT('Monthly data'!G308:G310)=3,'Monthly data'!G310-2*'Monthly data'!G309+'Monthly data'!G308,"")</x:f>
        <x:v>1.5474999999999959</x:v>
      </x:c>
      <x:c r="M310" s="8" t="n">
        <x:f>IF(COUNT('Monthly data'!H308:H310)=3,'Monthly data'!H310-2*'Monthly data'!H309+'Monthly data'!H308,"")</x:f>
        <x:v>26.443799999999996</x:v>
      </x:c>
      <x:c r="N310" s="8" t="n">
        <x:f>IF(COUNT('Monthly data'!I308:I310)=3,'Monthly data'!I310-2*'Monthly data'!I309+'Monthly data'!I308,"")</x:f>
        <x:v>-8.9832</x:v>
      </x:c>
      <x:c r="O310" s="8" t="n">
        <x:f>IF(COUNT('Monthly data'!J308:J310)=3,'Monthly data'!J310-2*'Monthly data'!J309+'Monthly data'!J308,"")</x:f>
        <x:v>5.323400000000001</x:v>
      </x:c>
      <x:c r="P310" s="8" t="n">
        <x:f>IF(COUNT('Monthly data'!K308:K310)=3,'Monthly data'!K310-2*'Monthly data'!K309+'Monthly data'!K308,"")</x:f>
        <x:v>1.164500000000002</x:v>
      </x:c>
      <x:c r="Q310" s="8" t="n">
        <x:f>IF(COUNT('Monthly data'!L308:L310)=3,'Monthly data'!L310-2*'Monthly data'!L309+'Monthly data'!L308,"")</x:f>
        <x:v>1.0609</x:v>
      </x:c>
      <x:c r="R310" s="8" t="n">
        <x:f>IF(COUNT('Monthly data'!M308:M310)=3,'Monthly data'!M310-2*'Monthly data'!M309+'Monthly data'!M308,"")</x:f>
        <x:v>-1.3180000000000003</x:v>
      </x:c>
      <x:c r="S310" s="8" t="n">
        <x:f>IF(COUNT('Monthly data'!N308:N310)=3,'Monthly data'!N310-2*'Monthly data'!N309+'Monthly data'!N308,"")</x:f>
        <x:v>0.8013999999999992</x:v>
      </x:c>
      <x:c r="T310" s="8" t="n">
        <x:f>IF(COUNT('Monthly data'!E309:E310)=2,'Monthly data'!E310-'Monthly data'!E309,"")</x:f>
        <x:v>-0.0013684635000004164</x:v>
      </x:c>
    </x:row>
    <x:row r="311" ht="19" customHeight="1">
      <x:c r="A311" s="7" t="n">
        <x:f>'Monthly data'!A311</x:f>
        <x:v>42278</x:v>
      </x:c>
      <x:c r="B311" s="8" t="n">
        <x:f>IF(ISNUMBER('Monthly data'!F311),LN(1+'Monthly data'!F311),"")</x:f>
        <x:v>4.65195834748685</x:v>
      </x:c>
      <x:c r="C311" s="8" t="n">
        <x:f>IF(ISNUMBER('Monthly data'!G311),LN(1+'Monthly data'!G311),"")</x:f>
        <x:v>3.750418951421782</x:v>
      </x:c>
      <x:c r="D311" s="8" t="n">
        <x:f>IF(ISNUMBER('Monthly data'!H311),LN(1+'Monthly data'!H311),"")</x:f>
        <x:v>3.186860768502819</x:v>
      </x:c>
      <x:c r="E311" s="8" t="n">
        <x:f>IF(ISNUMBER('Monthly data'!I311),LN(1+'Monthly data'!I311),"")</x:f>
        <x:v>2.755289957661452</x:v>
      </x:c>
      <x:c r="F311" s="8" t="n">
        <x:f>IF(ISNUMBER('Monthly data'!J311),LN(1+'Monthly data'!J311),"")</x:f>
        <x:v>1.598417409150635</x:v>
      </x:c>
      <x:c r="G311" s="8" t="n">
        <x:f>IF(ISNUMBER('Monthly data'!K311),LN(1+'Monthly data'!K311),"")</x:f>
        <x:v>1.3584348642408113</x:v>
      </x:c>
      <x:c r="H311" s="8" t="n">
        <x:f>IF(ISNUMBER('Monthly data'!L311),LN(1+'Monthly data'!L311),"")</x:f>
        <x:v>0.4085270821439841</x:v>
      </x:c>
      <x:c r="I311" s="8" t="n">
        <x:f>IF(ISNUMBER('Monthly data'!M311),LN(1+'Monthly data'!M311),"")</x:f>
        <x:v>0.6267936800099241</x:v>
      </x:c>
      <x:c r="J311" s="8" t="n">
        <x:f>IF(ISNUMBER('Monthly data'!N311),LN(1+'Monthly data'!N311),"")</x:f>
        <x:v>2.8391837211267315</x:v>
      </x:c>
      <x:c r="K311" s="8" t="n">
        <x:f>IF(COUNT('Monthly data'!F309:F311)=3,'Monthly data'!F311-2*'Monthly data'!F310+'Monthly data'!F309,"")</x:f>
        <x:v>-22.02000000000001</x:v>
      </x:c>
      <x:c r="L311" s="8" t="n">
        <x:f>IF(COUNT('Monthly data'!G309:G311)=3,'Monthly data'!G311-2*'Monthly data'!G310+'Monthly data'!G309,"")</x:f>
        <x:v>15.816200000000002</x:v>
      </x:c>
      <x:c r="M311" s="8" t="n">
        <x:f>IF(COUNT('Monthly data'!H309:H311)=3,'Monthly data'!H311-2*'Monthly data'!H310+'Monthly data'!H309,"")</x:f>
        <x:v>-23.8391</x:v>
      </x:c>
      <x:c r="N311" s="8" t="n">
        <x:f>IF(COUNT('Monthly data'!I309:I311)=3,'Monthly data'!I311-2*'Monthly data'!I310+'Monthly data'!I309,"")</x:f>
        <x:v>15.5684</x:v>
      </x:c>
      <x:c r="O311" s="8" t="n">
        <x:f>IF(COUNT('Monthly data'!J309:J311)=3,'Monthly data'!J311-2*'Monthly data'!J310+'Monthly data'!J309,"")</x:f>
        <x:v>-9.186700000000002</x:v>
      </x:c>
      <x:c r="P311" s="8" t="n">
        <x:f>IF(COUNT('Monthly data'!K309:K311)=3,'Monthly data'!K311-2*'Monthly data'!K310+'Monthly data'!K309,"")</x:f>
        <x:v>-1.0740999999999996</x:v>
      </x:c>
      <x:c r="Q311" s="8" t="n">
        <x:f>IF(COUNT('Monthly data'!L309:L311)=3,'Monthly data'!L311-2*'Monthly data'!L310+'Monthly data'!L309,"")</x:f>
        <x:v>-2.536</x:v>
      </x:c>
      <x:c r="R311" s="8" t="n">
        <x:f>IF(COUNT('Monthly data'!M309:M311)=3,'Monthly data'!M311-2*'Monthly data'!M310+'Monthly data'!M309,"")</x:f>
        <x:v>0.34560000000000013</x:v>
      </x:c>
      <x:c r="S311" s="8" t="n">
        <x:f>IF(COUNT('Monthly data'!N309:N311)=3,'Monthly data'!N311-2*'Monthly data'!N310+'Monthly data'!N309,"")</x:f>
        <x:v>-17.1143</x:v>
      </x:c>
      <x:c r="T311" s="8" t="n">
        <x:f>IF(COUNT('Monthly data'!E310:E311)=2,'Monthly data'!E311-'Monthly data'!E310,"")</x:f>
        <x:v>-0.0005634154999984986</x:v>
      </x:c>
    </x:row>
    <x:row r="312" ht="19" customHeight="1">
      <x:c r="A312" s="7" t="n">
        <x:f>'Monthly data'!A312</x:f>
        <x:v>42309</x:v>
      </x:c>
      <x:c r="B312" s="8" t="n">
        <x:f>IF(ISNUMBER('Monthly data'!F312),LN(1+'Monthly data'!F312),"")</x:f>
        <x:v>5.048765669457524</x:v>
      </x:c>
      <x:c r="C312" s="8" t="n">
        <x:f>IF(ISNUMBER('Monthly data'!G312),LN(1+'Monthly data'!G312),"")</x:f>
        <x:v>3.263202710076964</x:v>
      </x:c>
      <x:c r="D312" s="8" t="n">
        <x:f>IF(ISNUMBER('Monthly data'!H312),LN(1+'Monthly data'!H312),"")</x:f>
        <x:v>3.345427415247526</x:v>
      </x:c>
      <x:c r="E312" s="8" t="n">
        <x:f>IF(ISNUMBER('Monthly data'!I312),LN(1+'Monthly data'!I312),"")</x:f>
        <x:v>4.304879626246908</x:v>
      </x:c>
      <x:c r="F312" s="8" t="n">
        <x:f>IF(ISNUMBER('Monthly data'!J312),LN(1+'Monthly data'!J312),"")</x:f>
        <x:v>1.8286858858279633</x:v>
      </x:c>
      <x:c r="G312" s="8" t="n">
        <x:f>IF(ISNUMBER('Monthly data'!K312),LN(1+'Monthly data'!K312),"")</x:f>
        <x:v>0.7859086606412564</x:v>
      </x:c>
      <x:c r="H312" s="8" t="n">
        <x:f>IF(ISNUMBER('Monthly data'!L312),LN(1+'Monthly data'!L312),"")</x:f>
        <x:v>0.2612867610922493</x:v>
      </x:c>
      <x:c r="I312" s="8" t="n">
        <x:f>IF(ISNUMBER('Monthly data'!M312),LN(1+'Monthly data'!M312),"")</x:f>
        <x:v>0.8933495845725875</x:v>
      </x:c>
      <x:c r="J312" s="8" t="n">
        <x:f>IF(ISNUMBER('Monthly data'!N312),LN(1+'Monthly data'!N312),"")</x:f>
        <x:v>3.0956635776789323</x:v>
      </x:c>
      <x:c r="K312" s="8" t="n">
        <x:f>IF(COUNT('Monthly data'!F310:F312)=3,'Monthly data'!F312-2*'Monthly data'!F311+'Monthly data'!F310,"")</x:f>
        <x:v>62.18000000000001</x:v>
      </x:c>
      <x:c r="L312" s="8" t="n">
        <x:f>IF(COUNT('Monthly data'!G310:G312)=3,'Monthly data'!G312-2*'Monthly data'!G311+'Monthly data'!G310,"")</x:f>
        <x:v>-34.3114</x:v>
      </x:c>
      <x:c r="M312" s="8" t="n">
        <x:f>IF(COUNT('Monthly data'!H310:H312)=3,'Monthly data'!H312-2*'Monthly data'!H311+'Monthly data'!H310,"")</x:f>
        <x:v>17.5521</x:v>
      </x:c>
      <x:c r="N312" s="8" t="n">
        <x:f>IF(COUNT('Monthly data'!I310:I312)=3,'Monthly data'!I312-2*'Monthly data'!I311+'Monthly data'!I310,"")</x:f>
        <x:v>53.0423</x:v>
      </x:c>
      <x:c r="O312" s="8" t="n">
        <x:f>IF(COUNT('Monthly data'!J310:J312)=3,'Monthly data'!J312-2*'Monthly data'!J311+'Monthly data'!J310,"")</x:f>
        <x:v>6.417300000000001</x:v>
      </x:c>
      <x:c r="P312" s="8" t="n">
        <x:f>IF(COUNT('Monthly data'!K310:K312)=3,'Monthly data'!K312-2*'Monthly data'!K311+'Monthly data'!K310,"")</x:f>
        <x:v>2.0877</x:v>
      </x:c>
      <x:c r="Q312" s="8" t="n">
        <x:f>IF(COUNT('Monthly data'!L310:L312)=3,'Monthly data'!L312-2*'Monthly data'!L311+'Monthly data'!L310,"")</x:f>
        <x:v>1.0455999999999999</x:v>
      </x:c>
      <x:c r="R312" s="8" t="n">
        <x:f>IF(COUNT('Monthly data'!M310:M312)=3,'Monthly data'!M312-2*'Monthly data'!M311+'Monthly data'!M310,"")</x:f>
        <x:v>0.8541999999999998</x:v>
      </x:c>
      <x:c r="S312" s="8" t="n">
        <x:f>IF(COUNT('Monthly data'!N310:N312)=3,'Monthly data'!N312-2*'Monthly data'!N311+'Monthly data'!N310,"")</x:f>
        <x:v>15.491999999999997</x:v>
      </x:c>
      <x:c r="T312" s="8" t="n">
        <x:f>IF(COUNT('Monthly data'!E311:E312)=2,'Monthly data'!E312-'Monthly data'!E311,"")</x:f>
        <x:v>0.0082646093999994</x:v>
      </x:c>
    </x:row>
    <x:row r="313" ht="19" customHeight="1">
      <x:c r="A313" s="7" t="n">
        <x:f>'Monthly data'!A313</x:f>
        <x:v>42339</x:v>
      </x:c>
      <x:c r="B313" s="8" t="n">
        <x:f>IF(ISNUMBER('Monthly data'!F313),LN(1+'Monthly data'!F313),"")</x:f>
        <x:v>4.942855971674966</x:v>
      </x:c>
      <x:c r="C313" s="8" t="n">
        <x:f>IF(ISNUMBER('Monthly data'!G313),LN(1+'Monthly data'!G313),"")</x:f>
        <x:v>3.318775457006333</x:v>
      </x:c>
      <x:c r="D313" s="8" t="n">
        <x:f>IF(ISNUMBER('Monthly data'!H313),LN(1+'Monthly data'!H313),"")</x:f>
        <x:v>3.4316942551041594</x:v>
      </x:c>
      <x:c r="E313" s="8" t="n">
        <x:f>IF(ISNUMBER('Monthly data'!I313),LN(1+'Monthly data'!I313),"")</x:f>
        <x:v>3.9598031358756853</x:v>
      </x:c>
      <x:c r="F313" s="8" t="n">
        <x:f>IF(ISNUMBER('Monthly data'!J313),LN(1+'Monthly data'!J313),"")</x:f>
        <x:v>2.001290793122403</x:v>
      </x:c>
      <x:c r="G313" s="8" t="n">
        <x:f>IF(ISNUMBER('Monthly data'!K313),LN(1+'Monthly data'!K313),"")</x:f>
        <x:v>1.5398091245094296</x:v>
      </x:c>
      <x:c r="H313" s="8" t="n">
        <x:f>IF(ISNUMBER('Monthly data'!L313),LN(1+'Monthly data'!L313),"")</x:f>
        <x:v>0.41607528722017995</x:v>
      </x:c>
      <x:c r="I313" s="8" t="n">
        <x:f>IF(ISNUMBER('Monthly data'!M313),LN(1+'Monthly data'!M313),"")</x:f>
        <x:v>1.1528794899410517</x:v>
      </x:c>
      <x:c r="J313" s="8" t="n">
        <x:f>IF(ISNUMBER('Monthly data'!N313),LN(1+'Monthly data'!N313),"")</x:f>
        <x:v>2.9663961465184827</x:v>
      </x:c>
      <x:c r="K313" s="8" t="n">
        <x:f>IF(COUNT('Monthly data'!F311:F313)=3,'Monthly data'!F313-2*'Monthly data'!F312+'Monthly data'!F311,"")</x:f>
        <x:v>-66.70000000000003</x:v>
      </x:c>
      <x:c r="L313" s="8" t="n">
        <x:f>IF(COUNT('Monthly data'!G311:G313)=3,'Monthly data'!G313-2*'Monthly data'!G312+'Monthly data'!G311,"")</x:f>
        <x:v>17.8992</x:v>
      </x:c>
      <x:c r="M313" s="8" t="n">
        <x:f>IF(COUNT('Monthly data'!H311:H313)=3,'Monthly data'!H313-2*'Monthly data'!H312+'Monthly data'!H311,"")</x:f>
        <x:v>-1.604099999999999</x:v>
      </x:c>
      <x:c r="N313" s="8" t="n">
        <x:f>IF(COUNT('Monthly data'!I311:I313)=3,'Monthly data'!I313-2*'Monthly data'!I312+'Monthly data'!I311,"")</x:f>
        <x:v>-79.948</x:v>
      </x:c>
      <x:c r="O313" s="8" t="n">
        <x:f>IF(COUNT('Monthly data'!J311:J313)=3,'Monthly data'!J313-2*'Monthly data'!J312+'Monthly data'!J311,"")</x:f>
        <x:v>-0.1075999999999997</x:v>
      </x:c>
      <x:c r="P313" s="8" t="n">
        <x:f>IF(COUNT('Monthly data'!K311:K313)=3,'Monthly data'!K313-2*'Monthly data'!K312+'Monthly data'!K311,"")</x:f>
        <x:v>4.165</x:v>
      </x:c>
      <x:c r="Q313" s="8" t="n">
        <x:f>IF(COUNT('Monthly data'!L311:L313)=3,'Monthly data'!L313-2*'Monthly data'!L312+'Monthly data'!L311,"")</x:f>
        <x:v>0.4234000000000001</x:v>
      </x:c>
      <x:c r="R313" s="8" t="n">
        <x:f>IF(COUNT('Monthly data'!M311:M313)=3,'Monthly data'!M313-2*'Monthly data'!M312+'Monthly data'!M311,"")</x:f>
        <x:v>0.1523</x:v>
      </x:c>
      <x:c r="S313" s="8" t="n">
        <x:f>IF(COUNT('Monthly data'!N311:N313)=3,'Monthly data'!N313-2*'Monthly data'!N312+'Monthly data'!N311,"")</x:f>
        <x:v>-7.680199999999999</x:v>
      </x:c>
      <x:c r="T313" s="8" t="n">
        <x:f>IF(COUNT('Monthly data'!E312:E313)=2,'Monthly data'!E313-'Monthly data'!E312,"")</x:f>
        <x:v>0.0021889574999995887</x:v>
      </x:c>
    </x:row>
    <x:row r="314" ht="19" customHeight="1">
      <x:c r="A314" s="7" t="n">
        <x:f>'Monthly data'!A314</x:f>
        <x:v>42370</x:v>
      </x:c>
      <x:c r="B314" s="8" t="n">
        <x:f>IF(ISNUMBER('Monthly data'!F314),LN(1+'Monthly data'!F314),"")</x:f>
        <x:v>4.777946329938515</x:v>
      </x:c>
      <x:c r="C314" s="8" t="n">
        <x:f>IF(ISNUMBER('Monthly data'!G314),LN(1+'Monthly data'!G314),"")</x:f>
        <x:v>2.6928350352957295</x:v>
      </x:c>
      <x:c r="D314" s="8" t="n">
        <x:f>IF(ISNUMBER('Monthly data'!H314),LN(1+'Monthly data'!H314),"")</x:f>
        <x:v>3.6545312509802037</x:v>
      </x:c>
      <x:c r="E314" s="8" t="n">
        <x:f>IF(ISNUMBER('Monthly data'!I314),LN(1+'Monthly data'!I314),"")</x:f>
        <x:v>3.374353623683362</x:v>
      </x:c>
      <x:c r="F314" s="8" t="n">
        <x:f>IF(ISNUMBER('Monthly data'!J314),LN(1+'Monthly data'!J314),"")</x:f>
        <x:v>2.288658567546098</x:v>
      </x:c>
      <x:c r="G314" s="8" t="n">
        <x:f>IF(ISNUMBER('Monthly data'!K314),LN(1+'Monthly data'!K314),"")</x:f>
        <x:v>2.24133715195454</x:v>
      </x:c>
      <x:c r="H314" s="8" t="n">
        <x:f>IF(ISNUMBER('Monthly data'!L314),LN(1+'Monthly data'!L314),"")</x:f>
        <x:v>0.40972269836080555</x:v>
      </x:c>
      <x:c r="I314" s="8" t="n">
        <x:f>IF(ISNUMBER('Monthly data'!M314),LN(1+'Monthly data'!M314),"")</x:f>
        <x:v>1.5575549705544203</x:v>
      </x:c>
      <x:c r="J314" s="8" t="n">
        <x:f>IF(ISNUMBER('Monthly data'!N314),LN(1+'Monthly data'!N314),"")</x:f>
        <x:v>2.874157684033137</x:v>
      </x:c>
      <x:c r="K314" s="8" t="n">
        <x:f>IF(COUNT('Monthly data'!F312:F314)=3,'Monthly data'!F314-2*'Monthly data'!F313+'Monthly data'!F312,"")</x:f>
        <x:v>-5.649999999999949</x:v>
      </x:c>
      <x:c r="L314" s="8" t="n">
        <x:f>IF(COUNT('Monthly data'!G312:G314)=3,'Monthly data'!G314-2*'Monthly data'!G313+'Monthly data'!G312,"")</x:f>
        <x:v>-14.346400000000003</x:v>
      </x:c>
      <x:c r="M314" s="8" t="n">
        <x:f>IF(COUNT('Monthly data'!H312:H314)=3,'Monthly data'!H314-2*'Monthly data'!H313+'Monthly data'!H312,"")</x:f>
        <x:v>5.164100000000001</x:v>
      </x:c>
      <x:c r="N314" s="8" t="n">
        <x:f>IF(COUNT('Monthly data'!I312:I314)=3,'Monthly data'!I314-2*'Monthly data'!I313+'Monthly data'!I312,"")</x:f>
        <x:v>-1.62830000000001</x:v>
      </x:c>
      <x:c r="O314" s="8" t="n">
        <x:f>IF(COUNT('Monthly data'!J312:J314)=3,'Monthly data'!J314-2*'Monthly data'!J313+'Monthly data'!J312,"")</x:f>
        <x:v>1.2902000000000005</x:v>
      </x:c>
      <x:c r="P314" s="8" t="n">
        <x:f>IF(COUNT('Monthly data'!K312:K314)=3,'Monthly data'!K314-2*'Monthly data'!K313+'Monthly data'!K312,"")</x:f>
        <x:v>2.272900000000001</x:v>
      </x:c>
      <x:c r="Q314" s="8" t="n">
        <x:f>IF(COUNT('Monthly data'!L312:L314)=3,'Monthly data'!L314-2*'Monthly data'!L313+'Monthly data'!L312,"")</x:f>
        <x:v>-0.2270000000000001</x:v>
      </x:c>
      <x:c r="R314" s="8" t="n">
        <x:f>IF(COUNT('Monthly data'!M312:M314)=3,'Monthly data'!M314-2*'Monthly data'!M313+'Monthly data'!M312,"")</x:f>
        <x:v>0.8558999999999999</x:v>
      </x:c>
      <x:c r="S314" s="8" t="n">
        <x:f>IF(COUNT('Monthly data'!N312:N314)=3,'Monthly data'!N314-2*'Monthly data'!N313+'Monthly data'!N312,"")</x:f>
        <x:v>0.9687999999999981</x:v>
      </x:c>
      <x:c r="T314" s="8" t="n">
        <x:f>IF(COUNT('Monthly data'!E313:E314)=2,'Monthly data'!E314-'Monthly data'!E313,"")</x:f>
        <x:v>-0.0008893999000001429</x:v>
      </x:c>
    </x:row>
    <x:row r="315" ht="19" customHeight="1">
      <x:c r="A315" s="7" t="n">
        <x:f>'Monthly data'!A315</x:f>
        <x:v>42401</x:v>
      </x:c>
      <x:c r="B315" s="8" t="n">
        <x:f>IF(ISNUMBER('Monthly data'!F315),LN(1+'Monthly data'!F315),"")</x:f>
        <x:v>4.576153236917599</x:v>
      </x:c>
      <x:c r="C315" s="8" t="n">
        <x:f>IF(ISNUMBER('Monthly data'!G315),LN(1+'Monthly data'!G315),"")</x:f>
        <x:v>3.24639371090494</x:v>
      </x:c>
      <x:c r="D315" s="8" t="n">
        <x:f>IF(ISNUMBER('Monthly data'!H315),LN(1+'Monthly data'!H315),"")</x:f>
        <x:v>3.3612222506739546</x:v>
      </x:c>
      <x:c r="E315" s="8" t="n">
        <x:f>IF(ISNUMBER('Monthly data'!I315),LN(1+'Monthly data'!I315),"")</x:f>
        <x:v>2.798664524124096</x:v>
      </x:c>
      <x:c r="F315" s="8" t="n">
        <x:f>IF(ISNUMBER('Monthly data'!J315),LN(1+'Monthly data'!J315),"")</x:f>
        <x:v>2.1916311856683652</x:v>
      </x:c>
      <x:c r="G315" s="8" t="n">
        <x:f>IF(ISNUMBER('Monthly data'!K315),LN(1+'Monthly data'!K315),"")</x:f>
        <x:v>1.491757371524951</x:v>
      </x:c>
      <x:c r="H315" s="8" t="n">
        <x:f>IF(ISNUMBER('Monthly data'!L315),LN(1+'Monthly data'!L315),"")</x:f>
        <x:v>0.6141039732194924</x:v>
      </x:c>
      <x:c r="I315" s="8" t="n">
        <x:f>IF(ISNUMBER('Monthly data'!M315),LN(1+'Monthly data'!M315),"")</x:f>
        <x:v>1.2193539063642382</x:v>
      </x:c>
      <x:c r="J315" s="8" t="n">
        <x:f>IF(ISNUMBER('Monthly data'!N315),LN(1+'Monthly data'!N315),"")</x:f>
        <x:v>2.6788067491325416</x:v>
      </x:c>
      <x:c r="K315" s="8" t="n">
        <x:f>IF(COUNT('Monthly data'!F313:F315)=3,'Monthly data'!F315-2*'Monthly data'!F314+'Monthly data'!F313,"")</x:f>
        <x:v>-0.4099999999999966</x:v>
      </x:c>
      <x:c r="L315" s="8" t="n">
        <x:f>IF(COUNT('Monthly data'!G313:G315)=3,'Monthly data'!G315-2*'Monthly data'!G314+'Monthly data'!G313,"")</x:f>
        <x:v>23.777</x:v>
      </x:c>
      <x:c r="M315" s="8" t="n">
        <x:f>IF(COUNT('Monthly data'!H313:H315)=3,'Monthly data'!H315-2*'Monthly data'!H314+'Monthly data'!H313,"")</x:f>
        <x:v>-17.545400000000004</x:v>
      </x:c>
      <x:c r="N315" s="8" t="n">
        <x:f>IF(COUNT('Monthly data'!I313:I315)=3,'Monthly data'!I315-2*'Monthly data'!I314+'Monthly data'!I313,"")</x:f>
        <x:v>10.4589</x:v>
      </x:c>
      <x:c r="O315" s="8" t="n">
        <x:f>IF(COUNT('Monthly data'!J313:J315)=3,'Monthly data'!J315-2*'Monthly data'!J314+'Monthly data'!J313,"")</x:f>
        <x:v>-3.3750000000000018</x:v>
      </x:c>
      <x:c r="P315" s="8" t="n">
        <x:f>IF(COUNT('Monthly data'!K313:K315)=3,'Monthly data'!K315-2*'Monthly data'!K314+'Monthly data'!K313,"")</x:f>
        <x:v>-9.7032</x:v>
      </x:c>
      <x:c r="Q315" s="8" t="n">
        <x:f>IF(COUNT('Monthly data'!L313:L315)=3,'Monthly data'!L315-2*'Monthly data'!L314+'Monthly data'!L313,"")</x:f>
        <x:v>0.35120000000000007</x:v>
      </x:c>
      <x:c r="R315" s="8" t="n">
        <x:f>IF(COUNT('Monthly data'!M313:M315)=3,'Monthly data'!M315-2*'Monthly data'!M314+'Monthly data'!M313,"")</x:f>
        <x:v>-2.9421</x:v>
      </x:c>
      <x:c r="S315" s="8" t="n">
        <x:f>IF(COUNT('Monthly data'!N313:N315)=3,'Monthly data'!N315-2*'Monthly data'!N314+'Monthly data'!N313,"")</x:f>
        <x:v>-1.4314999999999962</x:v>
      </x:c>
      <x:c r="T315" s="8" t="n">
        <x:f>IF(COUNT('Monthly data'!E314:E315)=2,'Monthly data'!E315-'Monthly data'!E314,"")</x:f>
        <x:v>-0.00923616779999925</x:v>
      </x:c>
    </x:row>
    <x:row r="316" ht="19" customHeight="1">
      <x:c r="A316" s="7" t="n">
        <x:f>'Monthly data'!A316</x:f>
        <x:v>42430</x:v>
      </x:c>
      <x:c r="B316" s="8" t="n">
        <x:f>IF(ISNUMBER('Monthly data'!F316),LN(1+'Monthly data'!F316),"")</x:f>
        <x:v>4.709350004897755</x:v>
      </x:c>
      <x:c r="C316" s="8" t="n">
        <x:f>IF(ISNUMBER('Monthly data'!G316),LN(1+'Monthly data'!G316),"")</x:f>
        <x:v>2.9366190090614843</x:v>
      </x:c>
      <x:c r="D316" s="8" t="n">
        <x:f>IF(ISNUMBER('Monthly data'!H316),LN(1+'Monthly data'!H316),"")</x:f>
        <x:v>3.439308505089405</x:v>
      </x:c>
      <x:c r="E316" s="8" t="n">
        <x:f>IF(ISNUMBER('Monthly data'!I316),LN(1+'Monthly data'!I316),"")</x:f>
        <x:v>3.548907364659427</x:v>
      </x:c>
      <x:c r="F316" s="8" t="n">
        <x:f>IF(ISNUMBER('Monthly data'!J316),LN(1+'Monthly data'!J316),"")</x:f>
        <x:v>1.80722262928142</x:v>
      </x:c>
      <x:c r="G316" s="8" t="n">
        <x:f>IF(ISNUMBER('Monthly data'!K316),LN(1+'Monthly data'!K316),"")</x:f>
        <x:v>1.774223271638638</x:v>
      </x:c>
      <x:c r="H316" s="8" t="n">
        <x:f>IF(ISNUMBER('Monthly data'!L316),LN(1+'Monthly data'!L316),"")</x:f>
        <x:v>0.333324430330482</x:v>
      </x:c>
      <x:c r="I316" s="8" t="n">
        <x:f>IF(ISNUMBER('Monthly data'!M316),LN(1+'Monthly data'!M316),"")</x:f>
        <x:v>1.4501607814483046</x:v>
      </x:c>
      <x:c r="J316" s="8" t="n">
        <x:f>IF(ISNUMBER('Monthly data'!N316),LN(1+'Monthly data'!N316),"")</x:f>
        <x:v>2.7433336863565647</x:v>
      </x:c>
      <x:c r="K316" s="8" t="n">
        <x:f>IF(COUNT('Monthly data'!F314:F316)=3,'Monthly data'!F316-2*'Monthly data'!F315+'Monthly data'!F314,"")</x:f>
        <x:v>35.56</x:v>
      </x:c>
      <x:c r="L316" s="8" t="n">
        <x:f>IF(COUNT('Monthly data'!G314:G316)=3,'Monthly data'!G316-2*'Monthly data'!G315+'Monthly data'!G314,"")</x:f>
        <x:v>-17.7695</x:v>
      </x:c>
      <x:c r="M316" s="8" t="n">
        <x:f>IF(COUNT('Monthly data'!H314:H316)=3,'Monthly data'!H316-2*'Monthly data'!H315+'Monthly data'!H314,"")</x:f>
        <x:v>12.166</x:v>
      </x:c>
      <x:c r="N316" s="8" t="n">
        <x:f>IF(COUNT('Monthly data'!I314:I316)=3,'Monthly data'!I316-2*'Monthly data'!I315+'Monthly data'!I314,"")</x:f>
        <x:v>31.1353</x:v>
      </x:c>
      <x:c r="O316" s="8" t="n">
        <x:f>IF(COUNT('Monthly data'!J314:J316)=3,'Monthly data'!J316-2*'Monthly data'!J315+'Monthly data'!J314,"")</x:f>
        <x:v>-1.9444</x:v>
      </x:c>
      <x:c r="P316" s="8" t="n">
        <x:f>IF(COUNT('Monthly data'!K314:K316)=3,'Monthly data'!K316-2*'Monthly data'!K315+'Monthly data'!K314,"")</x:f>
        <x:v>6.4118</x:v>
      </x:c>
      <x:c r="Q316" s="8" t="n">
        <x:f>IF(COUNT('Monthly data'!L314:L316)=3,'Monthly data'!L316-2*'Monthly data'!L315+'Monthly data'!L314,"")</x:f>
        <x:v>-0.794</x:v>
      </x:c>
      <x:c r="R316" s="8" t="n">
        <x:f>IF(COUNT('Monthly data'!M314:M316)=3,'Monthly data'!M316-2*'Monthly data'!M315+'Monthly data'!M314,"")</x:f>
        <x:v>2.241</x:v>
      </x:c>
      <x:c r="S316" s="8" t="n">
        <x:f>IF(COUNT('Monthly data'!N314:N316)=3,'Monthly data'!N316-2*'Monthly data'!N315+'Monthly data'!N314,"")</x:f>
        <x:v>4.1137999999999995</x:v>
      </x:c>
      <x:c r="T316" s="8" t="n">
        <x:f>IF(COUNT('Monthly data'!E315:E316)=2,'Monthly data'!E316-'Monthly data'!E315,"")</x:f>
        <x:v>-0.0014225952000010977</x:v>
      </x:c>
    </x:row>
    <x:row r="317" ht="19" customHeight="1">
      <x:c r="A317" s="7" t="n">
        <x:f>'Monthly data'!A317</x:f>
        <x:v>42461</x:v>
      </x:c>
      <x:c r="B317" s="8" t="n">
        <x:f>IF(ISNUMBER('Monthly data'!F317),LN(1+'Monthly data'!F317),"")</x:f>
        <x:v>4.498141613229568</x:v>
      </x:c>
      <x:c r="C317" s="8" t="n">
        <x:f>IF(ISNUMBER('Monthly data'!G317),LN(1+'Monthly data'!G317),"")</x:f>
        <x:v>2.9971412804374107</x:v>
      </x:c>
      <x:c r="D317" s="8" t="n">
        <x:f>IF(ISNUMBER('Monthly data'!H317),LN(1+'Monthly data'!H317),"")</x:f>
        <x:v>3.407408055438868</x:v>
      </x:c>
      <x:c r="E317" s="8" t="n">
        <x:f>IF(ISNUMBER('Monthly data'!I317),LN(1+'Monthly data'!I317),"")</x:f>
        <x:v>2.879810629432998</x:v>
      </x:c>
      <x:c r="F317" s="8" t="n">
        <x:f>IF(ISNUMBER('Monthly data'!J317),LN(1+'Monthly data'!J317),"")</x:f>
        <x:v>1.748190650081262</x:v>
      </x:c>
      <x:c r="G317" s="8" t="n">
        <x:f>IF(ISNUMBER('Monthly data'!K317),LN(1+'Monthly data'!K317),"")</x:f>
        <x:v>1.8979796152977633</x:v>
      </x:c>
      <x:c r="H317" s="8" t="n">
        <x:f>IF(ISNUMBER('Monthly data'!L317),LN(1+'Monthly data'!L317),"")</x:f>
        <x:v>0.05031281387358918</x:v>
      </x:c>
      <x:c r="I317" s="8" t="n">
        <x:f>IF(ISNUMBER('Monthly data'!M317),LN(1+'Monthly data'!M317),"")</x:f>
        <x:v>0.7086759821775723</x:v>
      </x:c>
      <x:c r="J317" s="8" t="n">
        <x:f>IF(ISNUMBER('Monthly data'!N317),LN(1+'Monthly data'!N317),"")</x:f>
        <x:v>2.5896044458957284</x:v>
      </x:c>
      <x:c r="K317" s="8" t="n">
        <x:f>IF(COUNT('Monthly data'!F315:F317)=3,'Monthly data'!F317-2*'Monthly data'!F316+'Monthly data'!F315,"")</x:f>
        <x:v>-34.97000000000001</x:v>
      </x:c>
      <x:c r="L317" s="8" t="n">
        <x:f>IF(COUNT('Monthly data'!G315:G317)=3,'Monthly data'!G317-2*'Monthly data'!G316+'Monthly data'!G315,"")</x:f>
        <x:v>8.0217</x:v>
      </x:c>
      <x:c r="M317" s="8" t="n">
        <x:f>IF(COUNT('Monthly data'!H315:H317)=3,'Monthly data'!H317-2*'Monthly data'!H316+'Monthly data'!H315,"")</x:f>
        <x:v>-3.3195000000000014</x:v>
      </x:c>
      <x:c r="N317" s="8" t="n">
        <x:f>IF(COUNT('Monthly data'!I315:I317)=3,'Monthly data'!I317-2*'Monthly data'!I316+'Monthly data'!I315,"")</x:f>
        <x:v>-35.317</x:v>
      </x:c>
      <x:c r="O317" s="8" t="n">
        <x:f>IF(COUNT('Monthly data'!J315:J317)=3,'Monthly data'!J317-2*'Monthly data'!J316+'Monthly data'!J315,"")</x:f>
        <x:v>2.5070000000000006</x:v>
      </x:c>
      <x:c r="P317" s="8" t="n">
        <x:f>IF(COUNT('Monthly data'!K315:K317)=3,'Monthly data'!K317-2*'Monthly data'!K316+'Monthly data'!K315,"")</x:f>
        <x:v>-0.6740999999999997</x:v>
      </x:c>
      <x:c r="Q317" s="8" t="n">
        <x:f>IF(COUNT('Monthly data'!L315:L317)=3,'Monthly data'!L317-2*'Monthly data'!L316+'Monthly data'!L315,"")</x:f>
        <x:v>0.10839999999999994</x:v>
      </x:c>
      <x:c r="R317" s="8" t="n">
        <x:f>IF(COUNT('Monthly data'!M315:M317)=3,'Monthly data'!M317-2*'Monthly data'!M316+'Monthly data'!M315,"")</x:f>
        <x:v>-3.1113</x:v>
      </x:c>
      <x:c r="S317" s="8" t="n">
        <x:f>IF(COUNT('Monthly data'!N315:N317)=3,'Monthly data'!N317-2*'Monthly data'!N316+'Monthly data'!N315,"")</x:f>
        <x:v>-3.1852</x:v>
      </x:c>
      <x:c r="T317" s="8" t="n">
        <x:f>IF(COUNT('Monthly data'!E316:E317)=2,'Monthly data'!E317-'Monthly data'!E316,"")</x:f>
        <x:v>-0.009682662299999478</x:v>
      </x:c>
    </x:row>
    <x:row r="318" ht="19" customHeight="1">
      <x:c r="A318" s="7" t="n">
        <x:f>'Monthly data'!A318</x:f>
        <x:v>42491</x:v>
      </x:c>
      <x:c r="B318" s="8" t="n">
        <x:f>IF(ISNUMBER('Monthly data'!F318),LN(1+'Monthly data'!F318),"")</x:f>
        <x:v>4.41968362585098</x:v>
      </x:c>
      <x:c r="C318" s="8" t="n">
        <x:f>IF(ISNUMBER('Monthly data'!G318),LN(1+'Monthly data'!G318),"")</x:f>
        <x:v>2.9696808632159497</x:v>
      </x:c>
      <x:c r="D318" s="8" t="n">
        <x:f>IF(ISNUMBER('Monthly data'!H318),LN(1+'Monthly data'!H318),"")</x:f>
        <x:v>3.32020783699102</x:v>
      </x:c>
      <x:c r="E318" s="8" t="n">
        <x:f>IF(ISNUMBER('Monthly data'!I318),LN(1+'Monthly data'!I318),"")</x:f>
        <x:v>2.5855585975180384</x:v>
      </x:c>
      <x:c r="F318" s="8" t="n">
        <x:f>IF(ISNUMBER('Monthly data'!J318),LN(1+'Monthly data'!J318),"")</x:f>
        <x:v>1.7636857304004396</x:v>
      </x:c>
      <x:c r="G318" s="8" t="n">
        <x:f>IF(ISNUMBER('Monthly data'!K318),LN(1+'Monthly data'!K318),"")</x:f>
        <x:v>1.5626607208751713</x:v>
      </x:c>
      <x:c r="H318" s="8" t="n">
        <x:f>IF(ISNUMBER('Monthly data'!L318),LN(1+'Monthly data'!L318),"")</x:f>
        <x:v>0.4931096179602107</x:v>
      </x:c>
      <x:c r="I318" s="8" t="n">
        <x:f>IF(ISNUMBER('Monthly data'!M318),LN(1+'Monthly data'!M318),"")</x:f>
        <x:v>0.6151315835752063</x:v>
      </x:c>
      <x:c r="J318" s="8" t="n">
        <x:f>IF(ISNUMBER('Monthly data'!N318),LN(1+'Monthly data'!N318),"")</x:f>
        <x:v>2.7443692726648834</x:v>
      </x:c>
      <x:c r="K318" s="8" t="n">
        <x:f>IF(COUNT('Monthly data'!F316:F318)=3,'Monthly data'!F318-2*'Monthly data'!F317+'Monthly data'!F316,"")</x:f>
        <x:v>14.350000000000009</x:v>
      </x:c>
      <x:c r="L318" s="8" t="n">
        <x:f>IF(COUNT('Monthly data'!G316:G318)=3,'Monthly data'!G318-2*'Monthly data'!G317+'Monthly data'!G316,"")</x:f>
        <x:v>-1.7186999999999948</x:v>
      </x:c>
      <x:c r="M318" s="8" t="n">
        <x:f>IF(COUNT('Monthly data'!H316:H318)=3,'Monthly data'!H318-2*'Monthly data'!H317+'Monthly data'!H316,"")</x:f>
        <x:v>-1.542300000000001</x:v>
      </x:c>
      <x:c r="N318" s="8" t="n">
        <x:f>IF(COUNT('Monthly data'!I316:I318)=3,'Monthly data'!I318-2*'Monthly data'!I317+'Monthly data'!I316,"")</x:f>
        <x:v>12.424199999999999</x:v>
      </x:c>
      <x:c r="O318" s="8" t="n">
        <x:f>IF(COUNT('Monthly data'!J316:J318)=3,'Monthly data'!J318-2*'Monthly data'!J317+'Monthly data'!J316,"")</x:f>
        <x:v>0.43899999999999917</x:v>
      </x:c>
      <x:c r="P318" s="8" t="n">
        <x:f>IF(COUNT('Monthly data'!K316:K318)=3,'Monthly data'!K318-2*'Monthly data'!K317+'Monthly data'!K316,"")</x:f>
        <x:v>-2.6776</x:v>
      </x:c>
      <x:c r="Q318" s="8" t="n">
        <x:f>IF(COUNT('Monthly data'!L316:L318)=3,'Monthly data'!L318-2*'Monthly data'!L317+'Monthly data'!L316,"")</x:f>
        <x:v>0.9298</x:v>
      </x:c>
      <x:c r="R318" s="8" t="n">
        <x:f>IF(COUNT('Monthly data'!M316:M318)=3,'Monthly data'!M318-2*'Monthly data'!M317+'Monthly data'!M316,"")</x:f>
        <x:v>2.0510999999999995</x:v>
      </x:c>
      <x:c r="S318" s="8" t="n">
        <x:f>IF(COUNT('Monthly data'!N316:N318)=3,'Monthly data'!N318-2*'Monthly data'!N317+'Monthly data'!N316,"")</x:f>
        <x:v>4.4445</x:v>
      </x:c>
      <x:c r="T318" s="8" t="n">
        <x:f>IF(COUNT('Monthly data'!E317:E318)=2,'Monthly data'!E318-'Monthly data'!E317,"")</x:f>
        <x:v>-0.009936943699999645</x:v>
      </x:c>
    </x:row>
    <x:row r="319" ht="19" customHeight="1">
      <x:c r="A319" s="7" t="n">
        <x:f>'Monthly data'!A319</x:f>
        <x:v>42522</x:v>
      </x:c>
      <x:c r="B319" s="8" t="n">
        <x:f>IF(ISNUMBER('Monthly data'!F319),LN(1+'Monthly data'!F319),"")</x:f>
        <x:v>4.640730361386642</x:v>
      </x:c>
      <x:c r="C319" s="8" t="n">
        <x:f>IF(ISNUMBER('Monthly data'!G319),LN(1+'Monthly data'!G319),"")</x:f>
        <x:v>2.6879563313990773</x:v>
      </x:c>
      <x:c r="D319" s="8" t="n">
        <x:f>IF(ISNUMBER('Monthly data'!H319),LN(1+'Monthly data'!H319),"")</x:f>
        <x:v>3.3604170529405355</x:v>
      </x:c>
      <x:c r="E319" s="8" t="n">
        <x:f>IF(ISNUMBER('Monthly data'!I319),LN(1+'Monthly data'!I319),"")</x:f>
        <x:v>3.6760373461006384</x:v>
      </x:c>
      <x:c r="F319" s="8" t="n">
        <x:f>IF(ISNUMBER('Monthly data'!J319),LN(1+'Monthly data'!J319),"")</x:f>
        <x:v>1.346175244523063</x:v>
      </x:c>
      <x:c r="G319" s="8" t="n">
        <x:f>IF(ISNUMBER('Monthly data'!K319),LN(1+'Monthly data'!K319),"")</x:f>
        <x:v>0.9953236991621788</x:v>
      </x:c>
      <x:c r="H319" s="8" t="n">
        <x:f>IF(ISNUMBER('Monthly data'!L319),LN(1+'Monthly data'!L319),"")</x:f>
        <x:v>0.10768780541691736</x:v>
      </x:c>
      <x:c r="I319" s="8" t="n">
        <x:f>IF(ISNUMBER('Monthly data'!M319),LN(1+'Monthly data'!M319),"")</x:f>
        <x:v>0.7856807819628783</x:v>
      </x:c>
      <x:c r="J319" s="8" t="n">
        <x:f>IF(ISNUMBER('Monthly data'!N319),LN(1+'Monthly data'!N319),"")</x:f>
        <x:v>2.8776073044450268</x:v>
      </x:c>
      <x:c r="K319" s="8" t="n">
        <x:f>IF(COUNT('Monthly data'!F317:F319)=3,'Monthly data'!F319-2*'Monthly data'!F318+'Monthly data'!F317,"")</x:f>
        <x:v>27.330000000000013</x:v>
      </x:c>
      <x:c r="L319" s="8" t="n">
        <x:f>IF(COUNT('Monthly data'!G317:G319)=3,'Monthly data'!G319-2*'Monthly data'!G318+'Monthly data'!G317,"")</x:f>
        <x:v>-4.241600000000005</x:v>
      </x:c>
      <x:c r="M319" s="8" t="n">
        <x:f>IF(COUNT('Monthly data'!H317:H319)=3,'Monthly data'!H319-2*'Monthly data'!H318+'Monthly data'!H317,"")</x:f>
        <x:v>3.6559000000000026</x:v>
      </x:c>
      <x:c r="N319" s="8" t="n">
        <x:f>IF(COUNT('Monthly data'!I317:I319)=3,'Monthly data'!I319-2*'Monthly data'!I318+'Monthly data'!I317,"")</x:f>
        <x:v>30.759100000000004</x:v>
      </x:c>
      <x:c r="O319" s="8" t="n">
        <x:f>IF(COUNT('Monthly data'!J317:J319)=3,'Monthly data'!J319-2*'Monthly data'!J318+'Monthly data'!J317,"")</x:f>
        <x:v>-2.0808999999999997</x:v>
      </x:c>
      <x:c r="P319" s="8" t="n">
        <x:f>IF(COUNT('Monthly data'!K317:K319)=3,'Monthly data'!K319-2*'Monthly data'!K318+'Monthly data'!K317,"")</x:f>
        <x:v>-0.16500000000000092</x:v>
      </x:c>
      <x:c r="Q319" s="8" t="n">
        <x:f>IF(COUNT('Monthly data'!L317:L319)=3,'Monthly data'!L319-2*'Monthly data'!L318+'Monthly data'!L317,"")</x:f>
        <x:v>-1.1095</x:v>
      </x:c>
      <x:c r="R319" s="8" t="n">
        <x:f>IF(COUNT('Monthly data'!M317:M319)=3,'Monthly data'!M319-2*'Monthly data'!M318+'Monthly data'!M317,"")</x:f>
        <x:v>0.5254000000000001</x:v>
      </x:c>
      <x:c r="S319" s="8" t="n">
        <x:f>IF(COUNT('Monthly data'!N317:N319)=3,'Monthly data'!N319-2*'Monthly data'!N318+'Monthly data'!N317,"")</x:f>
        <x:v>-0.013400000000000745</x:v>
      </x:c>
      <x:c r="T319" s="8" t="n">
        <x:f>IF(COUNT('Monthly data'!E318:E319)=2,'Monthly data'!E319-'Monthly data'!E318,"")</x:f>
        <x:v>0.008941268999999252</x:v>
      </x:c>
    </x:row>
    <x:row r="320" ht="19" customHeight="1">
      <x:c r="A320" s="7" t="n">
        <x:f>'Monthly data'!A320</x:f>
        <x:v>42552</x:v>
      </x:c>
      <x:c r="B320" s="8" t="n">
        <x:f>IF(ISNUMBER('Monthly data'!F320),LN(1+'Monthly data'!F320),"")</x:f>
        <x:v>4.790653406119625</x:v>
      </x:c>
      <x:c r="C320" s="8" t="n">
        <x:f>IF(ISNUMBER('Monthly data'!G320),LN(1+'Monthly data'!G320),"")</x:f>
        <x:v>2.685634161817878</x:v>
      </x:c>
      <x:c r="D320" s="8" t="n">
        <x:f>IF(ISNUMBER('Monthly data'!H320),LN(1+'Monthly data'!H320),"")</x:f>
        <x:v>3.459604644994482</x:v>
      </x:c>
      <x:c r="E320" s="8" t="n">
        <x:f>IF(ISNUMBER('Monthly data'!I320),LN(1+'Monthly data'!I320),"")</x:f>
        <x:v>3.793701074593836</x:v>
      </x:c>
      <x:c r="F320" s="8" t="n">
        <x:f>IF(ISNUMBER('Monthly data'!J320),LN(1+'Monthly data'!J320),"")</x:f>
        <x:v>1.6496965482976624</x:v>
      </x:c>
      <x:c r="G320" s="8" t="n">
        <x:f>IF(ISNUMBER('Monthly data'!K320),LN(1+'Monthly data'!K320),"")</x:f>
        <x:v>0.610363219081024</x:v>
      </x:c>
      <x:c r="H320" s="8" t="n">
        <x:f>IF(ISNUMBER('Monthly data'!L320),LN(1+'Monthly data'!L320),"")</x:f>
        <x:v>2.337662619606742</x:v>
      </x:c>
      <x:c r="I320" s="8" t="n">
        <x:f>IF(ISNUMBER('Monthly data'!M320),LN(1+'Monthly data'!M320),"")</x:f>
        <x:v>0.8160725273972436</x:v>
      </x:c>
      <x:c r="J320" s="8" t="n">
        <x:f>IF(ISNUMBER('Monthly data'!N320),LN(1+'Monthly data'!N320),"")</x:f>
        <x:v>2.822729164849016</x:v>
      </x:c>
      <x:c r="K320" s="8" t="n">
        <x:f>IF(COUNT('Monthly data'!F318:F320)=3,'Monthly data'!F320-2*'Monthly data'!F319+'Monthly data'!F318,"")</x:f>
        <x:v>-3.7900000000000205</x:v>
      </x:c>
      <x:c r="L320" s="8" t="n">
        <x:f>IF(COUNT('Monthly data'!G318:G320)=3,'Monthly data'!G320-2*'Monthly data'!G319+'Monthly data'!G318,"")</x:f>
        <x:v>4.7500000000000036</x:v>
      </x:c>
      <x:c r="M320" s="8" t="n">
        <x:f>IF(COUNT('Monthly data'!H318:H320)=3,'Monthly data'!H320-2*'Monthly data'!H319+'Monthly data'!H318,"")</x:f>
        <x:v>1.8680999999999983</x:v>
      </x:c>
      <x:c r="N320" s="8" t="n">
        <x:f>IF(COUNT('Monthly data'!I318:I320)=3,'Monthly data'!I320-2*'Monthly data'!I319+'Monthly data'!I318,"")</x:f>
        <x:v>-21.28800000000001</x:v>
      </x:c>
      <x:c r="O320" s="8" t="n">
        <x:f>IF(COUNT('Monthly data'!J318:J320)=3,'Monthly data'!J320-2*'Monthly data'!J319+'Monthly data'!J318,"")</x:f>
        <x:v>3.3539000000000003</x:v>
      </x:c>
      <x:c r="P320" s="8" t="n">
        <x:f>IF(COUNT('Monthly data'!K318:K320)=3,'Monthly data'!K320-2*'Monthly data'!K319+'Monthly data'!K318,"")</x:f>
        <x:v>1.2014</x:v>
      </x:c>
      <x:c r="Q320" s="8" t="n">
        <x:f>IF(COUNT('Monthly data'!L318:L320)=3,'Monthly data'!L320-2*'Monthly data'!L319+'Monthly data'!L318,"")</x:f>
        <x:v>9.767</x:v>
      </x:c>
      <x:c r="R320" s="8" t="n">
        <x:f>IF(COUNT('Monthly data'!M318:M320)=3,'Monthly data'!M320-2*'Monthly data'!M319+'Monthly data'!M318,"")</x:f>
        <x:v>-0.2762999999999999</x:v>
      </x:c>
      <x:c r="S320" s="8" t="n">
        <x:f>IF(COUNT('Monthly data'!N318:N320)=3,'Monthly data'!N320-2*'Monthly data'!N319+'Monthly data'!N318,"")</x:f>
        <x:v>-3.1659000000000006</x:v>
      </x:c>
      <x:c r="T320" s="8" t="n">
        <x:f>IF(COUNT('Monthly data'!E319:E320)=2,'Monthly data'!E320-'Monthly data'!E319,"")</x:f>
        <x:v>0.009438903400001308</x:v>
      </x:c>
    </x:row>
    <x:row r="321" ht="19" customHeight="1">
      <x:c r="A321" s="7" t="n">
        <x:f>'Monthly data'!A321</x:f>
        <x:v>42583</x:v>
      </x:c>
      <x:c r="B321" s="8" t="n">
        <x:f>IF(ISNUMBER('Monthly data'!F321),LN(1+'Monthly data'!F321),"")</x:f>
        <x:v>4.56320170116559</x:v>
      </x:c>
      <x:c r="C321" s="8" t="n">
        <x:f>IF(ISNUMBER('Monthly data'!G321),LN(1+'Monthly data'!G321),"")</x:f>
        <x:v>3.2537911291896533</x:v>
      </x:c>
      <x:c r="D321" s="8" t="n">
        <x:f>IF(ISNUMBER('Monthly data'!H321),LN(1+'Monthly data'!H321),"")</x:f>
        <x:v>3.1708529662445613</x:v>
      </x:c>
      <x:c r="E321" s="8" t="n">
        <x:f>IF(ISNUMBER('Monthly data'!I321),LN(1+'Monthly data'!I321),"")</x:f>
        <x:v>2.972678567222768</x:v>
      </x:c>
      <x:c r="F321" s="8" t="n">
        <x:f>IF(ISNUMBER('Monthly data'!J321),LN(1+'Monthly data'!J321),"")</x:f>
        <x:v>2.1879034929104306</x:v>
      </x:c>
      <x:c r="G321" s="8" t="n">
        <x:f>IF(ISNUMBER('Monthly data'!K321),LN(1+'Monthly data'!K321),"")</x:f>
        <x:v>1.3113283286299773</x:v>
      </x:c>
      <x:c r="H321" s="8" t="n">
        <x:f>IF(ISNUMBER('Monthly data'!L321),LN(1+'Monthly data'!L321),"")</x:f>
        <x:v>1.44771866310689</x:v>
      </x:c>
      <x:c r="I321" s="8" t="n">
        <x:f>IF(ISNUMBER('Monthly data'!M321),LN(1+'Monthly data'!M321),"")</x:f>
        <x:v>0.05278218543896948</x:v>
      </x:c>
      <x:c r="J321" s="8" t="n">
        <x:f>IF(ISNUMBER('Monthly data'!N321),LN(1+'Monthly data'!N321),"")</x:f>
        <x:v>2.753303960827914</x:v>
      </x:c>
      <x:c r="K321" s="8" t="n">
        <x:f>IF(COUNT('Monthly data'!F319:F321)=3,'Monthly data'!F321-2*'Monthly data'!F320+'Monthly data'!F319,"")</x:f>
        <x:v>-41.25</x:v>
      </x:c>
      <x:c r="L321" s="8" t="n">
        <x:f>IF(COUNT('Monthly data'!G319:G321)=3,'Monthly data'!G321-2*'Monthly data'!G320+'Monthly data'!G319,"")</x:f>
        <x:v>11.2549</x:v>
      </x:c>
      <x:c r="M321" s="8" t="n">
        <x:f>IF(COUNT('Monthly data'!H319:H321)=3,'Monthly data'!H321-2*'Monthly data'!H320+'Monthly data'!H319,"")</x:f>
        <x:v>-10.979800000000004</x:v>
      </x:c>
      <x:c r="N321" s="8" t="n">
        <x:f>IF(COUNT('Monthly data'!I319:I321)=3,'Monthly data'!I321-2*'Monthly data'!I320+'Monthly data'!I319,"")</x:f>
        <x:v>-29.807199999999987</x:v>
      </x:c>
      <x:c r="O321" s="8" t="n">
        <x:f>IF(COUNT('Monthly data'!J319:J321)=3,'Monthly data'!J321-2*'Monthly data'!J320+'Monthly data'!J319,"")</x:f>
        <x:v>2.3484</x:v>
      </x:c>
      <x:c r="P321" s="8" t="n">
        <x:f>IF(COUNT('Monthly data'!K319:K321)=3,'Monthly data'!K321-2*'Monthly data'!K320+'Monthly data'!K319,"")</x:f>
        <x:v>2.7345</x:v>
      </x:c>
      <x:c r="Q321" s="8" t="n">
        <x:f>IF(COUNT('Monthly data'!L319:L321)=3,'Monthly data'!L321-2*'Monthly data'!L320+'Monthly data'!L319,"")</x:f>
        <x:v>-15.3469</x:v>
      </x:c>
      <x:c r="R321" s="8" t="n">
        <x:f>IF(COUNT('Monthly data'!M319:M321)=3,'Monthly data'!M321-2*'Monthly data'!M320+'Monthly data'!M319,"")</x:f>
        <x:v>-1.2751000000000003</x:v>
      </x:c>
      <x:c r="S321" s="8" t="n">
        <x:f>IF(COUNT('Monthly data'!N319:N321)=3,'Monthly data'!N321-2*'Monthly data'!N320+'Monthly data'!N319,"")</x:f>
        <x:v>-0.17930000000000135</x:v>
      </x:c>
      <x:c r="T321" s="8" t="n">
        <x:f>IF(COUNT('Monthly data'!E320:E321)=2,'Monthly data'!E321-'Monthly data'!E320,"")</x:f>
        <x:v>-0.00710741309999996</x:v>
      </x:c>
    </x:row>
    <x:row r="322" ht="19" customHeight="1">
      <x:c r="A322" s="7" t="n">
        <x:f>'Monthly data'!A322</x:f>
        <x:v>42614</x:v>
      </x:c>
      <x:c r="B322" s="8" t="n">
        <x:f>IF(ISNUMBER('Monthly data'!F322),LN(1+'Monthly data'!F322),"")</x:f>
        <x:v>4.676280813446044</x:v>
      </x:c>
      <x:c r="C322" s="8" t="n">
        <x:f>IF(ISNUMBER('Monthly data'!G322),LN(1+'Monthly data'!G322),"")</x:f>
        <x:v>3.2364917493460115</x:v>
      </x:c>
      <x:c r="D322" s="8" t="n">
        <x:f>IF(ISNUMBER('Monthly data'!H322),LN(1+'Monthly data'!H322),"")</x:f>
        <x:v>3.423438210598051</x:v>
      </x:c>
      <x:c r="E322" s="8" t="n">
        <x:f>IF(ISNUMBER('Monthly data'!I322),LN(1+'Monthly data'!I322),"")</x:f>
        <x:v>3.1019823933966504</x:v>
      </x:c>
      <x:c r="F322" s="8" t="n">
        <x:f>IF(ISNUMBER('Monthly data'!J322),LN(1+'Monthly data'!J322),"")</x:f>
        <x:v>2.330851798702355</x:v>
      </x:c>
      <x:c r="G322" s="8" t="n">
        <x:f>IF(ISNUMBER('Monthly data'!K322),LN(1+'Monthly data'!K322),"")</x:f>
        <x:v>2.1492940435786694</x:v>
      </x:c>
      <x:c r="H322" s="8" t="n">
        <x:f>IF(ISNUMBER('Monthly data'!L322),LN(1+'Monthly data'!L322),"")</x:f>
        <x:v>0.5580145065684488</x:v>
      </x:c>
      <x:c r="I322" s="8" t="n">
        <x:f>IF(ISNUMBER('Monthly data'!M322),LN(1+'Monthly data'!M322),"")</x:f>
        <x:v>0.6733015523392392</x:v>
      </x:c>
      <x:c r="J322" s="8" t="n">
        <x:f>IF(ISNUMBER('Monthly data'!N322),LN(1+'Monthly data'!N322),"")</x:f>
        <x:v>2.5979079005417796</x:v>
      </x:c>
      <x:c r="K322" s="8" t="n">
        <x:f>IF(COUNT('Monthly data'!F320:F322)=3,'Monthly data'!F322-2*'Monthly data'!F321+'Monthly data'!F320,"")</x:f>
        <x:v>35.97</x:v>
      </x:c>
      <x:c r="L322" s="8" t="n">
        <x:f>IF(COUNT('Monthly data'!G320:G322)=3,'Monthly data'!G322-2*'Monthly data'!G321+'Monthly data'!G320,"")</x:f>
        <x:v>-11.664800000000003</x:v>
      </x:c>
      <x:c r="M322" s="8" t="n">
        <x:f>IF(COUNT('Monthly data'!H320:H322)=3,'Monthly data'!H322-2*'Monthly data'!H321+'Monthly data'!H320,"")</x:f>
        <x:v>14.823500000000003</x:v>
      </x:c>
      <x:c r="N322" s="8" t="n">
        <x:f>IF(COUNT('Monthly data'!I320:I322)=3,'Monthly data'!I322-2*'Monthly data'!I321+'Monthly data'!I320,"")</x:f>
        <x:v>27.574099999999998</x:v>
      </x:c>
      <x:c r="O322" s="8" t="n">
        <x:f>IF(COUNT('Monthly data'!J320:J322)=3,'Monthly data'!J322-2*'Monthly data'!J321+'Monthly data'!J320,"")</x:f>
        <x:v>-2.3409000000000004</x:v>
      </x:c>
      <x:c r="P322" s="8" t="n">
        <x:f>IF(COUNT('Monthly data'!K320:K322)=3,'Monthly data'!K322-2*'Monthly data'!K321+'Monthly data'!K320,"")</x:f>
        <x:v>2.9977</x:v>
      </x:c>
      <x:c r="Q322" s="8" t="n">
        <x:f>IF(COUNT('Monthly data'!L320:L322)=3,'Monthly data'!L322-2*'Monthly data'!L321+'Monthly data'!L320,"")</x:f>
        <x:v>3.5973999999999995</x:v>
      </x:c>
      <x:c r="R322" s="8" t="n">
        <x:f>IF(COUNT('Monthly data'!M320:M322)=3,'Monthly data'!M322-2*'Monthly data'!M321+'Monthly data'!M320,"")</x:f>
        <x:v>2.1139</x:v>
      </x:c>
      <x:c r="S322" s="8" t="n">
        <x:f>IF(COUNT('Monthly data'!N320:N322)=3,'Monthly data'!N322-2*'Monthly data'!N321+'Monthly data'!N320,"")</x:f>
        <x:v>-1.1304999999999996</x:v>
      </x:c>
      <x:c r="T322" s="8" t="n">
        <x:f>IF(COUNT('Monthly data'!E321:E322)=2,'Monthly data'!E322-'Monthly data'!E321,"")</x:f>
        <x:v>0.0045712022999993</x:v>
      </x:c>
    </x:row>
    <x:row r="323" ht="19" customHeight="1">
      <x:c r="A323" s="7" t="n">
        <x:f>'Monthly data'!A323</x:f>
        <x:v>42644</x:v>
      </x:c>
      <x:c r="B323" s="8" t="n">
        <x:f>IF(ISNUMBER('Monthly data'!F323),LN(1+'Monthly data'!F323),"")</x:f>
        <x:v>4.512177319138926</x:v>
      </x:c>
      <x:c r="C323" s="8" t="n">
        <x:f>IF(ISNUMBER('Monthly data'!G323),LN(1+'Monthly data'!G323),"")</x:f>
        <x:v>3.483845921972044</x:v>
      </x:c>
      <x:c r="D323" s="8" t="n">
        <x:f>IF(ISNUMBER('Monthly data'!H323),LN(1+'Monthly data'!H323),"")</x:f>
        <x:v>3.2899715504734806</x:v>
      </x:c>
      <x:c r="E323" s="8" t="n">
        <x:f>IF(ISNUMBER('Monthly data'!I323),LN(1+'Monthly data'!I323),"")</x:f>
        <x:v>2.353354250045618</x:v>
      </x:c>
      <x:c r="F323" s="8" t="n">
        <x:f>IF(ISNUMBER('Monthly data'!J323),LN(1+'Monthly data'!J323),"")</x:f>
        <x:v>1.9594325930161898</x:v>
      </x:c>
      <x:c r="G323" s="8" t="n">
        <x:f>IF(ISNUMBER('Monthly data'!K323),LN(1+'Monthly data'!K323),"")</x:f>
        <x:v>0.7458345028389518</x:v>
      </x:c>
      <x:c r="H323" s="8" t="n">
        <x:f>IF(ISNUMBER('Monthly data'!L323),LN(1+'Monthly data'!L323),"")</x:f>
        <x:v>0.6186391283848838</x:v>
      </x:c>
      <x:c r="I323" s="8" t="n">
        <x:f>IF(ISNUMBER('Monthly data'!M323),LN(1+'Monthly data'!M323),"")</x:f>
        <x:v>0.3739056392003985</x:v>
      </x:c>
      <x:c r="J323" s="8" t="n">
        <x:f>IF(ISNUMBER('Monthly data'!N323),LN(1+'Monthly data'!N323),"")</x:f>
        <x:v>2.7510458315633057</x:v>
      </x:c>
      <x:c r="K323" s="8" t="n">
        <x:f>IF(COUNT('Monthly data'!F321:F323)=3,'Monthly data'!F323-2*'Monthly data'!F322+'Monthly data'!F321,"")</x:f>
        <x:v>-27.730000000000004</x:v>
      </x:c>
      <x:c r="L323" s="8" t="n">
        <x:f>IF(COUNT('Monthly data'!G321:G323)=3,'Monthly data'!G323-2*'Monthly data'!G322+'Monthly data'!G321,"")</x:f>
        <x:v>7.584500000000006</x:v>
      </x:c>
      <x:c r="M323" s="8" t="n">
        <x:f>IF(COUNT('Monthly data'!H321:H323)=3,'Monthly data'!H323-2*'Monthly data'!H322+'Monthly data'!H321,"")</x:f>
        <x:v>-10.6795</x:v>
      </x:c>
      <x:c r="N323" s="8" t="n">
        <x:f>IF(COUNT('Monthly data'!I321:I323)=3,'Monthly data'!I323-2*'Monthly data'!I322+'Monthly data'!I321,"")</x:f>
        <x:v>-14.419</x:v>
      </x:c>
      <x:c r="O323" s="8" t="n">
        <x:f>IF(COUNT('Monthly data'!J321:J323)=3,'Monthly data'!J323-2*'Monthly data'!J322+'Monthly data'!J321,"")</x:f>
        <x:v>-4.561599999999999</x:v>
      </x:c>
      <x:c r="P323" s="8" t="n">
        <x:f>IF(COUNT('Monthly data'!K321:K323)=3,'Monthly data'!K323-2*'Monthly data'!K322+'Monthly data'!K321,"")</x:f>
        <x:v>-11.3383</x:v>
      </x:c>
      <x:c r="Q323" s="8" t="n">
        <x:f>IF(COUNT('Monthly data'!L321:L323)=3,'Monthly data'!L323-2*'Monthly data'!L322+'Monthly data'!L321,"")</x:f>
        <x:v>2.6154</x:v>
      </x:c>
      <x:c r="R323" s="8" t="n">
        <x:f>IF(COUNT('Monthly data'!M321:M323)=3,'Monthly data'!M323-2*'Monthly data'!M322+'Monthly data'!M321,"")</x:f>
        <x:v>-1.4138</x:v>
      </x:c>
      <x:c r="S323" s="8" t="n">
        <x:f>IF(COUNT('Monthly data'!N321:N323)=3,'Monthly data'!N323-2*'Monthly data'!N322+'Monthly data'!N321,"")</x:f>
        <x:v>4.482199999999999</x:v>
      </x:c>
      <x:c r="T323" s="8" t="n">
        <x:f>IF(COUNT('Monthly data'!E322:E323)=2,'Monthly data'!E323-'Monthly data'!E322,"")</x:f>
        <x:v>0.014284412200000318</x:v>
      </x:c>
    </x:row>
    <x:row r="324" ht="19" customHeight="1">
      <x:c r="A324" s="7" t="n">
        <x:f>'Monthly data'!A324</x:f>
        <x:v>42675</x:v>
      </x:c>
      <x:c r="B324" s="8" t="n">
        <x:f>IF(ISNUMBER('Monthly data'!F324),LN(1+'Monthly data'!F324),"")</x:f>
        <x:v>4.525369115784536</x:v>
      </x:c>
      <x:c r="C324" s="8" t="n">
        <x:f>IF(ISNUMBER('Monthly data'!G324),LN(1+'Monthly data'!G324),"")</x:f>
        <x:v>3.13962047381474</x:v>
      </x:c>
      <x:c r="D324" s="8" t="n">
        <x:f>IF(ISNUMBER('Monthly data'!H324),LN(1+'Monthly data'!H324),"")</x:f>
        <x:v>3.738290853848018</x:v>
      </x:c>
      <x:c r="E324" s="8" t="n">
        <x:f>IF(ISNUMBER('Monthly data'!I324),LN(1+'Monthly data'!I324),"")</x:f>
        <x:v>2.281882260634844</x:v>
      </x:c>
      <x:c r="F324" s="8" t="n">
        <x:f>IF(ISNUMBER('Monthly data'!J324),LN(1+'Monthly data'!J324),"")</x:f>
        <x:v>1.5702187992795391</x:v>
      </x:c>
      <x:c r="G324" s="8" t="n">
        <x:f>IF(ISNUMBER('Monthly data'!K324),LN(1+'Monthly data'!K324),"")</x:f>
        <x:v>0.8952713646500796</x:v>
      </x:c>
      <x:c r="H324" s="8" t="n">
        <x:f>IF(ISNUMBER('Monthly data'!L324),LN(1+'Monthly data'!L324),"")</x:f>
        <x:v>0.5289798343460328</x:v>
      </x:c>
      <x:c r="I324" s="8" t="n">
        <x:f>IF(ISNUMBER('Monthly data'!M324),LN(1+'Monthly data'!M324),"")</x:f>
        <x:v>0.8731326775563522</x:v>
      </x:c>
      <x:c r="J324" s="8" t="n">
        <x:f>IF(ISNUMBER('Monthly data'!N324),LN(1+'Monthly data'!N324),"")</x:f>
        <x:v>2.5700517029449195</x:v>
      </x:c>
      <x:c r="K324" s="8" t="n">
        <x:f>IF(COUNT('Monthly data'!F322:F324)=3,'Monthly data'!F324-2*'Monthly data'!F323+'Monthly data'!F322,"")</x:f>
        <x:v>17.459999999999994</x:v>
      </x:c>
      <x:c r="L324" s="8" t="n">
        <x:f>IF(COUNT('Monthly data'!G322:G324)=3,'Monthly data'!G324-2*'Monthly data'!G323+'Monthly data'!G322,"")</x:f>
        <x:v>-16.630200000000002</x:v>
      </x:c>
      <x:c r="M324" s="8" t="n">
        <x:f>IF(COUNT('Monthly data'!H322:H324)=3,'Monthly data'!H324-2*'Monthly data'!H323+'Monthly data'!H322,"")</x:f>
        <x:v>19.016600000000004</x:v>
      </x:c>
      <x:c r="N324" s="8" t="n">
        <x:f>IF(COUNT('Monthly data'!I322:I324)=3,'Monthly data'!I324-2*'Monthly data'!I323+'Monthly data'!I322,"")</x:f>
        <x:v>10.995500000000002</x:v>
      </x:c>
      <x:c r="O324" s="8" t="n">
        <x:f>IF(COUNT('Monthly data'!J322:J324)=3,'Monthly data'!J324-2*'Monthly data'!J323+'Monthly data'!J322,"")</x:f>
        <x:v>0.9038000000000004</x:v>
      </x:c>
      <x:c r="P324" s="8" t="n">
        <x:f>IF(COUNT('Monthly data'!K322:K324)=3,'Monthly data'!K324-2*'Monthly data'!K323+'Monthly data'!K322,"")</x:f>
        <x:v>6.8104</x:v>
      </x:c>
      <x:c r="Q324" s="8" t="n">
        <x:f>IF(COUNT('Monthly data'!L322:L324)=3,'Monthly data'!L324-2*'Monthly data'!L323+'Monthly data'!L322,"")</x:f>
        <x:v>-0.2684000000000001</x:v>
      </x:c>
      <x:c r="R324" s="8" t="n">
        <x:f>IF(COUNT('Monthly data'!M322:M324)=3,'Monthly data'!M324-2*'Monthly data'!M323+'Monthly data'!M322,"")</x:f>
        <x:v>1.4483000000000001</x:v>
      </x:c>
      <x:c r="S324" s="8" t="n">
        <x:f>IF(COUNT('Monthly data'!N322:N324)=3,'Monthly data'!N324-2*'Monthly data'!N323+'Monthly data'!N322,"")</x:f>
        <x:v>-4.815899999999999</x:v>
      </x:c>
      <x:c r="T324" s="8" t="n">
        <x:f>IF(COUNT('Monthly data'!E323:E324)=2,'Monthly data'!E324-'Monthly data'!E323,"")</x:f>
        <x:v>0.012089282599999862</x:v>
      </x:c>
    </x:row>
    <x:row r="325" ht="19" customHeight="1">
      <x:c r="A325" s="7" t="n">
        <x:f>'Monthly data'!A325</x:f>
        <x:v>42705</x:v>
      </x:c>
      <x:c r="B325" s="8" t="n">
        <x:f>IF(ISNUMBER('Monthly data'!F325),LN(1+'Monthly data'!F325),"")</x:f>
        <x:v>4.899852698084617</x:v>
      </x:c>
      <x:c r="C325" s="8" t="n">
        <x:f>IF(ISNUMBER('Monthly data'!G325),LN(1+'Monthly data'!G325),"")</x:f>
        <x:v>3.1461889962576093</x:v>
      </x:c>
      <x:c r="D325" s="8" t="n">
        <x:f>IF(ISNUMBER('Monthly data'!H325),LN(1+'Monthly data'!H325),"")</x:f>
        <x:v>3.9859683929371297</x:v>
      </x:c>
      <x:c r="E325" s="8" t="n">
        <x:f>IF(ISNUMBER('Monthly data'!I325),LN(1+'Monthly data'!I325),"")</x:f>
        <x:v>3.153069300153776</x:v>
      </x:c>
      <x:c r="F325" s="8" t="n">
        <x:f>IF(ISNUMBER('Monthly data'!J325),LN(1+'Monthly data'!J325),"")</x:f>
        <x:v>1.9212075364149415</x:v>
      </x:c>
      <x:c r="G325" s="8" t="n">
        <x:f>IF(ISNUMBER('Monthly data'!K325),LN(1+'Monthly data'!K325),"")</x:f>
        <x:v>1.9054303578815754</x:v>
      </x:c>
      <x:c r="H325" s="8" t="n">
        <x:f>IF(ISNUMBER('Monthly data'!L325),LN(1+'Monthly data'!L325),"")</x:f>
        <x:v>0.5588726547374767</x:v>
      </x:c>
      <x:c r="I325" s="8" t="n">
        <x:f>IF(ISNUMBER('Monthly data'!M325),LN(1+'Monthly data'!M325),"")</x:f>
        <x:v>1.8050869294389171</x:v>
      </x:c>
      <x:c r="J325" s="8" t="n">
        <x:f>IF(ISNUMBER('Monthly data'!N325),LN(1+'Monthly data'!N325),"")</x:f>
        <x:v>2.9651081040101817</x:v>
      </x:c>
      <x:c r="K325" s="8" t="n">
        <x:f>IF(COUNT('Monthly data'!F323:F325)=3,'Monthly data'!F325-2*'Monthly data'!F324+'Monthly data'!F323,"")</x:f>
        <x:v>40.73000000000002</x:v>
      </x:c>
      <x:c r="L325" s="8" t="n">
        <x:f>IF(COUNT('Monthly data'!G323:G325)=3,'Monthly data'!G325-2*'Monthly data'!G324+'Monthly data'!G323,"")</x:f>
        <x:v>9.641900000000003</x:v>
      </x:c>
      <x:c r="M325" s="8" t="n">
        <x:f>IF(COUNT('Monthly data'!H323:H325)=3,'Monthly data'!H325-2*'Monthly data'!H324+'Monthly data'!H323,"")</x:f>
        <x:v>-3.3726999999999983</x:v>
      </x:c>
      <x:c r="N325" s="8" t="n">
        <x:f>IF(COUNT('Monthly data'!I323:I325)=3,'Monthly data'!I325-2*'Monthly data'!I324+'Monthly data'!I323,"")</x:f>
        <x:v>14.338400000000002</x:v>
      </x:c>
      <x:c r="O325" s="8" t="n">
        <x:f>IF(COUNT('Monthly data'!J323:J325)=3,'Monthly data'!J325-2*'Monthly data'!J324+'Monthly data'!J323,"")</x:f>
        <x:v>4.3091</x:v>
      </x:c>
      <x:c r="P325" s="8" t="n">
        <x:f>IF(COUNT('Monthly data'!K323:K325)=3,'Monthly data'!K325-2*'Monthly data'!K324+'Monthly data'!K323,"")</x:f>
        <x:v>3.9345</x:v>
      </x:c>
      <x:c r="Q325" s="8" t="n">
        <x:f>IF(COUNT('Monthly data'!L323:L325)=3,'Monthly data'!L325-2*'Monthly data'!L324+'Monthly data'!L323,"")</x:f>
        <x:v>0.2107</x:v>
      </x:c>
      <x:c r="R325" s="8" t="n">
        <x:f>IF(COUNT('Monthly data'!M323:M325)=3,'Monthly data'!M325-2*'Monthly data'!M324+'Monthly data'!M323,"")</x:f>
        <x:v>2.7451</x:v>
      </x:c>
      <x:c r="S325" s="8" t="n">
        <x:f>IF(COUNT('Monthly data'!N323:N325)=3,'Monthly data'!N325-2*'Monthly data'!N324+'Monthly data'!N323,"")</x:f>
        <x:v>8.9228</x:v>
      </x:c>
      <x:c r="T325" s="8" t="n">
        <x:f>IF(COUNT('Monthly data'!E324:E325)=2,'Monthly data'!E325-'Monthly data'!E324,"")</x:f>
        <x:v>-0.006699139800000253</x:v>
      </x:c>
    </x:row>
    <x:row r="326" ht="19" customHeight="1">
      <x:c r="A326" s="7" t="n">
        <x:f>'Monthly data'!A326</x:f>
        <x:v>42736</x:v>
      </x:c>
      <x:c r="B326" s="8" t="n">
        <x:f>IF(ISNUMBER('Monthly data'!F326),LN(1+'Monthly data'!F326),"")</x:f>
        <x:v>4.747103681876758</x:v>
      </x:c>
      <x:c r="C326" s="8" t="n">
        <x:f>IF(ISNUMBER('Monthly data'!G326),LN(1+'Monthly data'!G326),"")</x:f>
        <x:v>2.7372788517623396</x:v>
      </x:c>
      <x:c r="D326" s="8" t="n">
        <x:f>IF(ISNUMBER('Monthly data'!H326),LN(1+'Monthly data'!H326),"")</x:f>
        <x:v>4.132478146203004</x:v>
      </x:c>
      <x:c r="E326" s="8" t="n">
        <x:f>IF(ISNUMBER('Monthly data'!I326),LN(1+'Monthly data'!I326),"")</x:f>
        <x:v>2.775870830225921</x:v>
      </x:c>
      <x:c r="F326" s="8" t="n">
        <x:f>IF(ISNUMBER('Monthly data'!J326),LN(1+'Monthly data'!J326),"")</x:f>
        <x:v>1.7194038070359146</x:v>
      </x:c>
      <x:c r="G326" s="8" t="n">
        <x:f>IF(ISNUMBER('Monthly data'!K326),LN(1+'Monthly data'!K326),"")</x:f>
        <x:v>1.5259476019350748</x:v>
      </x:c>
      <x:c r="H326" s="8" t="n">
        <x:f>IF(ISNUMBER('Monthly data'!L326),LN(1+'Monthly data'!L326),"")</x:f>
        <x:v>0.635623994316279</x:v>
      </x:c>
      <x:c r="I326" s="8" t="n">
        <x:f>IF(ISNUMBER('Monthly data'!M326),LN(1+'Monthly data'!M326),"")</x:f>
        <x:v>1.2596818349840195</x:v>
      </x:c>
      <x:c r="J326" s="8" t="n">
        <x:f>IF(ISNUMBER('Monthly data'!N326),LN(1+'Monthly data'!N326),"")</x:f>
        <x:v>2.5515523243177136</x:v>
      </x:c>
      <x:c r="K326" s="8" t="n">
        <x:f>IF(COUNT('Monthly data'!F324:F326)=3,'Monthly data'!F326-2*'Monthly data'!F325+'Monthly data'!F324,"")</x:f>
        <x:v>-60.96000000000002</x:v>
      </x:c>
      <x:c r="L326" s="8" t="n">
        <x:f>IF(COUNT('Monthly data'!G324:G326)=3,'Monthly data'!G326-2*'Monthly data'!G325+'Monthly data'!G324,"")</x:f>
        <x:v>-7.954599999999999</x:v>
      </x:c>
      <x:c r="M326" s="8" t="n">
        <x:f>IF(COUNT('Monthly data'!H324:H326)=3,'Monthly data'!H326-2*'Monthly data'!H325+'Monthly data'!H324,"")</x:f>
        <x:v>-3.316500000000005</x:v>
      </x:c>
      <x:c r="N326" s="8" t="n">
        <x:f>IF(COUNT('Monthly data'!I324:I326)=3,'Monthly data'!I326-2*'Monthly data'!I325+'Monthly data'!I324,"")</x:f>
        <x:v>-20.967900000000007</x:v>
      </x:c>
      <x:c r="O326" s="8" t="n">
        <x:f>IF(COUNT('Monthly data'!J324:J326)=3,'Monthly data'!J326-2*'Monthly data'!J325+'Monthly data'!J324,"")</x:f>
        <x:v>-3.2695000000000003</x:v>
      </x:c>
      <x:c r="P326" s="8" t="n">
        <x:f>IF(COUNT('Monthly data'!K324:K326)=3,'Monthly data'!K326-2*'Monthly data'!K325+'Monthly data'!K324,"")</x:f>
        <x:v>-6.3971</x:v>
      </x:c>
      <x:c r="Q326" s="8" t="n">
        <x:f>IF(COUNT('Monthly data'!L324:L326)=3,'Monthly data'!L326-2*'Monthly data'!L325+'Monthly data'!L324,"")</x:f>
        <x:v>0.08799999999999997</x:v>
      </x:c>
      <x:c r="R326" s="8" t="n">
        <x:f>IF(COUNT('Monthly data'!M324:M326)=3,'Monthly data'!M326-2*'Monthly data'!M325+'Monthly data'!M324,"")</x:f>
        <x:v>-6.242299999999999</x:v>
      </x:c>
      <x:c r="S326" s="8" t="n">
        <x:f>IF(COUNT('Monthly data'!N324:N326)=3,'Monthly data'!N326-2*'Monthly data'!N325+'Monthly data'!N324,"")</x:f>
        <x:v>-12.9001</x:v>
      </x:c>
      <x:c r="T326" s="8" t="n">
        <x:f>IF(COUNT('Monthly data'!E325:E326)=2,'Monthly data'!E326-'Monthly data'!E325,"")</x:f>
        <x:v>-0.012132536399999339</x:v>
      </x:c>
    </x:row>
    <x:row r="327" ht="19" customHeight="1">
      <x:c r="A327" s="7" t="n">
        <x:f>'Monthly data'!A327</x:f>
        <x:v>42767</x:v>
      </x:c>
      <x:c r="B327" s="8" t="n">
        <x:f>IF(ISNUMBER('Monthly data'!F327),LN(1+'Monthly data'!F327),"")</x:f>
        <x:v>4.847645665601793</x:v>
      </x:c>
      <x:c r="C327" s="8" t="n">
        <x:f>IF(ISNUMBER('Monthly data'!G327),LN(1+'Monthly data'!G327),"")</x:f>
        <x:v>2.9104031172011187</x:v>
      </x:c>
      <x:c r="D327" s="8" t="n">
        <x:f>IF(ISNUMBER('Monthly data'!H327),LN(1+'Monthly data'!H327),"")</x:f>
        <x:v>4.1988592202432</x:v>
      </x:c>
      <x:c r="E327" s="8" t="n">
        <x:f>IF(ISNUMBER('Monthly data'!I327),LN(1+'Monthly data'!I327),"")</x:f>
        <x:v>2.8229015361133705</x:v>
      </x:c>
      <x:c r="F327" s="8" t="n">
        <x:f>IF(ISNUMBER('Monthly data'!J327),LN(1+'Monthly data'!J327),"")</x:f>
        <x:v>1.4320083702005713</x:v>
      </x:c>
      <x:c r="G327" s="8" t="n">
        <x:f>IF(ISNUMBER('Monthly data'!K327),LN(1+'Monthly data'!K327),"")</x:f>
        <x:v>1.8009504359296402</x:v>
      </x:c>
      <x:c r="H327" s="8" t="n">
        <x:f>IF(ISNUMBER('Monthly data'!L327),LN(1+'Monthly data'!L327),"")</x:f>
        <x:v>0.10426992117579686</x:v>
      </x:c>
      <x:c r="I327" s="8" t="n">
        <x:f>IF(ISNUMBER('Monthly data'!M327),LN(1+'Monthly data'!M327),"")</x:f>
        <x:v>1.3780857625700018</x:v>
      </x:c>
      <x:c r="J327" s="8" t="n">
        <x:f>IF(ISNUMBER('Monthly data'!N327),LN(1+'Monthly data'!N327),"")</x:f>
        <x:v>2.85187345041173</x:v>
      </x:c>
      <x:c r="K327" s="8" t="n">
        <x:f>IF(COUNT('Monthly data'!F325:F327)=3,'Monthly data'!F327-2*'Monthly data'!F326+'Monthly data'!F325,"")</x:f>
        <x:v>31.210000000000008</x:v>
      </x:c>
      <x:c r="L327" s="8" t="n">
        <x:f>IF(COUNT('Monthly data'!G325:G327)=3,'Monthly data'!G327-2*'Monthly data'!G326+'Monthly data'!G325,"")</x:f>
        <x:v>10.721699999999998</x:v>
      </x:c>
      <x:c r="M327" s="8" t="n">
        <x:f>IF(COUNT('Monthly data'!H325:H327)=3,'Monthly data'!H327-2*'Monthly data'!H326+'Monthly data'!H325,"")</x:f>
        <x:v>-4.216700000000003</x:v>
      </x:c>
      <x:c r="N327" s="8" t="n">
        <x:f>IF(COUNT('Monthly data'!I325:I327)=3,'Monthly data'!I327-2*'Monthly data'!I326+'Monthly data'!I325,"")</x:f>
        <x:v>8.128200000000001</x:v>
      </x:c>
      <x:c r="O327" s="8" t="n">
        <x:f>IF(COUNT('Monthly data'!J325:J327)=3,'Monthly data'!J327-2*'Monthly data'!J326+'Monthly data'!J325,"")</x:f>
        <x:v>-0.14609999999999967</x:v>
      </x:c>
      <x:c r="P327" s="8" t="n">
        <x:f>IF(COUNT('Monthly data'!K325:K327)=3,'Monthly data'!K327-2*'Monthly data'!K326+'Monthly data'!K325,"")</x:f>
        <x:v>3.5786999999999995</x:v>
      </x:c>
      <x:c r="Q327" s="8" t="n">
        <x:f>IF(COUNT('Monthly data'!L325:L327)=3,'Monthly data'!L327-2*'Monthly data'!L326+'Monthly data'!L325,"")</x:f>
        <x:v>-0.9178000000000001</x:v>
      </x:c>
      <x:c r="R327" s="8" t="n">
        <x:f>IF(COUNT('Monthly data'!M325:M327)=3,'Monthly data'!M327-2*'Monthly data'!M326+'Monthly data'!M325,"")</x:f>
        <x:v>2.999199999999999</x:v>
      </x:c>
      <x:c r="S327" s="8" t="n">
        <x:f>IF(COUNT('Monthly data'!N325:N327)=3,'Monthly data'!N327-2*'Monthly data'!N326+'Monthly data'!N325,"")</x:f>
        <x:v>11.062999999999999</x:v>
      </x:c>
      <x:c r="T327" s="8" t="n">
        <x:f>IF(COUNT('Monthly data'!E326:E327)=2,'Monthly data'!E327-'Monthly data'!E326,"")</x:f>
        <x:v>-0.001512596200001326</x:v>
      </x:c>
    </x:row>
    <x:row r="328" ht="19" customHeight="1">
      <x:c r="A328" s="7" t="n">
        <x:f>'Monthly data'!A328</x:f>
        <x:v>42795</x:v>
      </x:c>
      <x:c r="B328" s="8" t="n">
        <x:f>IF(ISNUMBER('Monthly data'!F328),LN(1+'Monthly data'!F328),"")</x:f>
        <x:v>4.706823839714591</x:v>
      </x:c>
      <x:c r="C328" s="8" t="n">
        <x:f>IF(ISNUMBER('Monthly data'!G328),LN(1+'Monthly data'!G328),"")</x:f>
        <x:v>3.1853479964527294</x:v>
      </x:c>
      <x:c r="D328" s="8" t="n">
        <x:f>IF(ISNUMBER('Monthly data'!H328),LN(1+'Monthly data'!H328),"")</x:f>
        <x:v>3.829275977708532</x:v>
      </x:c>
      <x:c r="E328" s="8" t="n">
        <x:f>IF(ISNUMBER('Monthly data'!I328),LN(1+'Monthly data'!I328),"")</x:f>
        <x:v>2.694600153377806</x:v>
      </x:c>
      <x:c r="F328" s="8" t="n">
        <x:f>IF(ISNUMBER('Monthly data'!J328),LN(1+'Monthly data'!J328),"")</x:f>
        <x:v>1.4171629847823568</x:v>
      </x:c>
      <x:c r="G328" s="8" t="n">
        <x:f>IF(ISNUMBER('Monthly data'!K328),LN(1+'Monthly data'!K328),"")</x:f>
        <x:v>2.1344977474279143</x:v>
      </x:c>
      <x:c r="H328" s="8" t="n">
        <x:f>IF(ISNUMBER('Monthly data'!L328),LN(1+'Monthly data'!L328),"")</x:f>
        <x:v>0.5430217219823076</x:v>
      </x:c>
      <x:c r="I328" s="8" t="n">
        <x:f>IF(ISNUMBER('Monthly data'!M328),LN(1+'Monthly data'!M328),"")</x:f>
        <x:v>0.9503829320419244</x:v>
      </x:c>
      <x:c r="J328" s="8" t="n">
        <x:f>IF(ISNUMBER('Monthly data'!N328),LN(1+'Monthly data'!N328),"")</x:f>
        <x:v>2.760604699837099</x:v>
      </x:c>
      <x:c r="K328" s="8" t="n">
        <x:f>IF(COUNT('Monthly data'!F326:F328)=3,'Monthly data'!F328-2*'Monthly data'!F327+'Monthly data'!F326,"")</x:f>
        <x:v>-28.930000000000007</x:v>
      </x:c>
      <x:c r="L328" s="8" t="n">
        <x:f>IF(COUNT('Monthly data'!G326:G328)=3,'Monthly data'!G328-2*'Monthly data'!G327+'Monthly data'!G326,"")</x:f>
        <x:v>2.892199999999999</x:v>
      </x:c>
      <x:c r="M328" s="8" t="n">
        <x:f>IF(COUNT('Monthly data'!H326:H328)=3,'Monthly data'!H328-2*'Monthly data'!H327+'Monthly data'!H326,"")</x:f>
        <x:v>-24.859199999999987</x:v>
      </x:c>
      <x:c r="N328" s="8" t="n">
        <x:f>IF(COUNT('Monthly data'!I326:I328)=3,'Monthly data'!I328-2*'Monthly data'!I327+'Monthly data'!I326,"")</x:f>
        <x:v>-2.7989999999999977</x:v>
      </x:c>
      <x:c r="O328" s="8" t="n">
        <x:f>IF(COUNT('Monthly data'!J326:J328)=3,'Monthly data'!J328-2*'Monthly data'!J327+'Monthly data'!J326,"")</x:f>
        <x:v>1.3323999999999998</x:v>
      </x:c>
      <x:c r="P328" s="8" t="n">
        <x:f>IF(COUNT('Monthly data'!K326:K328)=3,'Monthly data'!K328-2*'Monthly data'!K327+'Monthly data'!K326,"")</x:f>
        <x:v>0.9415000000000004</x:v>
      </x:c>
      <x:c r="Q328" s="8" t="n">
        <x:f>IF(COUNT('Monthly data'!L326:L328)=3,'Monthly data'!L328-2*'Monthly data'!L327+'Monthly data'!L326,"")</x:f>
        <x:v>1.3896</x:v>
      </x:c>
      <x:c r="R328" s="8" t="n">
        <x:f>IF(COUNT('Monthly data'!M326:M328)=3,'Monthly data'!M328-2*'Monthly data'!M327+'Monthly data'!M326,"")</x:f>
        <x:v>-1.823599999999999</x:v>
      </x:c>
      <x:c r="S328" s="8" t="n">
        <x:f>IF(COUNT('Monthly data'!N326:N328)=3,'Monthly data'!N328-2*'Monthly data'!N327+'Monthly data'!N326,"")</x:f>
        <x:v>-6.004</x:v>
      </x:c>
      <x:c r="T328" s="8" t="n">
        <x:f>IF(COUNT('Monthly data'!E327:E328)=2,'Monthly data'!E328-'Monthly data'!E327,"")</x:f>
        <x:v>-0.006155855699999435</x:v>
      </x:c>
    </x:row>
    <x:row r="329" ht="19" customHeight="1">
      <x:c r="A329" s="7" t="n">
        <x:f>'Monthly data'!A329</x:f>
        <x:v>42826</x:v>
      </x:c>
      <x:c r="B329" s="8" t="n">
        <x:f>IF(ISNUMBER('Monthly data'!F329),LN(1+'Monthly data'!F329),"")</x:f>
        <x:v>4.9005971888873185</x:v>
      </x:c>
      <x:c r="C329" s="8" t="n">
        <x:f>IF(ISNUMBER('Monthly data'!G329),LN(1+'Monthly data'!G329),"")</x:f>
        <x:v>3.7314766719923798</x:v>
      </x:c>
      <x:c r="D329" s="8" t="n">
        <x:f>IF(ISNUMBER('Monthly data'!H329),LN(1+'Monthly data'!H329),"")</x:f>
        <x:v>3.7241645482531966</x:v>
      </x:c>
      <x:c r="E329" s="8" t="n">
        <x:f>IF(ISNUMBER('Monthly data'!I329),LN(1+'Monthly data'!I329),"")</x:f>
        <x:v>2.8690686721416636</x:v>
      </x:c>
      <x:c r="F329" s="8" t="n">
        <x:f>IF(ISNUMBER('Monthly data'!J329),LN(1+'Monthly data'!J329),"")</x:f>
        <x:v>1.9645075685875768</x:v>
      </x:c>
      <x:c r="G329" s="8" t="n">
        <x:f>IF(ISNUMBER('Monthly data'!K329),LN(1+'Monthly data'!K329),"")</x:f>
        <x:v>2.696894877870581</x:v>
      </x:c>
      <x:c r="H329" s="8" t="n">
        <x:f>IF(ISNUMBER('Monthly data'!L329),LN(1+'Monthly data'!L329),"")</x:f>
        <x:v>0.7246942960580748</x:v>
      </x:c>
      <x:c r="I329" s="8" t="n">
        <x:f>IF(ISNUMBER('Monthly data'!M329),LN(1+'Monthly data'!M329),"")</x:f>
        <x:v>1.2478939913838643</x:v>
      </x:c>
      <x:c r="J329" s="8" t="n">
        <x:f>IF(ISNUMBER('Monthly data'!N329),LN(1+'Monthly data'!N329),"")</x:f>
        <x:v>2.5695617807868114</x:v>
      </x:c>
      <x:c r="K329" s="8" t="n">
        <x:f>IF(COUNT('Monthly data'!F327:F329)=3,'Monthly data'!F329-2*'Monthly data'!F328+'Monthly data'!F327,"")</x:f>
        <x:v>40.41</x:v>
      </x:c>
      <x:c r="L329" s="8" t="n">
        <x:f>IF(COUNT('Monthly data'!G327:G329)=3,'Monthly data'!G329-2*'Monthly data'!G328+'Monthly data'!G327,"")</x:f>
        <x:v>11.753499999999999</x:v>
      </x:c>
      <x:c r="M329" s="8" t="n">
        <x:f>IF(COUNT('Monthly data'!H327:H329)=3,'Monthly data'!H329-2*'Monthly data'!H328+'Monthly data'!H327,"")</x:f>
        <x:v>15.988499999999988</x:v>
      </x:c>
      <x:c r="N329" s="8" t="n">
        <x:f>IF(COUNT('Monthly data'!I327:I329)=3,'Monthly data'!I329-2*'Monthly data'!I328+'Monthly data'!I327,"")</x:f>
        <x:v>4.8469999999999995</x:v>
      </x:c>
      <x:c r="O329" s="8" t="n">
        <x:f>IF(COUNT('Monthly data'!J327:J329)=3,'Monthly data'!J329-2*'Monthly data'!J328+'Monthly data'!J327,"")</x:f>
        <x:v>3.0677000000000003</x:v>
      </x:c>
      <x:c r="P329" s="8" t="n">
        <x:f>IF(COUNT('Monthly data'!K327:K329)=3,'Monthly data'!K329-2*'Monthly data'!K328+'Monthly data'!K327,"")</x:f>
        <x:v>3.9834000000000005</x:v>
      </x:c>
      <x:c r="Q329" s="8" t="n">
        <x:f>IF(COUNT('Monthly data'!L327:L329)=3,'Monthly data'!L329-2*'Monthly data'!L328+'Monthly data'!L327,"")</x:f>
        <x:v>-0.26839999999999986</x:v>
      </x:c>
      <x:c r="R329" s="8" t="n">
        <x:f>IF(COUNT('Monthly data'!M327:M329)=3,'Monthly data'!M329-2*'Monthly data'!M328+'Monthly data'!M327,"")</x:f>
        <x:v>2.2769</x:v>
      </x:c>
      <x:c r="S329" s="8" t="n">
        <x:f>IF(COUNT('Monthly data'!N327:N329)=3,'Monthly data'!N329-2*'Monthly data'!N328+'Monthly data'!N327,"")</x:f>
        <x:v>-1.238500000000002</x:v>
      </x:c>
      <x:c r="T329" s="8" t="n">
        <x:f>IF(COUNT('Monthly data'!E328:E329)=2,'Monthly data'!E329-'Monthly data'!E328,"")</x:f>
        <x:v>-0.006331500800000001</x:v>
      </x:c>
    </x:row>
    <x:row r="330" ht="19" customHeight="1">
      <x:c r="A330" s="7" t="n">
        <x:f>'Monthly data'!A330</x:f>
        <x:v>42856</x:v>
      </x:c>
      <x:c r="B330" s="8" t="n">
        <x:f>IF(ISNUMBER('Monthly data'!F330),LN(1+'Monthly data'!F330),"")</x:f>
        <x:v>4.8109640989671885</x:v>
      </x:c>
      <x:c r="C330" s="8" t="n">
        <x:f>IF(ISNUMBER('Monthly data'!G330),LN(1+'Monthly data'!G330),"")</x:f>
        <x:v>2.9808064353673727</x:v>
      </x:c>
      <x:c r="D330" s="8" t="n">
        <x:f>IF(ISNUMBER('Monthly data'!H330),LN(1+'Monthly data'!H330),"")</x:f>
        <x:v>4.0046878712908685</x:v>
      </x:c>
      <x:c r="E330" s="8" t="n">
        <x:f>IF(ISNUMBER('Monthly data'!I330),LN(1+'Monthly data'!I330),"")</x:f>
        <x:v>3.0084164877027084</x:v>
      </x:c>
      <x:c r="F330" s="8" t="n">
        <x:f>IF(ISNUMBER('Monthly data'!J330),LN(1+'Monthly data'!J330),"")</x:f>
        <x:v>1.5708841768018522</x:v>
      </x:c>
      <x:c r="G330" s="8" t="n">
        <x:f>IF(ISNUMBER('Monthly data'!K330),LN(1+'Monthly data'!K330),"")</x:f>
        <x:v>1.9339821496184477</x:v>
      </x:c>
      <x:c r="H330" s="8" t="n">
        <x:f>IF(ISNUMBER('Monthly data'!L330),LN(1+'Monthly data'!L330),"")</x:f>
        <x:v>0.4063980061567648</x:v>
      </x:c>
      <x:c r="I330" s="8" t="n">
        <x:f>IF(ISNUMBER('Monthly data'!M330),LN(1+'Monthly data'!M330),"")</x:f>
        <x:v>0.8345165260224705</x:v>
      </x:c>
      <x:c r="J330" s="8" t="n">
        <x:f>IF(ISNUMBER('Monthly data'!N330),LN(1+'Monthly data'!N330),"")</x:f>
        <x:v>2.970573427293591</x:v>
      </x:c>
      <x:c r="K330" s="8" t="n">
        <x:f>IF(COUNT('Monthly data'!F328:F330)=3,'Monthly data'!F330-2*'Monthly data'!F329+'Monthly data'!F328,"")</x:f>
        <x:v>-35.19000000000001</x:v>
      </x:c>
      <x:c r="L330" s="8" t="n">
        <x:f>IF(COUNT('Monthly data'!G328:G330)=3,'Monthly data'!G330-2*'Monthly data'!G329+'Monthly data'!G328,"")</x:f>
        <x:v>-39.602</x:v>
      </x:c>
      <x:c r="M330" s="8" t="n">
        <x:f>IF(COUNT('Monthly data'!H328:H330)=3,'Monthly data'!H330-2*'Monthly data'!H329+'Monthly data'!H328,"")</x:f>
        <x:v>18.010700000000007</x:v>
      </x:c>
      <x:c r="N330" s="8" t="n">
        <x:f>IF(COUNT('Monthly data'!I328:I330)=3,'Monthly data'!I330-2*'Monthly data'!I329+'Monthly data'!I328,"")</x:f>
        <x:v>-0.18630000000000102</x:v>
      </x:c>
      <x:c r="O330" s="8" t="n">
        <x:f>IF(COUNT('Monthly data'!J328:J330)=3,'Monthly data'!J330-2*'Monthly data'!J329+'Monthly data'!J328,"")</x:f>
        <x:v>-5.3265</x:v>
      </x:c>
      <x:c r="P330" s="8" t="n">
        <x:f>IF(COUNT('Monthly data'!K328:K330)=3,'Monthly data'!K330-2*'Monthly data'!K329+'Monthly data'!K328,"")</x:f>
        <x:v>-14.2974</x:v>
      </x:c>
      <x:c r="Q330" s="8" t="n">
        <x:f>IF(COUNT('Monthly data'!L328:L330)=3,'Monthly data'!L330-2*'Monthly data'!L329+'Monthly data'!L328,"")</x:f>
        <x:v>-0.9056000000000003</x:v>
      </x:c>
      <x:c r="R330" s="8" t="n">
        <x:f>IF(COUNT('Monthly data'!M328:M330)=3,'Monthly data'!M330-2*'Monthly data'!M329+'Monthly data'!M328,"")</x:f>
        <x:v>-2.0756</x:v>
      </x:c>
      <x:c r="S330" s="8" t="n">
        <x:f>IF(COUNT('Monthly data'!N328:N330)=3,'Monthly data'!N330-2*'Monthly data'!N329+'Monthly data'!N328,"")</x:f>
        <x:v>9.1923</x:v>
      </x:c>
      <x:c r="T330" s="8" t="n">
        <x:f>IF(COUNT('Monthly data'!E329:E330)=2,'Monthly data'!E330-'Monthly data'!E329,"")</x:f>
        <x:v>0.009854565299999507</x:v>
      </x:c>
    </x:row>
    <x:row r="331" ht="19" customHeight="1">
      <x:c r="A331" s="7" t="n">
        <x:f>'Monthly data'!A331</x:f>
        <x:v>42887</x:v>
      </x:c>
      <x:c r="B331" s="8" t="n">
        <x:f>IF(ISNUMBER('Monthly data'!F331),LN(1+'Monthly data'!F331),"")</x:f>
        <x:v>4.799255609702288</x:v>
      </x:c>
      <x:c r="C331" s="8" t="n">
        <x:f>IF(ISNUMBER('Monthly data'!G331),LN(1+'Monthly data'!G331),"")</x:f>
        <x:v>3.0399261767950088</x:v>
      </x:c>
      <x:c r="D331" s="8" t="n">
        <x:f>IF(ISNUMBER('Monthly data'!H331),LN(1+'Monthly data'!H331),"")</x:f>
        <x:v>3.878257306593015</x:v>
      </x:c>
      <x:c r="E331" s="8" t="n">
        <x:f>IF(ISNUMBER('Monthly data'!I331),LN(1+'Monthly data'!I331),"")</x:f>
        <x:v>3.3719264713090973</x:v>
      </x:c>
      <x:c r="F331" s="8" t="n">
        <x:f>IF(ISNUMBER('Monthly data'!J331),LN(1+'Monthly data'!J331),"")</x:f>
        <x:v>1.6175251226167195</x:v>
      </x:c>
      <x:c r="G331" s="8" t="n">
        <x:f>IF(ISNUMBER('Monthly data'!K331),LN(1+'Monthly data'!K331),"")</x:f>
        <x:v>1.028118291054891</x:v>
      </x:c>
      <x:c r="H331" s="8" t="n">
        <x:f>IF(ISNUMBER('Monthly data'!L331),LN(1+'Monthly data'!L331),"")</x:f>
        <x:v>0.6919965188025493</x:v>
      </x:c>
      <x:c r="I331" s="8" t="n">
        <x:f>IF(ISNUMBER('Monthly data'!M331),LN(1+'Monthly data'!M331),"")</x:f>
        <x:v>1.6937239122883727</x:v>
      </x:c>
      <x:c r="J331" s="8" t="n">
        <x:f>IF(ISNUMBER('Monthly data'!N331),LN(1+'Monthly data'!N331),"")</x:f>
        <x:v>2.6924626777604965</x:v>
      </x:c>
      <x:c r="K331" s="8" t="n">
        <x:f>IF(COUNT('Monthly data'!F329:F331)=3,'Monthly data'!F331-2*'Monthly data'!F330+'Monthly data'!F329,"")</x:f>
        <x:v>10.090000000000018</x:v>
      </x:c>
      <x:c r="L331" s="8" t="n">
        <x:f>IF(COUNT('Monthly data'!G329:G331)=3,'Monthly data'!G331-2*'Monthly data'!G330+'Monthly data'!G329,"")</x:f>
        <x:v>23.236999999999995</x:v>
      </x:c>
      <x:c r="M331" s="8" t="n">
        <x:f>IF(COUNT('Monthly data'!H329:H331)=3,'Monthly data'!H331-2*'Monthly data'!H330+'Monthly data'!H329,"")</x:f>
        <x:v>-19.932900000000004</x:v>
      </x:c>
      <x:c r="N331" s="8" t="n">
        <x:f>IF(COUNT('Monthly data'!I329:I331)=3,'Monthly data'!I331-2*'Monthly data'!I330+'Monthly data'!I329,"")</x:f>
        <x:v>6.244600000000002</x:v>
      </x:c>
      <x:c r="O331" s="8" t="n">
        <x:f>IF(COUNT('Monthly data'!J329:J331)=3,'Monthly data'!J331-2*'Monthly data'!J330+'Monthly data'!J329,"")</x:f>
        <x:v>2.5502000000000002</x:v>
      </x:c>
      <x:c r="P331" s="8" t="n">
        <x:f>IF(COUNT('Monthly data'!K329:K331)=3,'Monthly data'!K331-2*'Monthly data'!K330+'Monthly data'!K329,"")</x:f>
        <x:v>3.7954000000000008</x:v>
      </x:c>
      <x:c r="Q331" s="8" t="n">
        <x:f>IF(COUNT('Monthly data'!L329:L331)=3,'Monthly data'!L331-2*'Monthly data'!L330+'Monthly data'!L329,"")</x:f>
        <x:v>1.0590000000000002</x:v>
      </x:c>
      <x:c r="R331" s="8" t="n">
        <x:f>IF(COUNT('Monthly data'!M329:M331)=3,'Monthly data'!M331-2*'Monthly data'!M330+'Monthly data'!M329,"")</x:f>
        <x:v>4.315300000000001</x:v>
      </x:c>
      <x:c r="S331" s="8" t="n">
        <x:f>IF(COUNT('Monthly data'!N329:N331)=3,'Monthly data'!N331-2*'Monthly data'!N330+'Monthly data'!N329,"")</x:f>
        <x:v>-11.178099999999999</x:v>
      </x:c>
      <x:c r="T331" s="8" t="n">
        <x:f>IF(COUNT('Monthly data'!E330:E331)=2,'Monthly data'!E331-'Monthly data'!E330,"")</x:f>
        <x:v>0.003095920799999874</x:v>
      </x:c>
    </x:row>
    <x:row r="332" ht="19" customHeight="1">
      <x:c r="A332" s="7" t="n">
        <x:f>'Monthly data'!A332</x:f>
        <x:v>42917</x:v>
      </x:c>
      <x:c r="B332" s="8" t="n">
        <x:f>IF(ISNUMBER('Monthly data'!F332),LN(1+'Monthly data'!F332),"")</x:f>
        <x:v>4.717873675901176</x:v>
      </x:c>
      <x:c r="C332" s="8" t="n">
        <x:f>IF(ISNUMBER('Monthly data'!G332),LN(1+'Monthly data'!G332),"")</x:f>
        <x:v>2.926301806335992</x:v>
      </x:c>
      <x:c r="D332" s="8" t="n">
        <x:f>IF(ISNUMBER('Monthly data'!H332),LN(1+'Monthly data'!H332),"")</x:f>
        <x:v>3.8938345945832817</x:v>
      </x:c>
      <x:c r="E332" s="8" t="n">
        <x:f>IF(ISNUMBER('Monthly data'!I332),LN(1+'Monthly data'!I332),"")</x:f>
        <x:v>2.1333613836692664</x:v>
      </x:c>
      <x:c r="F332" s="8" t="n">
        <x:f>IF(ISNUMBER('Monthly data'!J332),LN(1+'Monthly data'!J332),"")</x:f>
        <x:v>1.599912691209029</x:v>
      </x:c>
      <x:c r="G332" s="8" t="n">
        <x:f>IF(ISNUMBER('Monthly data'!K332),LN(1+'Monthly data'!K332),"")</x:f>
        <x:v>2.417270001072189</x:v>
      </x:c>
      <x:c r="H332" s="8" t="n">
        <x:f>IF(ISNUMBER('Monthly data'!L332),LN(1+'Monthly data'!L332),"")</x:f>
        <x:v>0.9521596802883978</x:v>
      </x:c>
      <x:c r="I332" s="8" t="n">
        <x:f>IF(ISNUMBER('Monthly data'!M332),LN(1+'Monthly data'!M332),"")</x:f>
        <x:v>2.2535208912797553</x:v>
      </x:c>
      <x:c r="J332" s="8" t="n">
        <x:f>IF(ISNUMBER('Monthly data'!N332),LN(1+'Monthly data'!N332),"")</x:f>
        <x:v>2.6706390497040364</x:v>
      </x:c>
      <x:c r="K332" s="8" t="n">
        <x:f>IF(COUNT('Monthly data'!F330:F332)=3,'Monthly data'!F332-2*'Monthly data'!F331+'Monthly data'!F330,"")</x:f>
        <x:v>-8.060000000000002</x:v>
      </x:c>
      <x:c r="L332" s="8" t="n">
        <x:f>IF(COUNT('Monthly data'!G330:G332)=3,'Monthly data'!G332-2*'Monthly data'!G331+'Monthly data'!G330,"")</x:f>
        <x:v>-3.4452</x:v>
      </x:c>
      <x:c r="M332" s="8" t="n">
        <x:f>IF(COUNT('Monthly data'!H330:H332)=3,'Monthly data'!H332-2*'Monthly data'!H331+'Monthly data'!H330,"")</x:f>
        <x:v>7.273699999999998</x:v>
      </x:c>
      <x:c r="N332" s="8" t="n">
        <x:f>IF(COUNT('Monthly data'!I330:I332)=3,'Monthly data'!I332-2*'Monthly data'!I331+'Monthly data'!I330,"")</x:f>
        <x:v>-29.570700000000002</x:v>
      </x:c>
      <x:c r="O332" s="8" t="n">
        <x:f>IF(COUNT('Monthly data'!J330:J332)=3,'Monthly data'!J332-2*'Monthly data'!J331+'Monthly data'!J330,"")</x:f>
        <x:v>-0.3177000000000003</x:v>
      </x:c>
      <x:c r="P332" s="8" t="n">
        <x:f>IF(COUNT('Monthly data'!K330:K332)=3,'Monthly data'!K332-2*'Monthly data'!K331+'Monthly data'!K330,"")</x:f>
        <x:v>12.5406</x:v>
      </x:c>
      <x:c r="Q332" s="8" t="n">
        <x:f>IF(COUNT('Monthly data'!L330:L332)=3,'Monthly data'!L332-2*'Monthly data'!L331+'Monthly data'!L330,"")</x:f>
        <x:v>0.09729999999999983</x:v>
      </x:c>
      <x:c r="R332" s="8" t="n">
        <x:f>IF(COUNT('Monthly data'!M330:M332)=3,'Monthly data'!M332-2*'Monthly data'!M331+'Monthly data'!M330,"")</x:f>
        <x:v>0.9455</x:v>
      </x:c>
      <x:c r="S332" s="8" t="n">
        <x:f>IF(COUNT('Monthly data'!N330:N332)=3,'Monthly data'!N332-2*'Monthly data'!N331+'Monthly data'!N330,"")</x:f>
        <x:v>4.416299999999998</x:v>
      </x:c>
      <x:c r="T332" s="8" t="n">
        <x:f>IF(COUNT('Monthly data'!E331:E332)=2,'Monthly data'!E332-'Monthly data'!E331,"")</x:f>
        <x:v>0.005791089200000599</x:v>
      </x:c>
    </x:row>
    <x:row r="333" ht="19" customHeight="1">
      <x:c r="A333" s="7" t="n">
        <x:f>'Monthly data'!A333</x:f>
        <x:v>42948</x:v>
      </x:c>
      <x:c r="B333" s="8" t="n">
        <x:f>IF(ISNUMBER('Monthly data'!F333),LN(1+'Monthly data'!F333),"")</x:f>
        <x:v>4.855928904335275</x:v>
      </x:c>
      <x:c r="C333" s="8" t="n">
        <x:f>IF(ISNUMBER('Monthly data'!G333),LN(1+'Monthly data'!G333),"")</x:f>
        <x:v>3.1511450137907278</x:v>
      </x:c>
      <x:c r="D333" s="8" t="n">
        <x:f>IF(ISNUMBER('Monthly data'!H333),LN(1+'Monthly data'!H333),"")</x:f>
        <x:v>3.5110796587305186</x:v>
      </x:c>
      <x:c r="E333" s="8" t="n">
        <x:f>IF(ISNUMBER('Monthly data'!I333),LN(1+'Monthly data'!I333),"")</x:f>
        <x:v>2.817729377904053</x:v>
      </x:c>
      <x:c r="F333" s="8" t="n">
        <x:f>IF(ISNUMBER('Monthly data'!J333),LN(1+'Monthly data'!J333),"")</x:f>
        <x:v>2.0854236133573836</x:v>
      </x:c>
      <x:c r="G333" s="8" t="n">
        <x:f>IF(ISNUMBER('Monthly data'!K333),LN(1+'Monthly data'!K333),"")</x:f>
        <x:v>3.294587938270521</x:v>
      </x:c>
      <x:c r="H333" s="8" t="n">
        <x:f>IF(ISNUMBER('Monthly data'!L333),LN(1+'Monthly data'!L333),"")</x:f>
        <x:v>0.8661756904423071</x:v>
      </x:c>
      <x:c r="I333" s="8" t="n">
        <x:f>IF(ISNUMBER('Monthly data'!M333),LN(1+'Monthly data'!M333),"")</x:f>
        <x:v>2.226438120414177</x:v>
      </x:c>
      <x:c r="J333" s="8" t="n">
        <x:f>IF(ISNUMBER('Monthly data'!N333),LN(1+'Monthly data'!N333),"")</x:f>
        <x:v>2.724907318168633</x:v>
      </x:c>
      <x:c r="K333" s="8" t="n">
        <x:f>IF(COUNT('Monthly data'!F331:F333)=3,'Monthly data'!F333-2*'Monthly data'!F332+'Monthly data'!F331,"")</x:f>
        <x:v>26.059999999999988</x:v>
      </x:c>
      <x:c r="L333" s="8" t="n">
        <x:f>IF(COUNT('Monthly data'!G331:G333)=3,'Monthly data'!G333-2*'Monthly data'!G332+'Monthly data'!G331,"")</x:f>
        <x:v>6.9495000000000005</x:v>
      </x:c>
      <x:c r="M333" s="8" t="n">
        <x:f>IF(COUNT('Monthly data'!H331:H333)=3,'Monthly data'!H333-2*'Monthly data'!H332+'Monthly data'!H331,"")</x:f>
        <x:v>-16.373299999999993</x:v>
      </x:c>
      <x:c r="N333" s="8" t="n">
        <x:f>IF(COUNT('Monthly data'!I331:I333)=3,'Monthly data'!I333-2*'Monthly data'!I332+'Monthly data'!I331,"")</x:f>
        <x:v>28.987</x:v>
      </x:c>
      <x:c r="O333" s="8" t="n">
        <x:f>IF(COUNT('Monthly data'!J331:J333)=3,'Monthly data'!J333-2*'Monthly data'!J332+'Monthly data'!J331,"")</x:f>
        <x:v>3.1834000000000007</x:v>
      </x:c>
      <x:c r="P333" s="8" t="n">
        <x:f>IF(COUNT('Monthly data'!K331:K333)=3,'Monthly data'!K333-2*'Monthly data'!K332+'Monthly data'!K331,"")</x:f>
        <x:v>7.331700000000001</x:v>
      </x:c>
      <x:c r="Q333" s="8" t="n">
        <x:f>IF(COUNT('Monthly data'!L331:L333)=3,'Monthly data'!L333-2*'Monthly data'!L332+'Monthly data'!L331,"")</x:f>
        <x:v>-0.8070999999999999</x:v>
      </x:c>
      <x:c r="R333" s="8" t="n">
        <x:f>IF(COUNT('Monthly data'!M331:M333)=3,'Monthly data'!M333-2*'Monthly data'!M332+'Monthly data'!M331,"")</x:f>
        <x:v>-4.3359000000000005</x:v>
      </x:c>
      <x:c r="S333" s="8" t="n">
        <x:f>IF(COUNT('Monthly data'!N331:N333)=3,'Monthly data'!N333-2*'Monthly data'!N332+'Monthly data'!N331,"")</x:f>
        <x:v>1.1246000000000027</x:v>
      </x:c>
      <x:c r="T333" s="8" t="n">
        <x:f>IF(COUNT('Monthly data'!E332:E333)=2,'Monthly data'!E333-'Monthly data'!E332,"")</x:f>
        <x:v>-0.005280662100000555</x:v>
      </x:c>
    </x:row>
    <x:row r="334" ht="19" customHeight="1">
      <x:c r="A334" s="7" t="n">
        <x:f>'Monthly data'!A334</x:f>
        <x:v>42979</x:v>
      </x:c>
      <x:c r="B334" s="8" t="n">
        <x:f>IF(ISNUMBER('Monthly data'!F334),LN(1+'Monthly data'!F334),"")</x:f>
        <x:v>4.601362947645137</x:v>
      </x:c>
      <x:c r="C334" s="8" t="n">
        <x:f>IF(ISNUMBER('Monthly data'!G334),LN(1+'Monthly data'!G334),"")</x:f>
        <x:v>2.924918101648748</x:v>
      </x:c>
      <x:c r="D334" s="8" t="n">
        <x:f>IF(ISNUMBER('Monthly data'!H334),LN(1+'Monthly data'!H334),"")</x:f>
        <x:v>3.622854495441936</x:v>
      </x:c>
      <x:c r="E334" s="8" t="n">
        <x:f>IF(ISNUMBER('Monthly data'!I334),LN(1+'Monthly data'!I334),"")</x:f>
        <x:v>1.923284684156489</x:v>
      </x:c>
      <x:c r="F334" s="8" t="n">
        <x:f>IF(ISNUMBER('Monthly data'!J334),LN(1+'Monthly data'!J334),"")</x:f>
        <x:v>1.3533578608736259</x:v>
      </x:c>
      <x:c r="G334" s="8" t="n">
        <x:f>IF(ISNUMBER('Monthly data'!K334),LN(1+'Monthly data'!K334),"")</x:f>
        <x:v>3.0342556282247424</x:v>
      </x:c>
      <x:c r="H334" s="8" t="n">
        <x:f>IF(ISNUMBER('Monthly data'!L334),LN(1+'Monthly data'!L334),"")</x:f>
        <x:v>0.18647956694261839</x:v>
      </x:c>
      <x:c r="I334" s="8" t="n">
        <x:f>IF(ISNUMBER('Monthly data'!M334),LN(1+'Monthly data'!M334),"")</x:f>
        <x:v>1.6293581798692311</x:v>
      </x:c>
      <x:c r="J334" s="8" t="n">
        <x:f>IF(ISNUMBER('Monthly data'!N334),LN(1+'Monthly data'!N334),"")</x:f>
        <x:v>2.544589651949174</x:v>
      </x:c>
      <x:c r="K334" s="8" t="n">
        <x:f>IF(COUNT('Monthly data'!F332:F334)=3,'Monthly data'!F334-2*'Monthly data'!F333+'Monthly data'!F332,"")</x:f>
        <x:v>-45.44999999999999</x:v>
      </x:c>
      <x:c r="L334" s="8" t="n">
        <x:f>IF(COUNT('Monthly data'!G332:G334)=3,'Monthly data'!G334-2*'Monthly data'!G333+'Monthly data'!G332,"")</x:f>
        <x:v>-9.4344</x:v>
      </x:c>
      <x:c r="M334" s="8" t="n">
        <x:f>IF(COUNT('Monthly data'!H332:H334)=3,'Monthly data'!H334-2*'Monthly data'!H333+'Monthly data'!H332,"")</x:f>
        <x:v>19.574299999999994</x:v>
      </x:c>
      <x:c r="N334" s="8" t="n">
        <x:f>IF(COUNT('Monthly data'!I332:I334)=3,'Monthly data'!I334-2*'Monthly data'!I333+'Monthly data'!I332,"")</x:f>
        <x:v>-18.191</x:v>
      </x:c>
      <x:c r="O334" s="8" t="n">
        <x:f>IF(COUNT('Monthly data'!J332:J334)=3,'Monthly data'!J334-2*'Monthly data'!J333+'Monthly data'!J332,"")</x:f>
        <x:v>-7.273</x:v>
      </x:c>
      <x:c r="P334" s="8" t="n">
        <x:f>IF(COUNT('Monthly data'!K332:K334)=3,'Monthly data'!K334-2*'Monthly data'!K333+'Monthly data'!K332,"")</x:f>
        <x:v>-21.931900000000002</x:v>
      </x:c>
      <x:c r="Q334" s="8" t="n">
        <x:f>IF(COUNT('Monthly data'!L332:L334)=3,'Monthly data'!L334-2*'Monthly data'!L333+'Monthly data'!L332,"")</x:f>
        <x:v>-0.9592999999999998</x:v>
      </x:c>
      <x:c r="R334" s="8" t="n">
        <x:f>IF(COUNT('Monthly data'!M332:M334)=3,'Monthly data'!M334-2*'Monthly data'!M333+'Monthly data'!M332,"")</x:f>
        <x:v>-3.9117999999999995</x:v>
      </x:c>
      <x:c r="S334" s="8" t="n">
        <x:f>IF(COUNT('Monthly data'!N332:N334)=3,'Monthly data'!N334-2*'Monthly data'!N333+'Monthly data'!N332,"")</x:f>
        <x:v>-3.3228000000000026</x:v>
      </x:c>
      <x:c r="T334" s="8" t="n">
        <x:f>IF(COUNT('Monthly data'!E333:E334)=2,'Monthly data'!E334-'Monthly data'!E333,"")</x:f>
        <x:v>0.001695111200000099</x:v>
      </x:c>
    </x:row>
    <x:row r="335" ht="19" customHeight="1">
      <x:c r="A335" s="7" t="n">
        <x:f>'Monthly data'!A335</x:f>
        <x:v>43009</x:v>
      </x:c>
      <x:c r="B335" s="8" t="n">
        <x:f>IF(ISNUMBER('Monthly data'!F335),LN(1+'Monthly data'!F335),"")</x:f>
        <x:v>4.684258592307055</x:v>
      </x:c>
      <x:c r="C335" s="8" t="n">
        <x:f>IF(ISNUMBER('Monthly data'!G335),LN(1+'Monthly data'!G335),"")</x:f>
        <x:v>2.9227528950680126</x:v>
      </x:c>
      <x:c r="D335" s="8" t="n">
        <x:f>IF(ISNUMBER('Monthly data'!H335),LN(1+'Monthly data'!H335),"")</x:f>
        <x:v>3.771122815494953</x:v>
      </x:c>
      <x:c r="E335" s="8" t="n">
        <x:f>IF(ISNUMBER('Monthly data'!I335),LN(1+'Monthly data'!I335),"")</x:f>
        <x:v>2.717531775241428</x:v>
      </x:c>
      <x:c r="F335" s="8" t="n">
        <x:f>IF(ISNUMBER('Monthly data'!J335),LN(1+'Monthly data'!J335),"")</x:f>
        <x:v>1.7018894647990122</x:v>
      </x:c>
      <x:c r="G335" s="8" t="n">
        <x:f>IF(ISNUMBER('Monthly data'!K335),LN(1+'Monthly data'!K335),"")</x:f>
        <x:v>2.3801385512091113</x:v>
      </x:c>
      <x:c r="H335" s="8" t="n">
        <x:f>IF(ISNUMBER('Monthly data'!L335),LN(1+'Monthly data'!L335),"")</x:f>
        <x:v>0.40065355111094225</x:v>
      </x:c>
      <x:c r="I335" s="8" t="n">
        <x:f>IF(ISNUMBER('Monthly data'!M335),LN(1+'Monthly data'!M335),"")</x:f>
        <x:v>1.5254691746468958</x:v>
      </x:c>
      <x:c r="J335" s="8" t="n">
        <x:f>IF(ISNUMBER('Monthly data'!N335),LN(1+'Monthly data'!N335),"")</x:f>
        <x:v>2.7527048416426414</x:v>
      </x:c>
      <x:c r="K335" s="8" t="n">
        <x:f>IF(COUNT('Monthly data'!F333:F335)=3,'Monthly data'!F335-2*'Monthly data'!F334+'Monthly data'!F333,"")</x:f>
        <x:v>37.489999999999995</x:v>
      </x:c>
      <x:c r="L335" s="8" t="n">
        <x:f>IF(COUNT('Monthly data'!G333:G335)=3,'Monthly data'!G335-2*'Monthly data'!G334+'Monthly data'!G333,"")</x:f>
        <x:v>4.689800000000002</x:v>
      </x:c>
      <x:c r="M335" s="8" t="n">
        <x:f>IF(COUNT('Monthly data'!H333:H335)=3,'Monthly data'!H335-2*'Monthly data'!H334+'Monthly data'!H333,"")</x:f>
        <x:v>2.0246000000000066</x:v>
      </x:c>
      <x:c r="N335" s="8" t="n">
        <x:f>IF(COUNT('Monthly data'!I333:I335)=3,'Monthly data'!I335-2*'Monthly data'!I334+'Monthly data'!I333,"")</x:f>
        <x:v>18.194899999999997</x:v>
      </x:c>
      <x:c r="O335" s="8" t="n">
        <x:f>IF(COUNT('Monthly data'!J333:J335)=3,'Monthly data'!J335-2*'Monthly data'!J334+'Monthly data'!J333,"")</x:f>
        <x:v>5.7915</x:v>
      </x:c>
      <x:c r="P335" s="8" t="n">
        <x:f>IF(COUNT('Monthly data'!K333:K335)=3,'Monthly data'!K335-2*'Monthly data'!K334+'Monthly data'!K333,"")</x:f>
        <x:v>-3.7982999999999976</x:v>
      </x:c>
      <x:c r="Q335" s="8" t="n">
        <x:f>IF(COUNT('Monthly data'!L333:L335)=3,'Monthly data'!L335-2*'Monthly data'!L334+'Monthly data'!L333,"")</x:f>
        <x:v>1.4606</x:v>
      </x:c>
      <x:c r="R335" s="8" t="n">
        <x:f>IF(COUNT('Monthly data'!M333:M335)=3,'Monthly data'!M335-2*'Monthly data'!M334+'Monthly data'!M333,"")</x:f>
        <x:v>3.6629000000000005</x:v>
      </x:c>
      <x:c r="S335" s="8" t="n">
        <x:f>IF(COUNT('Monthly data'!N333:N335)=3,'Monthly data'!N335-2*'Monthly data'!N334+'Monthly data'!N333,"")</x:f>
        <x:v>5.464000000000002</x:v>
      </x:c>
      <x:c r="T335" s="8" t="n">
        <x:f>IF(COUNT('Monthly data'!E334:E335)=2,'Monthly data'!E335-'Monthly data'!E334,"")</x:f>
        <x:v>0.002660751200000533</x:v>
      </x:c>
    </x:row>
    <x:row r="336" ht="19" customHeight="1">
      <x:c r="A336" s="7" t="n">
        <x:f>'Monthly data'!A336</x:f>
        <x:v>43040</x:v>
      </x:c>
      <x:c r="B336" s="8" t="n">
        <x:f>IF(ISNUMBER('Monthly data'!F336),LN(1+'Monthly data'!F336),"")</x:f>
        <x:v>4.596532992592428</x:v>
      </x:c>
      <x:c r="C336" s="8" t="n">
        <x:f>IF(ISNUMBER('Monthly data'!G336),LN(1+'Monthly data'!G336),"")</x:f>
        <x:v>2.609290077078032</x:v>
      </x:c>
      <x:c r="D336" s="8" t="n">
        <x:f>IF(ISNUMBER('Monthly data'!H336),LN(1+'Monthly data'!H336),"")</x:f>
        <x:v>3.7344143255626956</x:v>
      </x:c>
      <x:c r="E336" s="8" t="n">
        <x:f>IF(ISNUMBER('Monthly data'!I336),LN(1+'Monthly data'!I336),"")</x:f>
        <x:v>2.870571463930596</x:v>
      </x:c>
      <x:c r="F336" s="8" t="n">
        <x:f>IF(ISNUMBER('Monthly data'!J336),LN(1+'Monthly data'!J336),"")</x:f>
        <x:v>1.3097372383977355</x:v>
      </x:c>
      <x:c r="G336" s="8" t="n">
        <x:f>IF(ISNUMBER('Monthly data'!K336),LN(1+'Monthly data'!K336),"")</x:f>
        <x:v>2.2213208061630825</x:v>
      </x:c>
      <x:c r="H336" s="8" t="n">
        <x:f>IF(ISNUMBER('Monthly data'!L336),LN(1+'Monthly data'!L336),"")</x:f>
        <x:v>1.6513089565094066</x:v>
      </x:c>
      <x:c r="I336" s="8" t="n">
        <x:f>IF(ISNUMBER('Monthly data'!M336),LN(1+'Monthly data'!M336),"")</x:f>
        <x:v>1.2519340536117594</x:v>
      </x:c>
      <x:c r="J336" s="8" t="n">
        <x:f>IF(ISNUMBER('Monthly data'!N336),LN(1+'Monthly data'!N336),"")</x:f>
        <x:v>2.434008014354464</x:v>
      </x:c>
      <x:c r="K336" s="8" t="n">
        <x:f>IF(COUNT('Monthly data'!F334:F336)=3,'Monthly data'!F336-2*'Monthly data'!F335+'Monthly data'!F334,"")</x:f>
        <x:v>-17.700000000000003</x:v>
      </x:c>
      <x:c r="L336" s="8" t="n">
        <x:f>IF(COUNT('Monthly data'!G334:G336)=3,'Monthly data'!G336-2*'Monthly data'!G335+'Monthly data'!G334,"")</x:f>
        <x:v>-4.962700000000005</x:v>
      </x:c>
      <x:c r="M336" s="8" t="n">
        <x:f>IF(COUNT('Monthly data'!H334:H336)=3,'Monthly data'!H336-2*'Monthly data'!H335+'Monthly data'!H334,"")</x:f>
        <x:v>-7.549800000000005</x:v>
      </x:c>
      <x:c r="N336" s="8" t="n">
        <x:f>IF(COUNT('Monthly data'!I334:I336)=3,'Monthly data'!I336-2*'Monthly data'!I335+'Monthly data'!I334,"")</x:f>
        <x:v>-5.7953</x:v>
      </x:c>
      <x:c r="O336" s="8" t="n">
        <x:f>IF(COUNT('Monthly data'!J334:J336)=3,'Monthly data'!J336-2*'Monthly data'!J335+'Monthly data'!J334,"")</x:f>
        <x:v>-3.3930000000000007</x:v>
      </x:c>
      <x:c r="P336" s="8" t="n">
        <x:f>IF(COUNT('Monthly data'!K334:K336)=3,'Monthly data'!K336-2*'Monthly data'!K335+'Monthly data'!K334,"")</x:f>
        <x:v>8.392199999999999</x:v>
      </x:c>
      <x:c r="Q336" s="8" t="n">
        <x:f>IF(COUNT('Monthly data'!L334:L336)=3,'Monthly data'!L336-2*'Monthly data'!L335+'Monthly data'!L334,"")</x:f>
        <x:v>3.4332000000000003</x:v>
      </x:c>
      <x:c r="R336" s="8" t="n">
        <x:f>IF(COUNT('Monthly data'!M334:M336)=3,'Monthly data'!M336-2*'Monthly data'!M335+'Monthly data'!M334,"")</x:f>
        <x:v>-0.5968999999999998</x:v>
      </x:c>
      <x:c r="S336" s="8" t="n">
        <x:f>IF(COUNT('Monthly data'!N334:N336)=3,'Monthly data'!N336-2*'Monthly data'!N335+'Monthly data'!N334,"")</x:f>
        <x:v>-7.227499999999999</x:v>
      </x:c>
      <x:c r="T336" s="8" t="n">
        <x:f>IF(COUNT('Monthly data'!E335:E336)=2,'Monthly data'!E336-'Monthly data'!E335,"")</x:f>
        <x:v>0.005620529599999813</x:v>
      </x:c>
    </x:row>
    <x:row r="337" ht="19" customHeight="1">
      <x:c r="A337" s="7" t="n">
        <x:f>'Monthly data'!A337</x:f>
        <x:v>43070</x:v>
      </x:c>
      <x:c r="B337" s="8" t="n">
        <x:f>IF(ISNUMBER('Monthly data'!F337),LN(1+'Monthly data'!F337),"")</x:f>
        <x:v>4.5827200571505</x:v>
      </x:c>
      <x:c r="C337" s="8" t="n">
        <x:f>IF(ISNUMBER('Monthly data'!G337),LN(1+'Monthly data'!G337),"")</x:f>
        <x:v>2.6470609294757805</x:v>
      </x:c>
      <x:c r="D337" s="8" t="n">
        <x:f>IF(ISNUMBER('Monthly data'!H337),LN(1+'Monthly data'!H337),"")</x:f>
        <x:v>3.8200042030934314</x:v>
      </x:c>
      <x:c r="E337" s="8" t="n">
        <x:f>IF(ISNUMBER('Monthly data'!I337),LN(1+'Monthly data'!I337),"")</x:f>
        <x:v>2.421221098101867</x:v>
      </x:c>
      <x:c r="F337" s="8" t="n">
        <x:f>IF(ISNUMBER('Monthly data'!J337),LN(1+'Monthly data'!J337),"")</x:f>
        <x:v>1.808665749294414</x:v>
      </x:c>
      <x:c r="G337" s="8" t="n">
        <x:f>IF(ISNUMBER('Monthly data'!K337),LN(1+'Monthly data'!K337),"")</x:f>
        <x:v>2.1025719590686904</x:v>
      </x:c>
      <x:c r="H337" s="8" t="n">
        <x:f>IF(ISNUMBER('Monthly data'!L337),LN(1+'Monthly data'!L337),"")</x:f>
        <x:v>0.19844093867383794</x:v>
      </x:c>
      <x:c r="I337" s="8" t="n">
        <x:f>IF(ISNUMBER('Monthly data'!M337),LN(1+'Monthly data'!M337),"")</x:f>
        <x:v>1.4694169365126493</x:v>
      </x:c>
      <x:c r="J337" s="8" t="n">
        <x:f>IF(ISNUMBER('Monthly data'!N337),LN(1+'Monthly data'!N337),"")</x:f>
        <x:v>2.635328959301039</x:v>
      </x:c>
      <x:c r="K337" s="8" t="n">
        <x:f>IF(COUNT('Monthly data'!F335:F337)=3,'Monthly data'!F337-2*'Monthly data'!F336+'Monthly data'!F335,"")</x:f>
        <x:v>7.730000000000004</x:v>
      </x:c>
      <x:c r="L337" s="8" t="n">
        <x:f>IF(COUNT('Monthly data'!G335:G337)=3,'Monthly data'!G337-2*'Monthly data'!G336+'Monthly data'!G335,"")</x:f>
        <x:v>5.526100000000003</x:v>
      </x:c>
      <x:c r="M337" s="8" t="n">
        <x:f>IF(COUNT('Monthly data'!H335:H337)=3,'Monthly data'!H337-2*'Monthly data'!H336+'Monthly data'!H335,"")</x:f>
        <x:v>5.306199999999997</x:v>
      </x:c>
      <x:c r="N337" s="8" t="n">
        <x:f>IF(COUNT('Monthly data'!I335:I337)=3,'Monthly data'!I337-2*'Monthly data'!I336+'Monthly data'!I335,"")</x:f>
        <x:v>-8.891699999999998</x:v>
      </x:c>
      <x:c r="O337" s="8" t="n">
        <x:f>IF(COUNT('Monthly data'!J335:J337)=3,'Monthly data'!J337-2*'Monthly data'!J336+'Monthly data'!J335,"")</x:f>
        <x:v>4.1762</x:v>
      </x:c>
      <x:c r="P337" s="8" t="n">
        <x:f>IF(COUNT('Monthly data'!K335:K337)=3,'Monthly data'!K337-2*'Monthly data'!K336+'Monthly data'!K335,"")</x:f>
        <x:v>0.5546000000000006</x:v>
      </x:c>
      <x:c r="Q337" s="8" t="n">
        <x:f>IF(COUNT('Monthly data'!L335:L337)=3,'Monthly data'!L337-2*'Monthly data'!L336+'Monthly data'!L335,"")</x:f>
        <x:v>-7.7153</x:v>
      </x:c>
      <x:c r="R337" s="8" t="n">
        <x:f>IF(COUNT('Monthly data'!M335:M337)=3,'Monthly data'!M337-2*'Monthly data'!M336+'Monthly data'!M335,"")</x:f>
        <x:v>1.9497999999999998</x:v>
      </x:c>
      <x:c r="S337" s="8" t="n">
        <x:f>IF(COUNT('Monthly data'!N335:N337)=3,'Monthly data'!N337-2*'Monthly data'!N336+'Monthly data'!N335,"")</x:f>
        <x:v>6.8239</x:v>
      </x:c>
      <x:c r="T337" s="8" t="n">
        <x:f>IF(COUNT('Monthly data'!E336:E337)=2,'Monthly data'!E337-'Monthly data'!E336,"")</x:f>
        <x:v>-0.004380465000000555</x:v>
      </x:c>
    </x:row>
    <x:row r="338" ht="19" customHeight="1">
      <x:c r="A338" s="7" t="n">
        <x:f>'Monthly data'!A338</x:f>
        <x:v>43101</x:v>
      </x:c>
      <x:c r="B338" s="8" t="n">
        <x:f>IF(ISNUMBER('Monthly data'!F338),LN(1+'Monthly data'!F338),"")</x:f>
        <x:v>4.5958266709849385</x:v>
      </x:c>
      <x:c r="C338" s="8" t="n">
        <x:f>IF(ISNUMBER('Monthly data'!G338),LN(1+'Monthly data'!G338),"")</x:f>
        <x:v>2.750611482186284</x:v>
      </x:c>
      <x:c r="D338" s="8" t="n">
        <x:f>IF(ISNUMBER('Monthly data'!H338),LN(1+'Monthly data'!H338),"")</x:f>
        <x:v>3.724731518968063</x:v>
      </x:c>
      <x:c r="E338" s="8" t="n">
        <x:f>IF(ISNUMBER('Monthly data'!I338),LN(1+'Monthly data'!I338),"")</x:f>
        <x:v>2.126038827056618</x:v>
      </x:c>
      <x:c r="F338" s="8" t="n">
        <x:f>IF(ISNUMBER('Monthly data'!J338),LN(1+'Monthly data'!J338),"")</x:f>
        <x:v>1.7239444751995776</x:v>
      </x:c>
      <x:c r="G338" s="8" t="n">
        <x:f>IF(ISNUMBER('Monthly data'!K338),LN(1+'Monthly data'!K338),"")</x:f>
        <x:v>2.5725511596400468</x:v>
      </x:c>
      <x:c r="H338" s="8" t="n">
        <x:f>IF(ISNUMBER('Monthly data'!L338),LN(1+'Monthly data'!L338),"")</x:f>
        <x:v>0</x:v>
      </x:c>
      <x:c r="I338" s="8" t="n">
        <x:f>IF(ISNUMBER('Monthly data'!M338),LN(1+'Monthly data'!M338),"")</x:f>
        <x:v>2.0066154398868234</x:v>
      </x:c>
      <x:c r="J338" s="8" t="n">
        <x:f>IF(ISNUMBER('Monthly data'!N338),LN(1+'Monthly data'!N338),"")</x:f>
        <x:v>2.597654809479754</x:v>
      </x:c>
      <x:c r="K338" s="8" t="n">
        <x:f>IF(COUNT('Monthly data'!F336:F338)=3,'Monthly data'!F338-2*'Monthly data'!F337+'Monthly data'!F336,"")</x:f>
        <x:v>2.6499999999999915</x:v>
      </x:c>
      <x:c r="L338" s="8" t="n">
        <x:f>IF(COUNT('Monthly data'!G336:G338)=3,'Monthly data'!G338-2*'Monthly data'!G337+'Monthly data'!G336,"")</x:f>
        <x:v>1.0165999999999986</x:v>
      </x:c>
      <x:c r="M338" s="8" t="n">
        <x:f>IF(COUNT('Monthly data'!H336:H338)=3,'Monthly data'!H338-2*'Monthly data'!H337+'Monthly data'!H336,"")</x:f>
        <x:v>-7.8851999999999975</x:v>
      </x:c>
      <x:c r="N338" s="8" t="n">
        <x:f>IF(COUNT('Monthly data'!I336:I338)=3,'Monthly data'!I338-2*'Monthly data'!I337+'Monthly data'!I336,"")</x:f>
        <x:v>3.5094999999999956</x:v>
      </x:c>
      <x:c r="O338" s="8" t="n">
        <x:f>IF(COUNT('Monthly data'!J336:J338)=3,'Monthly data'!J338-2*'Monthly data'!J337+'Monthly data'!J336,"")</x:f>
        <x:v>-2.892799999999999</x:v>
      </x:c>
      <x:c r="P338" s="8" t="n">
        <x:f>IF(COUNT('Monthly data'!K336:K338)=3,'Monthly data'!K338-2*'Monthly data'!K337+'Monthly data'!K336,"")</x:f>
        <x:v>5.9443</x:v>
      </x:c>
      <x:c r="Q338" s="8" t="n">
        <x:f>IF(COUNT('Monthly data'!L336:L338)=3,'Monthly data'!L338-2*'Monthly data'!L337+'Monthly data'!L336,"")</x:f>
        <x:v>3.7748</x:v>
      </x:c>
      <x:c r="R338" s="8" t="n">
        <x:f>IF(COUNT('Monthly data'!M336:M338)=3,'Monthly data'!M338-2*'Monthly data'!M337+'Monthly data'!M336,"")</x:f>
        <x:v>2.241800000000001</x:v>
      </x:c>
      <x:c r="S338" s="8" t="n">
        <x:f>IF(COUNT('Monthly data'!N336:N338)=3,'Monthly data'!N338-2*'Monthly data'!N337+'Monthly data'!N336,"")</x:f>
        <x:v>-3.059100000000001</x:v>
      </x:c>
      <x:c r="T338" s="8" t="n">
        <x:f>IF(COUNT('Monthly data'!E337:E338)=2,'Monthly data'!E338-'Monthly data'!E337,"")</x:f>
        <x:v>0.005844897700001184</x:v>
      </x:c>
    </x:row>
    <x:row r="339" ht="19" customHeight="1">
      <x:c r="A339" s="7" t="n">
        <x:f>'Monthly data'!A339</x:f>
        <x:v>43132</x:v>
      </x:c>
      <x:c r="B339" s="8" t="n">
        <x:f>IF(ISNUMBER('Monthly data'!F339),LN(1+'Monthly data'!F339),"")</x:f>
        <x:v>4.527857082885421</x:v>
      </x:c>
      <x:c r="C339" s="8" t="n">
        <x:f>IF(ISNUMBER('Monthly data'!G339),LN(1+'Monthly data'!G339),"")</x:f>
        <x:v>3.0042756745512853</x:v>
      </x:c>
      <x:c r="D339" s="8" t="n">
        <x:f>IF(ISNUMBER('Monthly data'!H339),LN(1+'Monthly data'!H339),"")</x:f>
        <x:v>3.737698189303784</x:v>
      </x:c>
      <x:c r="E339" s="8" t="n">
        <x:f>IF(ISNUMBER('Monthly data'!I339),LN(1+'Monthly data'!I339),"")</x:f>
        <x:v>2.142604116637476</x:v>
      </x:c>
      <x:c r="F339" s="8" t="n">
        <x:f>IF(ISNUMBER('Monthly data'!J339),LN(1+'Monthly data'!J339),"")</x:f>
        <x:v>1.265509950841506</x:v>
      </x:c>
      <x:c r="G339" s="8" t="n">
        <x:f>IF(ISNUMBER('Monthly data'!K339),LN(1+'Monthly data'!K339),"")</x:f>
        <x:v>1.8066152404600415</x:v>
      </x:c>
      <x:c r="H339" s="8" t="n">
        <x:f>IF(ISNUMBER('Monthly data'!L339),LN(1+'Monthly data'!L339),"")</x:f>
        <x:v>0.24904518883686275</x:v>
      </x:c>
      <x:c r="I339" s="8" t="n">
        <x:f>IF(ISNUMBER('Monthly data'!M339),LN(1+'Monthly data'!M339),"")</x:f>
        <x:v>1.5544536041013408</x:v>
      </x:c>
      <x:c r="J339" s="8" t="n">
        <x:f>IF(ISNUMBER('Monthly data'!N339),LN(1+'Monthly data'!N339),"")</x:f>
        <x:v>2.581390383133157</x:v>
      </x:c>
      <x:c r="K339" s="8" t="n">
        <x:f>IF(COUNT('Monthly data'!F337:F339)=3,'Monthly data'!F339-2*'Monthly data'!F338+'Monthly data'!F337,"")</x:f>
        <x:v>-7.799999999999983</x:v>
      </x:c>
      <x:c r="L339" s="8" t="n">
        <x:f>IF(COUNT('Monthly data'!G337:G339)=3,'Monthly data'!G339-2*'Monthly data'!G338+'Monthly data'!G337,"")</x:f>
        <x:v>2.979700000000001</x:v>
      </x:c>
      <x:c r="M339" s="8" t="n">
        <x:f>IF(COUNT('Monthly data'!H337:H339)=3,'Monthly data'!H339-2*'Monthly data'!H338+'Monthly data'!H337,"")</x:f>
        <x:v>4.685400000000001</x:v>
      </x:c>
      <x:c r="N339" s="8" t="n">
        <x:f>IF(COUNT('Monthly data'!I337:I339)=3,'Monthly data'!I339-2*'Monthly data'!I338+'Monthly data'!I337,"")</x:f>
        <x:v>3.0180000000000016</x:v>
      </x:c>
      <x:c r="O339" s="8" t="n">
        <x:f>IF(COUNT('Monthly data'!J337:J339)=3,'Monthly data'!J339-2*'Monthly data'!J338+'Monthly data'!J337,"")</x:f>
        <x:v>-1.5660000000000007</x:v>
      </x:c>
      <x:c r="P339" s="8" t="n">
        <x:f>IF(COUNT('Monthly data'!K337:K339)=3,'Monthly data'!K339-2*'Monthly data'!K338+'Monthly data'!K337,"")</x:f>
        <x:v>-11.921399999999998</x:v>
      </x:c>
      <x:c r="Q339" s="8" t="n">
        <x:f>IF(COUNT('Monthly data'!L337:L339)=3,'Monthly data'!L339-2*'Monthly data'!L338+'Monthly data'!L337,"")</x:f>
        <x:v>0.5023</x:v>
      </x:c>
      <x:c r="R339" s="8" t="n">
        <x:f>IF(COUNT('Monthly data'!M337:M339)=3,'Monthly data'!M339-2*'Monthly data'!M338+'Monthly data'!M337,"")</x:f>
        <x:v>-5.797000000000001</x:v>
      </x:c>
      <x:c r="S339" s="8" t="n">
        <x:f>IF(COUNT('Monthly data'!N337:N339)=3,'Monthly data'!N339-2*'Monthly data'!N338+'Monthly data'!N337,"")</x:f>
        <x:v>0.29900000000000126</x:v>
      </x:c>
      <x:c r="T339" s="8" t="n">
        <x:f>IF(COUNT('Monthly data'!E338:E339)=2,'Monthly data'!E339-'Monthly data'!E338,"")</x:f>
        <x:v>0.0028654922999997723</x:v>
      </x:c>
    </x:row>
    <x:row r="340" ht="19" customHeight="1">
      <x:c r="A340" s="7" t="n">
        <x:f>'Monthly data'!A340</x:f>
        <x:v>43160</x:v>
      </x:c>
      <x:c r="B340" s="8" t="n">
        <x:f>IF(ISNUMBER('Monthly data'!F340),LN(1+'Monthly data'!F340),"")</x:f>
        <x:v>4.81112688587948</x:v>
      </x:c>
      <x:c r="C340" s="8" t="n">
        <x:f>IF(ISNUMBER('Monthly data'!G340),LN(1+'Monthly data'!G340),"")</x:f>
        <x:v>2.8344655009569233</x:v>
      </x:c>
      <x:c r="D340" s="8" t="n">
        <x:f>IF(ISNUMBER('Monthly data'!H340),LN(1+'Monthly data'!H340),"")</x:f>
        <x:v>4.0423299551194924</x:v>
      </x:c>
      <x:c r="E340" s="8" t="n">
        <x:f>IF(ISNUMBER('Monthly data'!I340),LN(1+'Monthly data'!I340),"")</x:f>
        <x:v>2.7310959298682786</x:v>
      </x:c>
      <x:c r="F340" s="8" t="n">
        <x:f>IF(ISNUMBER('Monthly data'!J340),LN(1+'Monthly data'!J340),"")</x:f>
        <x:v>1.228850765591839</x:v>
      </x:c>
      <x:c r="G340" s="8" t="n">
        <x:f>IF(ISNUMBER('Monthly data'!K340),LN(1+'Monthly data'!K340),"")</x:f>
        <x:v>1.8482973201883128</x:v>
      </x:c>
      <x:c r="H340" s="8" t="n">
        <x:f>IF(ISNUMBER('Monthly data'!L340),LN(1+'Monthly data'!L340),"")</x:f>
        <x:v>0.09794307432996417</x:v>
      </x:c>
      <x:c r="I340" s="8" t="n">
        <x:f>IF(ISNUMBER('Monthly data'!M340),LN(1+'Monthly data'!M340),"")</x:f>
        <x:v>2.744414273838136</x:v>
      </x:c>
      <x:c r="J340" s="8" t="n">
        <x:f>IF(ISNUMBER('Monthly data'!N340),LN(1+'Monthly data'!N340),"")</x:f>
        <x:v>2.6472663999507504</x:v>
      </x:c>
      <x:c r="K340" s="8" t="n">
        <x:f>IF(COUNT('Monthly data'!F338:F340)=3,'Monthly data'!F340-2*'Monthly data'!F339+'Monthly data'!F338,"")</x:f>
        <x:v>36.81999999999999</x:v>
      </x:c>
      <x:c r="L340" s="8" t="n">
        <x:f>IF(COUNT('Monthly data'!G338:G340)=3,'Monthly data'!G340-2*'Monthly data'!G339+'Monthly data'!G338,"")</x:f>
        <x:v>-7.669700000000002</x:v>
      </x:c>
      <x:c r="M340" s="8" t="n">
        <x:f>IF(COUNT('Monthly data'!H338:H340)=3,'Monthly data'!H340-2*'Monthly data'!H339+'Monthly data'!H338,"")</x:f>
        <x:v>14.416600000000003</x:v>
      </x:c>
      <x:c r="N340" s="8" t="n">
        <x:f>IF(COUNT('Monthly data'!I338:I340)=3,'Monthly data'!I340-2*'Monthly data'!I339+'Monthly data'!I338,"")</x:f>
        <x:v>6.6880999999999995</x:v>
      </x:c>
      <x:c r="O340" s="8" t="n">
        <x:f>IF(COUNT('Monthly data'!J338:J340)=3,'Monthly data'!J340-2*'Monthly data'!J339+'Monthly data'!J338,"")</x:f>
        <x:v>1.9341</x:v>
      </x:c>
      <x:c r="P340" s="8" t="n">
        <x:f>IF(COUNT('Monthly data'!K338:K340)=3,'Monthly data'!K340-2*'Monthly data'!K339+'Monthly data'!K338,"")</x:f>
        <x:v>7.268599999999999</x:v>
      </x:c>
      <x:c r="Q340" s="8" t="n">
        <x:f>IF(COUNT('Monthly data'!L338:L340)=3,'Monthly data'!L340-2*'Monthly data'!L339+'Monthly data'!L338,"")</x:f>
        <x:v>-0.4627</x:v>
      </x:c>
      <x:c r="R340" s="8" t="n">
        <x:f>IF(COUNT('Monthly data'!M338:M340)=3,'Monthly data'!M340-2*'Monthly data'!M339+'Monthly data'!M338,"")</x:f>
        <x:v>13.5286</x:v>
      </x:c>
      <x:c r="S340" s="8" t="n">
        <x:f>IF(COUNT('Monthly data'!N338:N340)=3,'Monthly data'!N340-2*'Monthly data'!N339+'Monthly data'!N338,"")</x:f>
        <x:v>1.1165999999999983</x:v>
      </x:c>
      <x:c r="T340" s="8" t="n">
        <x:f>IF(COUNT('Monthly data'!E339:E340)=2,'Monthly data'!E340-'Monthly data'!E339,"")</x:f>
        <x:v>-0.0010321649999998073</x:v>
      </x:c>
    </x:row>
    <x:row r="341" ht="19" customHeight="1">
      <x:c r="A341" s="7" t="n">
        <x:f>'Monthly data'!A341</x:f>
        <x:v>43191</x:v>
      </x:c>
      <x:c r="B341" s="8" t="n">
        <x:f>IF(ISNUMBER('Monthly data'!F341),LN(1+'Monthly data'!F341),"")</x:f>
        <x:v>4.7586635069452</x:v>
      </x:c>
      <x:c r="C341" s="8" t="n">
        <x:f>IF(ISNUMBER('Monthly data'!G341),LN(1+'Monthly data'!G341),"")</x:f>
        <x:v>3.5942390499598154</x:v>
      </x:c>
      <x:c r="D341" s="8" t="n">
        <x:f>IF(ISNUMBER('Monthly data'!H341),LN(1+'Monthly data'!H341),"")</x:f>
        <x:v>3.870594577064052</x:v>
      </x:c>
      <x:c r="E341" s="8" t="n">
        <x:f>IF(ISNUMBER('Monthly data'!I341),LN(1+'Monthly data'!I341),"")</x:f>
        <x:v>1.9097647024189601</x:v>
      </x:c>
      <x:c r="F341" s="8" t="n">
        <x:f>IF(ISNUMBER('Monthly data'!J341),LN(1+'Monthly data'!J341),"")</x:f>
        <x:v>1.4955074460932067</x:v>
      </x:c>
      <x:c r="G341" s="8" t="n">
        <x:f>IF(ISNUMBER('Monthly data'!K341),LN(1+'Monthly data'!K341),"")</x:f>
        <x:v>1.157981220474943</x:v>
      </x:c>
      <x:c r="H341" s="8" t="n">
        <x:f>IF(ISNUMBER('Monthly data'!L341),LN(1+'Monthly data'!L341),"")</x:f>
        <x:v>0.46108901185616136</x:v>
      </x:c>
      <x:c r="I341" s="8" t="n">
        <x:f>IF(ISNUMBER('Monthly data'!M341),LN(1+'Monthly data'!M341),"")</x:f>
        <x:v>2.459956295651797</x:v>
      </x:c>
      <x:c r="J341" s="8" t="n">
        <x:f>IF(ISNUMBER('Monthly data'!N341),LN(1+'Monthly data'!N341),"")</x:f>
        <x:v>2.446209133076921</x:v>
      </x:c>
      <x:c r="K341" s="8" t="n">
        <x:f>IF(COUNT('Monthly data'!F339:F341)=3,'Monthly data'!F341-2*'Monthly data'!F340+'Monthly data'!F339,"")</x:f>
        <x:v>-36.59</x:v>
      </x:c>
      <x:c r="L341" s="8" t="n">
        <x:f>IF(COUNT('Monthly data'!G339:G341)=3,'Monthly data'!G341-2*'Monthly data'!G340+'Monthly data'!G339,"")</x:f>
        <x:v>22.517</x:v>
      </x:c>
      <x:c r="M341" s="8" t="n">
        <x:f>IF(COUNT('Monthly data'!H339:H341)=3,'Monthly data'!H341-2*'Monthly data'!H340+'Monthly data'!H339,"")</x:f>
        <x:v>-23.945700000000002</x:v>
      </x:c>
      <x:c r="N341" s="8" t="n">
        <x:f>IF(COUNT('Monthly data'!I339:I341)=3,'Monthly data'!I341-2*'Monthly data'!I340+'Monthly data'!I339,"")</x:f>
        <x:v>-15.426300000000001</x:v>
      </x:c>
      <x:c r="O341" s="8" t="n">
        <x:f>IF(COUNT('Monthly data'!J339:J341)=3,'Monthly data'!J341-2*'Monthly data'!J340+'Monthly data'!J339,"")</x:f>
        <x:v>1.1719</x:v>
      </x:c>
      <x:c r="P341" s="8" t="n">
        <x:f>IF(COUNT('Monthly data'!K339:K341)=3,'Monthly data'!K341-2*'Monthly data'!K340+'Monthly data'!K339,"")</x:f>
        <x:v>-3.4246999999999996</x:v>
      </x:c>
      <x:c r="Q341" s="8" t="n">
        <x:f>IF(COUNT('Monthly data'!L339:L341)=3,'Monthly data'!L341-2*'Monthly data'!L340+'Monthly data'!L339,"")</x:f>
        <x:v>0.6628000000000001</x:v>
      </x:c>
      <x:c r="R341" s="8" t="n">
        <x:f>IF(COUNT('Monthly data'!M339:M341)=3,'Monthly data'!M341-2*'Monthly data'!M340+'Monthly data'!M339,"")</x:f>
        <x:v>-14.6742</x:v>
      </x:c>
      <x:c r="S341" s="8" t="n">
        <x:f>IF(COUNT('Monthly data'!N339:N341)=3,'Monthly data'!N341-2*'Monthly data'!N340+'Monthly data'!N339,"")</x:f>
        <x:v>-3.4707999999999988</x:v>
      </x:c>
      <x:c r="T341" s="8" t="n">
        <x:f>IF(COUNT('Monthly data'!E340:E341)=2,'Monthly data'!E341-'Monthly data'!E340,"")</x:f>
        <x:v>-0.0032636463000006444</x:v>
      </x:c>
    </x:row>
    <x:row r="342" ht="19" customHeight="1">
      <x:c r="A342" s="7" t="n">
        <x:f>'Monthly data'!A342</x:f>
        <x:v>43221</x:v>
      </x:c>
      <x:c r="B342" s="8" t="n">
        <x:f>IF(ISNUMBER('Monthly data'!F342),LN(1+'Monthly data'!F342),"")</x:f>
        <x:v>4.773139236557646</x:v>
      </x:c>
      <x:c r="C342" s="8" t="n">
        <x:f>IF(ISNUMBER('Monthly data'!G342),LN(1+'Monthly data'!G342),"")</x:f>
        <x:v>2.7922013805125965</x:v>
      </x:c>
      <x:c r="D342" s="8" t="n">
        <x:f>IF(ISNUMBER('Monthly data'!H342),LN(1+'Monthly data'!H342),"")</x:f>
        <x:v>4.153110202300241</x:v>
      </x:c>
      <x:c r="E342" s="8" t="n">
        <x:f>IF(ISNUMBER('Monthly data'!I342),LN(1+'Monthly data'!I342),"")</x:f>
        <x:v>2.0293843251384653</x:v>
      </x:c>
      <x:c r="F342" s="8" t="n">
        <x:f>IF(ISNUMBER('Monthly data'!J342),LN(1+'Monthly data'!J342),"")</x:f>
        <x:v>0.8822374445492711</x:v>
      </x:c>
      <x:c r="G342" s="8" t="n">
        <x:f>IF(ISNUMBER('Monthly data'!K342),LN(1+'Monthly data'!K342),"")</x:f>
        <x:v>1.881036333617652</x:v>
      </x:c>
      <x:c r="H342" s="8" t="n">
        <x:f>IF(ISNUMBER('Monthly data'!L342),LN(1+'Monthly data'!L342),"")</x:f>
        <x:v>0.31276485281924404</x:v>
      </x:c>
      <x:c r="I342" s="8" t="n">
        <x:f>IF(ISNUMBER('Monthly data'!M342),LN(1+'Monthly data'!M342),"")</x:f>
        <x:v>2.494898233915653</x:v>
      </x:c>
      <x:c r="J342" s="8" t="n">
        <x:f>IF(ISNUMBER('Monthly data'!N342),LN(1+'Monthly data'!N342),"")</x:f>
        <x:v>2.7257460355045486</x:v>
      </x:c>
      <x:c r="K342" s="8" t="n">
        <x:f>IF(COUNT('Monthly data'!F340:F342)=3,'Monthly data'!F342-2*'Monthly data'!F341+'Monthly data'!F340,"")</x:f>
        <x:v>7.980000000000004</x:v>
      </x:c>
      <x:c r="L342" s="8" t="n">
        <x:f>IF(COUNT('Monthly data'!G340:G342)=3,'Monthly data'!G342-2*'Monthly data'!G341+'Monthly data'!G340,"")</x:f>
        <x:v>-39.437799999999996</x:v>
      </x:c>
      <x:c r="M342" s="8" t="n">
        <x:f>IF(COUNT('Monthly data'!H340:H342)=3,'Monthly data'!H342-2*'Monthly data'!H341+'Monthly data'!H340,"")</x:f>
        <x:v>24.648699999999998</x:v>
      </x:c>
      <x:c r="N342" s="8" t="n">
        <x:f>IF(COUNT('Monthly data'!I340:I342)=3,'Monthly data'!I342-2*'Monthly data'!I341+'Monthly data'!I340,"")</x:f>
        <x:v>9.4561</x:v>
      </x:c>
      <x:c r="O342" s="8" t="n">
        <x:f>IF(COUNT('Monthly data'!J340:J342)=3,'Monthly data'!J342-2*'Monthly data'!J341+'Monthly data'!J340,"")</x:f>
        <x:v>-3.0896</x:v>
      </x:c>
      <x:c r="P342" s="8" t="n">
        <x:f>IF(COUNT('Monthly data'!K340:K342)=3,'Monthly data'!K342-2*'Monthly data'!K341+'Monthly data'!K340,"")</x:f>
        <x:v>6.5423</x:v>
      </x:c>
      <x:c r="Q342" s="8" t="n">
        <x:f>IF(COUNT('Monthly data'!L340:L342)=3,'Monthly data'!L342-2*'Monthly data'!L341+'Monthly data'!L340,"")</x:f>
        <x:v>-0.7015</x:v>
      </x:c>
      <x:c r="R342" s="8" t="n">
        <x:f>IF(COUNT('Monthly data'!M340:M342)=3,'Monthly data'!M342-2*'Monthly data'!M341+'Monthly data'!M340,"")</x:f>
        <x:v>4.2674</x:v>
      </x:c>
      <x:c r="S342" s="8" t="n">
        <x:f>IF(COUNT('Monthly data'!N340:N342)=3,'Monthly data'!N342-2*'Monthly data'!N341+'Monthly data'!N340,"")</x:f>
        <x:v>6.2942</x:v>
      </x:c>
      <x:c r="T342" s="8" t="n">
        <x:f>IF(COUNT('Monthly data'!E341:E342)=2,'Monthly data'!E342-'Monthly data'!E341,"")</x:f>
        <x:v>-0.00101892540000037</x:v>
      </x:c>
    </x:row>
    <x:row r="343" ht="19" customHeight="1">
      <x:c r="A343" s="7" t="n">
        <x:f>'Monthly data'!A343</x:f>
        <x:v>43252</x:v>
      </x:c>
      <x:c r="B343" s="8" t="n">
        <x:f>IF(ISNUMBER('Monthly data'!F343),LN(1+'Monthly data'!F343),"")</x:f>
        <x:v>4.682964213428112</x:v>
      </x:c>
      <x:c r="C343" s="8" t="n">
        <x:f>IF(ISNUMBER('Monthly data'!G343),LN(1+'Monthly data'!G343),"")</x:f>
        <x:v>2.427462901126296</x:v>
      </x:c>
      <x:c r="D343" s="8" t="n">
        <x:f>IF(ISNUMBER('Monthly data'!H343),LN(1+'Monthly data'!H343),"")</x:f>
        <x:v>4.096430718018467</x:v>
      </x:c>
      <x:c r="E343" s="8" t="n">
        <x:f>IF(ISNUMBER('Monthly data'!I343),LN(1+'Monthly data'!I343),"")</x:f>
        <x:v>1.7536594611834737</x:v>
      </x:c>
      <x:c r="F343" s="8" t="n">
        <x:f>IF(ISNUMBER('Monthly data'!J343),LN(1+'Monthly data'!J343),"")</x:f>
        <x:v>1.3889907226676332</x:v>
      </x:c>
      <x:c r="G343" s="8" t="n">
        <x:f>IF(ISNUMBER('Monthly data'!K343),LN(1+'Monthly data'!K343),"")</x:f>
        <x:v>1.6693093094714908</x:v>
      </x:c>
      <x:c r="H343" s="8" t="n">
        <x:f>IF(ISNUMBER('Monthly data'!L343),LN(1+'Monthly data'!L343),"")</x:f>
        <x:v>0.09875877202326395</x:v>
      </x:c>
      <x:c r="I343" s="8" t="n">
        <x:f>IF(ISNUMBER('Monthly data'!M343),LN(1+'Monthly data'!M343),"")</x:f>
        <x:v>2.6337288728563624</x:v>
      </x:c>
      <x:c r="J343" s="8" t="n">
        <x:f>IF(ISNUMBER('Monthly data'!N343),LN(1+'Monthly data'!N343),"")</x:f>
        <x:v>2.603452357499064</x:v>
      </x:c>
      <x:c r="K343" s="8" t="n">
        <x:f>IF(COUNT('Monthly data'!F341:F343)=3,'Monthly data'!F343-2*'Monthly data'!F342+'Monthly data'!F341,"")</x:f>
        <x:v>-11.900000000000006</x:v>
      </x:c>
      <x:c r="L343" s="8" t="n">
        <x:f>IF(COUNT('Monthly data'!G341:G343)=3,'Monthly data'!G343-2*'Monthly data'!G342+'Monthly data'!G341,"")</x:f>
        <x:v>15.084299999999999</x:v>
      </x:c>
      <x:c r="M343" s="8" t="n">
        <x:f>IF(COUNT('Monthly data'!H341:H343)=3,'Monthly data'!H343-2*'Monthly data'!H342+'Monthly data'!H341,"")</x:f>
        <x:v>-19.167</x:v>
      </x:c>
      <x:c r="N343" s="8" t="n">
        <x:f>IF(COUNT('Monthly data'!I341:I343)=3,'Monthly data'!I343-2*'Monthly data'!I342+'Monthly data'!I341,"")</x:f>
        <x:v>-2.691600000000001</x:v>
      </x:c>
      <x:c r="O343" s="8" t="n">
        <x:f>IF(COUNT('Monthly data'!J341:J343)=3,'Monthly data'!J343-2*'Monthly data'!J342+'Monthly data'!J341,"")</x:f>
        <x:v>3.6398</x:v>
      </x:c>
      <x:c r="P343" s="8" t="n">
        <x:f>IF(COUNT('Monthly data'!K341:K343)=3,'Monthly data'!K343-2*'Monthly data'!K342+'Monthly data'!K341,"")</x:f>
        <x:v>-4.628599999999999</x:v>
      </x:c>
      <x:c r="Q343" s="8" t="n">
        <x:f>IF(COUNT('Monthly data'!L341:L343)=3,'Monthly data'!L343-2*'Monthly data'!L342+'Monthly data'!L341,"")</x:f>
        <x:v>-0.04480000000000006</x:v>
      </x:c>
      <x:c r="R343" s="8" t="n">
        <x:f>IF(COUNT('Monthly data'!M341:M343)=3,'Monthly data'!M343-2*'Monthly data'!M342+'Monthly data'!M341,"")</x:f>
        <x:v>1.3888999999999996</x:v>
      </x:c>
      <x:c r="S343" s="8" t="n">
        <x:f>IF(COUNT('Monthly data'!N341:N343)=3,'Monthly data'!N343-2*'Monthly data'!N342+'Monthly data'!N341,"")</x:f>
        <x:v>-5.480799999999999</x:v>
      </x:c>
      <x:c r="T343" s="8" t="n">
        <x:f>IF(COUNT('Monthly data'!E342:E343)=2,'Monthly data'!E343-'Monthly data'!E342,"")</x:f>
        <x:v>0.002022075800001133</x:v>
      </x:c>
    </x:row>
    <x:row r="344" ht="19" customHeight="1">
      <x:c r="A344" s="7" t="n">
        <x:f>'Monthly data'!A344</x:f>
        <x:v>43282</x:v>
      </x:c>
      <x:c r="B344" s="8" t="n">
        <x:f>IF(ISNUMBER('Monthly data'!F344),LN(1+'Monthly data'!F344),"")</x:f>
        <x:v>4.7960384487505126</x:v>
      </x:c>
      <x:c r="C344" s="8" t="n">
        <x:f>IF(ISNUMBER('Monthly data'!G344),LN(1+'Monthly data'!G344),"")</x:f>
        <x:v>2.252953574985714</x:v>
      </x:c>
      <x:c r="D344" s="8" t="n">
        <x:f>IF(ISNUMBER('Monthly data'!H344),LN(1+'Monthly data'!H344),"")</x:f>
        <x:v>4.256772320897276</x:v>
      </x:c>
      <x:c r="E344" s="8" t="n">
        <x:f>IF(ISNUMBER('Monthly data'!I344),LN(1+'Monthly data'!I344),"")</x:f>
        <x:v>2.2242234715029943</x:v>
      </x:c>
      <x:c r="F344" s="8" t="n">
        <x:f>IF(ISNUMBER('Monthly data'!J344),LN(1+'Monthly data'!J344),"")</x:f>
        <x:v>1.699918265562475</x:v>
      </x:c>
      <x:c r="G344" s="8" t="n">
        <x:f>IF(ISNUMBER('Monthly data'!K344),LN(1+'Monthly data'!K344),"")</x:f>
        <x:v>1.363665243059529</x:v>
      </x:c>
      <x:c r="H344" s="8" t="n">
        <x:f>IF(ISNUMBER('Monthly data'!L344),LN(1+'Monthly data'!L344),"")</x:f>
        <x:v>0.49883401091361257</x:v>
      </x:c>
      <x:c r="I344" s="8" t="n">
        <x:f>IF(ISNUMBER('Monthly data'!M344),LN(1+'Monthly data'!M344),"")</x:f>
        <x:v>2.6030007481704684</x:v>
      </x:c>
      <x:c r="J344" s="8" t="n">
        <x:f>IF(ISNUMBER('Monthly data'!N344),LN(1+'Monthly data'!N344),"")</x:f>
        <x:v>2.6497852929702344</x:v>
      </x:c>
      <x:c r="K344" s="8" t="n">
        <x:f>IF(COUNT('Monthly data'!F342:F344)=3,'Monthly data'!F344-2*'Monthly data'!F343+'Monthly data'!F342,"")</x:f>
        <x:v>23.14</x:v>
      </x:c>
      <x:c r="L344" s="8" t="n">
        <x:f>IF(COUNT('Monthly data'!G342:G344)=3,'Monthly data'!G344-2*'Monthly data'!G343+'Monthly data'!G342,"")</x:f>
        <x:v>3.172500000000001</x:v>
      </x:c>
      <x:c r="M344" s="8" t="n">
        <x:f>IF(COUNT('Monthly data'!H342:H344)=3,'Monthly data'!H344-2*'Monthly data'!H343+'Monthly data'!H342,"")</x:f>
        <x:v>13.962799999999994</x:v>
      </x:c>
      <x:c r="N344" s="8" t="n">
        <x:f>IF(COUNT('Monthly data'!I342:I344)=3,'Monthly data'!I344-2*'Monthly data'!I343+'Monthly data'!I342,"")</x:f>
        <x:v>5.3043000000000005</x:v>
      </x:c>
      <x:c r="O344" s="8" t="n">
        <x:f>IF(COUNT('Monthly data'!J342:J344)=3,'Monthly data'!J344-2*'Monthly data'!J343+'Monthly data'!J342,"")</x:f>
        <x:v>-0.1318000000000008</x:v>
      </x:c>
      <x:c r="P344" s="8" t="n">
        <x:f>IF(COUNT('Monthly data'!K342:K344)=3,'Monthly data'!K344-2*'Monthly data'!K343+'Monthly data'!K342,"")</x:f>
        <x:v>-0.14620000000000122</x:v>
      </x:c>
      <x:c r="Q344" s="8" t="n">
        <x:f>IF(COUNT('Monthly data'!L342:L344)=3,'Monthly data'!L344-2*'Monthly data'!L343+'Monthly data'!L342,"")</x:f>
        <x:v>0.8064</x:v>
      </x:c>
      <x:c r="R344" s="8" t="n">
        <x:f>IF(COUNT('Monthly data'!M342:M344)=3,'Monthly data'!M344-2*'Monthly data'!M343+'Monthly data'!M342,"")</x:f>
        <x:v>-2.226499999999998</x:v>
      </x:c>
      <x:c r="S344" s="8" t="n">
        <x:f>IF(COUNT('Monthly data'!N342:N344)=3,'Monthly data'!N344-2*'Monthly data'!N343+'Monthly data'!N342,"")</x:f>
        <x:v>2.3981999999999974</x:v>
      </x:c>
      <x:c r="T344" s="8" t="n">
        <x:f>IF(COUNT('Monthly data'!E343:E344)=2,'Monthly data'!E344-'Monthly data'!E343,"")</x:f>
        <x:v>0.00867260459999919</x:v>
      </x:c>
    </x:row>
    <x:row r="345" ht="19" customHeight="1">
      <x:c r="A345" s="7" t="n">
        <x:f>'Monthly data'!A345</x:f>
        <x:v>43313</x:v>
      </x:c>
      <x:c r="B345" s="8" t="n">
        <x:f>IF(ISNUMBER('Monthly data'!F345),LN(1+'Monthly data'!F345),"")</x:f>
        <x:v>4.593097604753822</x:v>
      </x:c>
      <x:c r="C345" s="8" t="n">
        <x:f>IF(ISNUMBER('Monthly data'!G345),LN(1+'Monthly data'!G345),"")</x:f>
        <x:v>2.7789621189301643</x:v>
      </x:c>
      <x:c r="D345" s="8" t="n">
        <x:f>IF(ISNUMBER('Monthly data'!H345),LN(1+'Monthly data'!H345),"")</x:f>
        <x:v>3.644888380864025</x:v>
      </x:c>
      <x:c r="E345" s="8" t="n">
        <x:f>IF(ISNUMBER('Monthly data'!I345),LN(1+'Monthly data'!I345),"")</x:f>
        <x:v>2.149340669059503</x:v>
      </x:c>
      <x:c r="F345" s="8" t="n">
        <x:f>IF(ISNUMBER('Monthly data'!J345),LN(1+'Monthly data'!J345),"")</x:f>
        <x:v>1.5487107853641815</x:v>
      </x:c>
      <x:c r="G345" s="8" t="n">
        <x:f>IF(ISNUMBER('Monthly data'!K345),LN(1+'Monthly data'!K345),"")</x:f>
        <x:v>1.0482659142313713</x:v>
      </x:c>
      <x:c r="H345" s="8" t="n">
        <x:f>IF(ISNUMBER('Monthly data'!L345),LN(1+'Monthly data'!L345),"")</x:f>
        <x:v>0.37094267406974146</x:v>
      </x:c>
      <x:c r="I345" s="8" t="n">
        <x:f>IF(ISNUMBER('Monthly data'!M345),LN(1+'Monthly data'!M345),"")</x:f>
        <x:v>2.683935088393344</x:v>
      </x:c>
      <x:c r="J345" s="8" t="n">
        <x:f>IF(ISNUMBER('Monthly data'!N345),LN(1+'Monthly data'!N345),"")</x:f>
        <x:v>2.9543945210534517</x:v>
      </x:c>
      <x:c r="K345" s="8" t="n">
        <x:f>IF(COUNT('Monthly data'!F343:F345)=3,'Monthly data'!F345-2*'Monthly data'!F344+'Monthly data'!F343,"")</x:f>
        <x:v>-35.16999999999999</x:v>
      </x:c>
      <x:c r="L345" s="8" t="n">
        <x:f>IF(COUNT('Monthly data'!G343:G345)=3,'Monthly data'!G345-2*'Monthly data'!G344+'Monthly data'!G343,"")</x:f>
        <x:v>8.400799999999998</x:v>
      </x:c>
      <x:c r="M345" s="8" t="n">
        <x:f>IF(COUNT('Monthly data'!H343:H345)=3,'Monthly data'!H345-2*'Monthly data'!H344+'Monthly data'!H343,"")</x:f>
        <x:v>-42.75979999999999</x:v>
      </x:c>
      <x:c r="N345" s="8" t="n">
        <x:f>IF(COUNT('Monthly data'!I343:I345)=3,'Monthly data'!I345-2*'Monthly data'!I344+'Monthly data'!I343,"")</x:f>
        <x:v>-4.1377</x:v>
      </x:c>
      <x:c r="O345" s="8" t="n">
        <x:f>IF(COUNT('Monthly data'!J343:J345)=3,'Monthly data'!J345-2*'Monthly data'!J344+'Monthly data'!J343,"")</x:f>
        <x:v>-2.230799999999999</x:v>
      </x:c>
      <x:c r="P345" s="8" t="n">
        <x:f>IF(COUNT('Monthly data'!K343:K345)=3,'Monthly data'!K345-2*'Monthly data'!K344+'Monthly data'!K343,"")</x:f>
        <x:v>0.3402000000000007</x:v>
      </x:c>
      <x:c r="Q345" s="8" t="n">
        <x:f>IF(COUNT('Monthly data'!L343:L345)=3,'Monthly data'!L345-2*'Monthly data'!L344+'Monthly data'!L343,"")</x:f>
        <x:v>-0.7407</x:v>
      </x:c>
      <x:c r="R345" s="8" t="n">
        <x:f>IF(COUNT('Monthly data'!M343:M345)=3,'Monthly data'!M345-2*'Monthly data'!M344+'Monthly data'!M343,"")</x:f>
        <x:v>1.5597999999999974</x:v>
      </x:c>
      <x:c r="S345" s="8" t="n">
        <x:f>IF(COUNT('Monthly data'!N343:N345)=3,'Monthly data'!N345-2*'Monthly data'!N344+'Monthly data'!N343,"")</x:f>
        <x:v>4.398400000000002</x:v>
      </x:c>
      <x:c r="T345" s="8" t="n">
        <x:f>IF(COUNT('Monthly data'!E344:E345)=2,'Monthly data'!E345-'Monthly data'!E344,"")</x:f>
        <x:v>0.004959095800000313</x:v>
      </x:c>
    </x:row>
    <x:row r="346" ht="19" customHeight="1">
      <x:c r="A346" s="7" t="n">
        <x:f>'Monthly data'!A346</x:f>
        <x:v>43344</x:v>
      </x:c>
      <x:c r="B346" s="8" t="n">
        <x:f>IF(ISNUMBER('Monthly data'!F346),LN(1+'Monthly data'!F346),"")</x:f>
        <x:v>4.428074948165718</x:v>
      </x:c>
      <x:c r="C346" s="8" t="n">
        <x:f>IF(ISNUMBER('Monthly data'!G346),LN(1+'Monthly data'!G346),"")</x:f>
        <x:v>2.517365772774537</x:v>
      </x:c>
      <x:c r="D346" s="8" t="n">
        <x:f>IF(ISNUMBER('Monthly data'!H346),LN(1+'Monthly data'!H346),"")</x:f>
        <x:v>3.6761766135792486</x:v>
      </x:c>
      <x:c r="E346" s="8" t="n">
        <x:f>IF(ISNUMBER('Monthly data'!I346),LN(1+'Monthly data'!I346),"")</x:f>
        <x:v>2.110443476861221</x:v>
      </x:c>
      <x:c r="F346" s="8" t="n">
        <x:f>IF(ISNUMBER('Monthly data'!J346),LN(1+'Monthly data'!J346),"")</x:f>
        <x:v>1.5491994660423367</x:v>
      </x:c>
      <x:c r="G346" s="8" t="n">
        <x:f>IF(ISNUMBER('Monthly data'!K346),LN(1+'Monthly data'!K346),"")</x:f>
        <x:v>0.8599743163952513</x:v>
      </x:c>
      <x:c r="H346" s="8" t="n">
        <x:f>IF(ISNUMBER('Monthly data'!L346),LN(1+'Monthly data'!L346),"")</x:f>
        <x:v>0.5357913697837386</x:v>
      </x:c>
      <x:c r="I346" s="8" t="n">
        <x:f>IF(ISNUMBER('Monthly data'!M346),LN(1+'Monthly data'!M346),"")</x:f>
        <x:v>2.2967883241468683</x:v>
      </x:c>
      <x:c r="J346" s="8" t="n">
        <x:f>IF(ISNUMBER('Monthly data'!N346),LN(1+'Monthly data'!N346),"")</x:f>
        <x:v>2.476966879735551</x:v>
      </x:c>
      <x:c r="K346" s="8" t="n">
        <x:f>IF(COUNT('Monthly data'!F344:F346)=3,'Monthly data'!F346-2*'Monthly data'!F345+'Monthly data'!F344,"")</x:f>
        <x:v>7.200000000000003</x:v>
      </x:c>
      <x:c r="L346" s="8" t="n">
        <x:f>IF(COUNT('Monthly data'!G344:G346)=3,'Monthly data'!G346-2*'Monthly data'!G345+'Monthly data'!G344,"")</x:f>
        <x:v>-10.292900000000001</x:v>
      </x:c>
      <x:c r="M346" s="8" t="n">
        <x:f>IF(COUNT('Monthly data'!H344:H346)=3,'Monthly data'!H346-2*'Monthly data'!H345+'Monthly data'!H344,"")</x:f>
        <x:v>33.5199</x:v>
      </x:c>
      <x:c r="N346" s="8" t="n">
        <x:f>IF(COUNT('Monthly data'!I344:I346)=3,'Monthly data'!I346-2*'Monthly data'!I345+'Monthly data'!I344,"")</x:f>
        <x:v>0.33979999999999944</x:v>
      </x:c>
      <x:c r="O346" s="8" t="n">
        <x:f>IF(COUNT('Monthly data'!J344:J346)=3,'Monthly data'!J346-2*'Monthly data'!J345+'Monthly data'!J344,"")</x:f>
        <x:v>0.7703999999999995</x:v>
      </x:c>
      <x:c r="P346" s="8" t="n">
        <x:f>IF(COUNT('Monthly data'!K344:K346)=3,'Monthly data'!K346-2*'Monthly data'!K345+'Monthly data'!K344,"")</x:f>
        <x:v>0.5682</x:v>
      </x:c>
      <x:c r="Q346" s="8" t="n">
        <x:f>IF(COUNT('Monthly data'!L344:L346)=3,'Monthly data'!L346-2*'Monthly data'!L345+'Monthly data'!L344,"")</x:f>
        <x:v>0.45740000000000003</x:v>
      </x:c>
      <x:c r="R346" s="8" t="n">
        <x:f>IF(COUNT('Monthly data'!M344:M346)=3,'Monthly data'!M346-2*'Monthly data'!M345+'Monthly data'!M344,"")</x:f>
        <x:v>-5.838799999999999</x:v>
      </x:c>
      <x:c r="S346" s="8" t="n">
        <x:f>IF(COUNT('Monthly data'!N344:N346)=3,'Monthly data'!N346-2*'Monthly data'!N345+'Monthly data'!N344,"")</x:f>
        <x:v>-12.324100000000005</x:v>
      </x:c>
      <x:c r="T346" s="8" t="n">
        <x:f>IF(COUNT('Monthly data'!E345:E346)=2,'Monthly data'!E346-'Monthly data'!E345,"")</x:f>
        <x:v>0.0017548084999994273</x:v>
      </x:c>
    </x:row>
    <x:row r="347" ht="19" customHeight="1">
      <x:c r="A347" s="7" t="n">
        <x:f>'Monthly data'!A347</x:f>
        <x:v>43374</x:v>
      </x:c>
      <x:c r="B347" s="8" t="n">
        <x:f>IF(ISNUMBER('Monthly data'!F347),LN(1+'Monthly data'!F347),"")</x:f>
        <x:v>4.746409297680816</x:v>
      </x:c>
      <x:c r="C347" s="8" t="n">
        <x:f>IF(ISNUMBER('Monthly data'!G347),LN(1+'Monthly data'!G347),"")</x:f>
        <x:v>2.022302245304206</x:v>
      </x:c>
      <x:c r="D347" s="8" t="n">
        <x:f>IF(ISNUMBER('Monthly data'!H347),LN(1+'Monthly data'!H347),"")</x:f>
        <x:v>4.167412231543662</x:v>
      </x:c>
      <x:c r="E347" s="8" t="n">
        <x:f>IF(ISNUMBER('Monthly data'!I347),LN(1+'Monthly data'!I347),"")</x:f>
        <x:v>3.0412552013528904</x:v>
      </x:c>
      <x:c r="F347" s="8" t="n">
        <x:f>IF(ISNUMBER('Monthly data'!J347),LN(1+'Monthly data'!J347),"")</x:f>
        <x:v>1.1190356383089881</x:v>
      </x:c>
      <x:c r="G347" s="8" t="n">
        <x:f>IF(ISNUMBER('Monthly data'!K347),LN(1+'Monthly data'!K347),"")</x:f>
        <x:v>0.8758853172391161</x:v>
      </x:c>
      <x:c r="H347" s="8" t="n">
        <x:f>IF(ISNUMBER('Monthly data'!L347),LN(1+'Monthly data'!L347),"")</x:f>
        <x:v>0.3148837298769258</x:v>
      </x:c>
      <x:c r="I347" s="8" t="n">
        <x:f>IF(ISNUMBER('Monthly data'!M347),LN(1+'Monthly data'!M347),"")</x:f>
        <x:v>1.6939628675037883</x:v>
      </x:c>
      <x:c r="J347" s="8" t="n">
        <x:f>IF(ISNUMBER('Monthly data'!N347),LN(1+'Monthly data'!N347),"")</x:f>
        <x:v>2.8249795391291124</x:v>
      </x:c>
      <x:c r="K347" s="8" t="n">
        <x:f>IF(COUNT('Monthly data'!F345:F347)=3,'Monthly data'!F347-2*'Monthly data'!F346+'Monthly data'!F345,"")</x:f>
        <x:v>46.43000000000001</x:v>
      </x:c>
      <x:c r="L347" s="8" t="n">
        <x:f>IF(COUNT('Monthly data'!G345:G347)=3,'Monthly data'!G347-2*'Monthly data'!G346+'Monthly data'!G345,"")</x:f>
        <x:v>-1.1338000000000008</x:v>
      </x:c>
      <x:c r="M347" s="8" t="n">
        <x:f>IF(COUNT('Monthly data'!H345:H347)=3,'Monthly data'!H347-2*'Monthly data'!H346+'Monthly data'!H345,"")</x:f>
        <x:v>23.8365</x:v>
      </x:c>
      <x:c r="N347" s="8" t="n">
        <x:f>IF(COUNT('Monthly data'!I345:I347)=3,'Monthly data'!I347-2*'Monthly data'!I346+'Monthly data'!I345,"")</x:f>
        <x:v>13.0069</x:v>
      </x:c>
      <x:c r="O347" s="8" t="n">
        <x:f>IF(COUNT('Monthly data'!J345:J347)=3,'Monthly data'!J347-2*'Monthly data'!J346+'Monthly data'!J345,"")</x:f>
        <x:v>-1.6481000000000003</x:v>
      </x:c>
      <x:c r="P347" s="8" t="n">
        <x:f>IF(COUNT('Monthly data'!K345:K347)=3,'Monthly data'!K347-2*'Monthly data'!K346+'Monthly data'!K345,"")</x:f>
        <x:v>0.5275000000000001</x:v>
      </x:c>
      <x:c r="Q347" s="8" t="n">
        <x:f>IF(COUNT('Monthly data'!L345:L347)=3,'Monthly data'!L347-2*'Monthly data'!L346+'Monthly data'!L345,"")</x:f>
        <x:v>-0.5983999999999998</x:v>
      </x:c>
      <x:c r="R347" s="8" t="n">
        <x:f>IF(COUNT('Monthly data'!M345:M347)=3,'Monthly data'!M347-2*'Monthly data'!M346+'Monthly data'!M345,"")</x:f>
        <x:v>0.19919999999999938</x:v>
      </x:c>
      <x:c r="S347" s="8" t="n">
        <x:f>IF(COUNT('Monthly data'!N345:N347)=3,'Monthly data'!N347-2*'Monthly data'!N346+'Monthly data'!N345,"")</x:f>
        <x:v>12.240500000000003</x:v>
      </x:c>
      <x:c r="T347" s="8" t="n">
        <x:f>IF(COUNT('Monthly data'!E346:E347)=2,'Monthly data'!E347-'Monthly data'!E346,"")</x:f>
        <x:v>0.010350748800000531</x:v>
      </x:c>
    </x:row>
    <x:row r="348" ht="19" customHeight="1">
      <x:c r="A348" s="7" t="n">
        <x:f>'Monthly data'!A348</x:f>
        <x:v>43405</x:v>
      </x:c>
      <x:c r="B348" s="8" t="n">
        <x:f>IF(ISNUMBER('Monthly data'!F348),LN(1+'Monthly data'!F348),"")</x:f>
        <x:v>4.561531728958262</x:v>
      </x:c>
      <x:c r="C348" s="8" t="n">
        <x:f>IF(ISNUMBER('Monthly data'!G348),LN(1+'Monthly data'!G348),"")</x:f>
        <x:v>2.756554610161825</x:v>
      </x:c>
      <x:c r="D348" s="8" t="n">
        <x:f>IF(ISNUMBER('Monthly data'!H348),LN(1+'Monthly data'!H348),"")</x:f>
        <x:v>3.809491816780479</x:v>
      </x:c>
      <x:c r="E348" s="8" t="n">
        <x:f>IF(ISNUMBER('Monthly data'!I348),LN(1+'Monthly data'!I348),"")</x:f>
        <x:v>2.3890196369808363</x:v>
      </x:c>
      <x:c r="F348" s="8" t="n">
        <x:f>IF(ISNUMBER('Monthly data'!J348),LN(1+'Monthly data'!J348),"")</x:f>
        <x:v>1.0473189942805592</x:v>
      </x:c>
      <x:c r="G348" s="8" t="n">
        <x:f>IF(ISNUMBER('Monthly data'!K348),LN(1+'Monthly data'!K348),"")</x:f>
        <x:v>0.8815750557856608</x:v>
      </x:c>
      <x:c r="H348" s="8" t="n">
        <x:f>IF(ISNUMBER('Monthly data'!L348),LN(1+'Monthly data'!L348),"")</x:f>
        <x:v>0.3985747574034102</x:v>
      </x:c>
      <x:c r="I348" s="8" t="n">
        <x:f>IF(ISNUMBER('Monthly data'!M348),LN(1+'Monthly data'!M348),"")</x:f>
        <x:v>2.0953025876108353</x:v>
      </x:c>
      <x:c r="J348" s="8" t="n">
        <x:f>IF(ISNUMBER('Monthly data'!N348),LN(1+'Monthly data'!N348),"")</x:f>
        <x:v>2.777072405492281</x:v>
      </x:c>
      <x:c r="K348" s="8" t="n">
        <x:f>IF(COUNT('Monthly data'!F346:F348)=3,'Monthly data'!F348-2*'Monthly data'!F347+'Monthly data'!F346,"")</x:f>
        <x:v>-50.84000000000002</x:v>
      </x:c>
      <x:c r="L348" s="8" t="n">
        <x:f>IF(COUNT('Monthly data'!G346:G348)=3,'Monthly data'!G348-2*'Monthly data'!G347+'Monthly data'!G346,"")</x:f>
        <x:v>13.03</x:v>
      </x:c>
      <x:c r="M348" s="8" t="n">
        <x:f>IF(COUNT('Monthly data'!H346:H348)=3,'Monthly data'!H348-2*'Monthly data'!H347+'Monthly data'!H346,"")</x:f>
        <x:v>-44.473800000000004</x:v>
      </x:c>
      <x:c r="N348" s="8" t="n">
        <x:f>IF(COUNT('Monthly data'!I346:I348)=3,'Monthly data'!I348-2*'Monthly data'!I347+'Monthly data'!I346,"")</x:f>
        <x:v>-22.7083</x:v>
      </x:c>
      <x:c r="O348" s="8" t="n">
        <x:f>IF(COUNT('Monthly data'!J346:J348)=3,'Monthly data'!J348-2*'Monthly data'!J347+'Monthly data'!J346,"")</x:f>
        <x:v>1.4339</x:v>
      </x:c>
      <x:c r="P348" s="8" t="n">
        <x:f>IF(COUNT('Monthly data'!K346:K348)=3,'Monthly data'!K348-2*'Monthly data'!K347+'Monthly data'!K346,"")</x:f>
        <x:v>-0.0242</x:v>
      </x:c>
      <x:c r="Q348" s="8" t="n">
        <x:f>IF(COUNT('Monthly data'!L346:L348)=3,'Monthly data'!L348-2*'Monthly data'!L347+'Monthly data'!L346,"")</x:f>
        <x:v>0.45830000000000004</x:v>
      </x:c>
      <x:c r="R348" s="8" t="n">
        <x:f>IF(COUNT('Monthly data'!M346:M348)=3,'Monthly data'!M348-2*'Monthly data'!M347+'Monthly data'!M346,"")</x:f>
        <x:v>7.1881</x:v>
      </x:c>
      <x:c r="S348" s="8" t="n">
        <x:f>IF(COUNT('Monthly data'!N346:N348)=3,'Monthly data'!N348-2*'Monthly data'!N347+'Monthly data'!N346,"")</x:f>
        <x:v>-5.744200000000001</x:v>
      </x:c>
      <x:c r="T348" s="8" t="n">
        <x:f>IF(COUNT('Monthly data'!E347:E348)=2,'Monthly data'!E348-'Monthly data'!E347,"")</x:f>
        <x:v>0.004238092199999599</x:v>
      </x:c>
    </x:row>
    <x:row r="349" ht="19" customHeight="1">
      <x:c r="A349" s="7" t="n">
        <x:f>'Monthly data'!A349</x:f>
        <x:v>43435</x:v>
      </x:c>
      <x:c r="B349" s="8" t="n">
        <x:f>IF(ISNUMBER('Monthly data'!F349),LN(1+'Monthly data'!F349),"")</x:f>
        <x:v>4.672267929520586</x:v>
      </x:c>
      <x:c r="C349" s="8" t="n">
        <x:f>IF(ISNUMBER('Monthly data'!G349),LN(1+'Monthly data'!G349),"")</x:f>
        <x:v>2.943670262727021</x:v>
      </x:c>
      <x:c r="D349" s="8" t="n">
        <x:f>IF(ISNUMBER('Monthly data'!H349),LN(1+'Monthly data'!H349),"")</x:f>
        <x:v>4.09150386459174</x:v>
      </x:c>
      <x:c r="E349" s="8" t="n">
        <x:f>IF(ISNUMBER('Monthly data'!I349),LN(1+'Monthly data'!I349),"")</x:f>
        <x:v>2.01463631831372</x:v>
      </x:c>
      <x:c r="F349" s="8" t="n">
        <x:f>IF(ISNUMBER('Monthly data'!J349),LN(1+'Monthly data'!J349),"")</x:f>
        <x:v>1.5625768862807772</x:v>
      </x:c>
      <x:c r="G349" s="8" t="n">
        <x:f>IF(ISNUMBER('Monthly data'!K349),LN(1+'Monthly data'!K349),"")</x:f>
        <x:v>0.686273611616773</x:v>
      </x:c>
      <x:c r="H349" s="8" t="n">
        <x:f>IF(ISNUMBER('Monthly data'!L349),LN(1+'Monthly data'!L349),"")</x:f>
        <x:v>0.10975086395911929</x:v>
      </x:c>
      <x:c r="I349" s="8" t="n">
        <x:f>IF(ISNUMBER('Monthly data'!M349),LN(1+'Monthly data'!M349),"")</x:f>
        <x:v>1.0894369907326575</x:v>
      </x:c>
      <x:c r="J349" s="8" t="n">
        <x:f>IF(ISNUMBER('Monthly data'!N349),LN(1+'Monthly data'!N349),"")</x:f>
        <x:v>2.820235375707134</x:v>
      </x:c>
      <x:c r="K349" s="8" t="n">
        <x:f>IF(COUNT('Monthly data'!F347:F349)=3,'Monthly data'!F349-2*'Monthly data'!F348+'Monthly data'!F347,"")</x:f>
        <x:v>30.64999999999999</x:v>
      </x:c>
      <x:c r="L349" s="8" t="n">
        <x:f>IF(COUNT('Monthly data'!G347:G349)=3,'Monthly data'!G349-2*'Monthly data'!G348+'Monthly data'!G347,"")</x:f>
        <x:v>-4.949900000000001</x:v>
      </x:c>
      <x:c r="M349" s="8" t="n">
        <x:f>IF(COUNT('Monthly data'!H347:H349)=3,'Monthly data'!H349-2*'Monthly data'!H348+'Monthly data'!H347,"")</x:f>
        <x:v>34.123000000000005</x:v>
      </x:c>
      <x:c r="N349" s="8" t="n">
        <x:f>IF(COUNT('Monthly data'!I347:I349)=3,'Monthly data'!I349-2*'Monthly data'!I348+'Monthly data'!I347,"")</x:f>
        <x:v>6.623900000000003</x:v>
      </x:c>
      <x:c r="O349" s="8" t="n">
        <x:f>IF(COUNT('Monthly data'!J347:J349)=3,'Monthly data'!J349-2*'Monthly data'!J348+'Monthly data'!J347,"")</x:f>
        <x:v>2.133</x:v>
      </x:c>
      <x:c r="P349" s="8" t="n">
        <x:f>IF(COUNT('Monthly data'!K347:K349)=3,'Monthly data'!K349-2*'Monthly data'!K348+'Monthly data'!K347,"")</x:f>
        <x:v>-0.44210000000000016</x:v>
      </x:c>
      <x:c r="Q349" s="8" t="n">
        <x:f>IF(COUNT('Monthly data'!L347:L349)=3,'Monthly data'!L349-2*'Monthly data'!L348+'Monthly data'!L347,"")</x:f>
        <x:v>-0.49330000000000007</x:v>
      </x:c>
      <x:c r="R349" s="8" t="n">
        <x:f>IF(COUNT('Monthly data'!M347:M349)=3,'Monthly data'!M349-2*'Monthly data'!M348+'Monthly data'!M347,"")</x:f>
        <x:v>-7.842200000000001</x:v>
      </x:c>
      <x:c r="S349" s="8" t="n">
        <x:f>IF(COUNT('Monthly data'!N347:N349)=3,'Monthly data'!N349-2*'Monthly data'!N348+'Monthly data'!N347,"")</x:f>
        <x:v>1.4976000000000003</x:v>
      </x:c>
      <x:c r="T349" s="8" t="n">
        <x:f>IF(COUNT('Monthly data'!E348:E349)=2,'Monthly data'!E349-'Monthly data'!E348,"")</x:f>
        <x:v>-0.0055309882000003086</x:v>
      </x:c>
    </x:row>
    <x:row r="350" ht="19" customHeight="1">
      <x:c r="A350" s="7" t="n">
        <x:f>'Monthly data'!A350</x:f>
        <x:v>43466</x:v>
      </x:c>
      <x:c r="B350" s="8" t="n">
        <x:f>IF(ISNUMBER('Monthly data'!F350),LN(1+'Monthly data'!F350),"")</x:f>
        <x:v>4.68213122712422</x:v>
      </x:c>
      <x:c r="C350" s="8" t="n">
        <x:f>IF(ISNUMBER('Monthly data'!G350),LN(1+'Monthly data'!G350),"")</x:f>
        <x:v>2.31927503777921</x:v>
      </x:c>
      <x:c r="D350" s="8" t="n">
        <x:f>IF(ISNUMBER('Monthly data'!H350),LN(1+'Monthly data'!H350),"")</x:f>
        <x:v>4.116350642484715</x:v>
      </x:c>
      <x:c r="E350" s="8" t="n">
        <x:f>IF(ISNUMBER('Monthly data'!I350),LN(1+'Monthly data'!I350),"")</x:f>
        <x:v>2.211039817036583</x:v>
      </x:c>
      <x:c r="F350" s="8" t="n">
        <x:f>IF(ISNUMBER('Monthly data'!J350),LN(1+'Monthly data'!J350),"")</x:f>
        <x:v>1.5999530732228853</x:v>
      </x:c>
      <x:c r="G350" s="8" t="n">
        <x:f>IF(ISNUMBER('Monthly data'!K350),LN(1+'Monthly data'!K350),"")</x:f>
        <x:v>1.0337892826241002</x:v>
      </x:c>
      <x:c r="H350" s="8" t="n">
        <x:f>IF(ISNUMBER('Monthly data'!L350),LN(1+'Monthly data'!L350),"")</x:f>
        <x:v>1.6746824342945015</x:v>
      </x:c>
      <x:c r="I350" s="8" t="n">
        <x:f>IF(ISNUMBER('Monthly data'!M350),LN(1+'Monthly data'!M350),"")</x:f>
        <x:v>1.9277898201869939</x:v>
      </x:c>
      <x:c r="J350" s="8" t="n">
        <x:f>IF(ISNUMBER('Monthly data'!N350),LN(1+'Monthly data'!N350),"")</x:f>
        <x:v>2.666922604334789</x:v>
      </x:c>
      <x:c r="K350" s="8" t="n">
        <x:f>IF(COUNT('Monthly data'!F348:F350)=3,'Monthly data'!F350-2*'Monthly data'!F349+'Monthly data'!F348,"")</x:f>
        <x:v>-10.149999999999991</x:v>
      </x:c>
      <x:c r="L350" s="8" t="n">
        <x:f>IF(COUNT('Monthly data'!G348:G350)=3,'Monthly data'!G350-2*'Monthly data'!G349+'Monthly data'!G348,"")</x:f>
        <x:v>-12.056999999999995</x:v>
      </x:c>
      <x:c r="M350" s="8" t="n">
        <x:f>IF(COUNT('Monthly data'!H348:H350)=3,'Monthly data'!H350-2*'Monthly data'!H349+'Monthly data'!H348,"")</x:f>
        <x:v>-13.197099999999999</x:v>
      </x:c>
      <x:c r="N350" s="8" t="n">
        <x:f>IF(COUNT('Monthly data'!I348:I350)=3,'Monthly data'!I350-2*'Monthly data'!I349+'Monthly data'!I348,"")</x:f>
        <x:v>5.031999999999998</x:v>
      </x:c>
      <x:c r="O350" s="8" t="n">
        <x:f>IF(COUNT('Monthly data'!J348:J350)=3,'Monthly data'!J350-2*'Monthly data'!J349+'Monthly data'!J348,"")</x:f>
        <x:v>-1.7394000000000003</x:v>
      </x:c>
      <x:c r="P350" s="8" t="n">
        <x:f>IF(COUNT('Monthly data'!K348:K350)=3,'Monthly data'!K350-2*'Monthly data'!K349+'Monthly data'!K348,"")</x:f>
        <x:v>1.2538000000000002</x:v>
      </x:c>
      <x:c r="Q350" s="8" t="n">
        <x:f>IF(COUNT('Monthly data'!L348:L350)=3,'Monthly data'!L350-2*'Monthly data'!L349+'Monthly data'!L348,"")</x:f>
        <x:v>4.5948</x:v>
      </x:c>
      <x:c r="R350" s="8" t="n">
        <x:f>IF(COUNT('Monthly data'!M348:M350)=3,'Monthly data'!M350-2*'Monthly data'!M349+'Monthly data'!M348,"")</x:f>
        <x:v>9.057</x:v>
      </x:c>
      <x:c r="S350" s="8" t="n">
        <x:f>IF(COUNT('Monthly data'!N348:N350)=3,'Monthly data'!N350-2*'Monthly data'!N349+'Monthly data'!N348,"")</x:f>
        <x:v>-3.0940999999999974</x:v>
      </x:c>
      <x:c r="T350" s="8" t="n">
        <x:f>IF(COUNT('Monthly data'!E349:E350)=2,'Monthly data'!E350-'Monthly data'!E349,"")</x:f>
        <x:v>-0.020869507599998727</x:v>
      </x:c>
    </x:row>
    <x:row r="351" ht="19" customHeight="1">
      <x:c r="A351" s="7" t="n">
        <x:f>'Monthly data'!A351</x:f>
        <x:v>43497</x:v>
      </x:c>
      <x:c r="B351" s="8" t="n">
        <x:f>IF(ISNUMBER('Monthly data'!F351),LN(1+'Monthly data'!F351),"")</x:f>
        <x:v>4.5974403879261505</x:v>
      </x:c>
      <x:c r="C351" s="8" t="n">
        <x:f>IF(ISNUMBER('Monthly data'!G351),LN(1+'Monthly data'!G351),"")</x:f>
        <x:v>2.4884420595222387</x:v>
      </x:c>
      <x:c r="D351" s="8" t="n">
        <x:f>IF(ISNUMBER('Monthly data'!H351),LN(1+'Monthly data'!H351),"")</x:f>
        <x:v>4.040945543580641</x:v>
      </x:c>
      <x:c r="E351" s="8" t="n">
        <x:f>IF(ISNUMBER('Monthly data'!I351),LN(1+'Monthly data'!I351),"")</x:f>
        <x:v>1.7671081057869258</x:v>
      </x:c>
      <x:c r="F351" s="8" t="n">
        <x:f>IF(ISNUMBER('Monthly data'!J351),LN(1+'Monthly data'!J351),"")</x:f>
        <x:v>1.1193621795867066</x:v>
      </x:c>
      <x:c r="G351" s="8" t="n">
        <x:f>IF(ISNUMBER('Monthly data'!K351),LN(1+'Monthly data'!K351),"")</x:f>
        <x:v>1.7566848159445643</x:v>
      </x:c>
      <x:c r="H351" s="8" t="n">
        <x:f>IF(ISNUMBER('Monthly data'!L351),LN(1+'Monthly data'!L351),"")</x:f>
        <x:v>1.3000826643008252</x:v>
      </x:c>
      <x:c r="I351" s="8" t="n">
        <x:f>IF(ISNUMBER('Monthly data'!M351),LN(1+'Monthly data'!M351),"")</x:f>
        <x:v>1.634286610403491</x:v>
      </x:c>
      <x:c r="J351" s="8" t="n">
        <x:f>IF(ISNUMBER('Monthly data'!N351),LN(1+'Monthly data'!N351),"")</x:f>
        <x:v>2.624820754498927</x:v>
      </x:c>
      <x:c r="K351" s="8" t="n">
        <x:f>IF(COUNT('Monthly data'!F349:F351)=3,'Monthly data'!F351-2*'Monthly data'!F350+'Monthly data'!F349,"")</x:f>
        <x:v>-9.829999999999998</x:v>
      </x:c>
      <x:c r="L351" s="8" t="n">
        <x:f>IF(COUNT('Monthly data'!G349:G351)=3,'Monthly data'!G351-2*'Monthly data'!G350+'Monthly data'!G349,"")</x:f>
        <x:v>10.691299999999998</x:v>
      </x:c>
      <x:c r="M351" s="8" t="n">
        <x:f>IF(COUNT('Monthly data'!H349:H351)=3,'Monthly data'!H351-2*'Monthly data'!H350+'Monthly data'!H349,"")</x:f>
        <x:v>-5.960100000000004</x:v>
      </x:c>
      <x:c r="N351" s="8" t="n">
        <x:f>IF(COUNT('Monthly data'!I349:I351)=3,'Monthly data'!I351-2*'Monthly data'!I350+'Monthly data'!I349,"")</x:f>
        <x:v>-4.898499999999999</x:v>
      </x:c>
      <x:c r="O351" s="8" t="n">
        <x:f>IF(COUNT('Monthly data'!J349:J351)=3,'Monthly data'!J351-2*'Monthly data'!J350+'Monthly data'!J349,"")</x:f>
        <x:v>-2.0715999999999997</x:v>
      </x:c>
      <x:c r="P351" s="8" t="n">
        <x:f>IF(COUNT('Monthly data'!K349:K351)=3,'Monthly data'!K351-2*'Monthly data'!K350+'Monthly data'!K349,"")</x:f>
        <x:v>2.1560999999999995</x:v>
      </x:c>
      <x:c r="Q351" s="8" t="n">
        <x:f>IF(COUNT('Monthly data'!L349:L351)=3,'Monthly data'!L351-2*'Monthly data'!L350+'Monthly data'!L349,"")</x:f>
        <x:v>-5.888600000000001</x:v>
      </x:c>
      <x:c r="R351" s="8" t="n">
        <x:f>IF(COUNT('Monthly data'!M349:M351)=3,'Monthly data'!M351-2*'Monthly data'!M350+'Monthly data'!M349,"")</x:f>
        <x:v>-5.6502</x:v>
      </x:c>
      <x:c r="S351" s="8" t="n">
        <x:f>IF(COUNT('Monthly data'!N349:N351)=3,'Monthly data'!N351-2*'Monthly data'!N350+'Monthly data'!N349,"")</x:f>
        <x:v>1.7916999999999987</x:v>
      </x:c>
      <x:c r="T351" s="8" t="n">
        <x:f>IF(COUNT('Monthly data'!E350:E351)=2,'Monthly data'!E351-'Monthly data'!E350,"")</x:f>
        <x:v>-0.0004540572000006904</x:v>
      </x:c>
    </x:row>
    <x:row r="352" ht="19" customHeight="1">
      <x:c r="A352" s="7" t="n">
        <x:f>'Monthly data'!A352</x:f>
        <x:v>43525</x:v>
      </x:c>
      <x:c r="B352" s="8" t="n">
        <x:f>IF(ISNUMBER('Monthly data'!F352),LN(1+'Monthly data'!F352),"")</x:f>
        <x:v>4.612542940317504</x:v>
      </x:c>
      <x:c r="C352" s="8" t="n">
        <x:f>IF(ISNUMBER('Monthly data'!G352),LN(1+'Monthly data'!G352),"")</x:f>
        <x:v>2.7282187745038406</x:v>
      </x:c>
      <x:c r="D352" s="8" t="n">
        <x:f>IF(ISNUMBER('Monthly data'!H352),LN(1+'Monthly data'!H352),"")</x:f>
        <x:v>3.8496049012833287</x:v>
      </x:c>
      <x:c r="E352" s="8" t="n">
        <x:f>IF(ISNUMBER('Monthly data'!I352),LN(1+'Monthly data'!I352),"")</x:f>
        <x:v>3.0937433481106487</x:v>
      </x:c>
      <x:c r="F352" s="8" t="n">
        <x:f>IF(ISNUMBER('Monthly data'!J352),LN(1+'Monthly data'!J352),"")</x:f>
        <x:v>1.1570069750451915</x:v>
      </x:c>
      <x:c r="G352" s="8" t="n">
        <x:f>IF(ISNUMBER('Monthly data'!K352),LN(1+'Monthly data'!K352),"")</x:f>
        <x:v>0.8682342984584661</x:v>
      </x:c>
      <x:c r="H352" s="8" t="n">
        <x:f>IF(ISNUMBER('Monthly data'!L352),LN(1+'Monthly data'!L352),"")</x:f>
        <x:v>0.7499055143785542</x:v>
      </x:c>
      <x:c r="I352" s="8" t="n">
        <x:f>IF(ISNUMBER('Monthly data'!M352),LN(1+'Monthly data'!M352),"")</x:f>
        <x:v>1.4579636478102502</x:v>
      </x:c>
      <x:c r="J352" s="8" t="n">
        <x:f>IF(ISNUMBER('Monthly data'!N352),LN(1+'Monthly data'!N352),"")</x:f>
        <x:v>2.435663883209549</x:v>
      </x:c>
      <x:c r="K352" s="8" t="n">
        <x:f>IF(COUNT('Monthly data'!F350:F352)=3,'Monthly data'!F352-2*'Monthly data'!F351+'Monthly data'!F350,"")</x:f>
        <x:v>10.279999999999987</x:v>
      </x:c>
      <x:c r="L352" s="8" t="n">
        <x:f>IF(COUNT('Monthly data'!G350:G352)=3,'Monthly data'!G352-2*'Monthly data'!G351+'Monthly data'!G350,"")</x:f>
        <x:v>1.3888999999999996</x:v>
      </x:c>
      <x:c r="M352" s="8" t="n">
        <x:f>IF(COUNT('Monthly data'!H350:H352)=3,'Monthly data'!H352-2*'Monthly data'!H351+'Monthly data'!H350,"")</x:f>
        <x:v>-5.4506999999999906</x:v>
      </x:c>
      <x:c r="N352" s="8" t="n">
        <x:f>IF(COUNT('Monthly data'!I350:I352)=3,'Monthly data'!I352-2*'Monthly data'!I351+'Monthly data'!I350,"")</x:f>
        <x:v>19.4769</x:v>
      </x:c>
      <x:c r="O352" s="8" t="n">
        <x:f>IF(COUNT('Monthly data'!J350:J352)=3,'Monthly data'!J352-2*'Monthly data'!J351+'Monthly data'!J350,"")</x:f>
        <x:v>2.0074</x:v>
      </x:c>
      <x:c r="P352" s="8" t="n">
        <x:f>IF(COUNT('Monthly data'!K350:K352)=3,'Monthly data'!K352-2*'Monthly data'!K351+'Monthly data'!K350,"")</x:f>
        <x:v>-6.3919999999999995</x:v>
      </x:c>
      <x:c r="Q352" s="8" t="n">
        <x:f>IF(COUNT('Monthly data'!L350:L352)=3,'Monthly data'!L352-2*'Monthly data'!L351+'Monthly data'!L350,"")</x:f>
        <x:v>0.11470000000000002</x:v>
      </x:c>
      <x:c r="R352" s="8" t="n">
        <x:f>IF(COUNT('Monthly data'!M350:M352)=3,'Monthly data'!M352-2*'Monthly data'!M351+'Monthly data'!M350,"")</x:f>
        <x:v>0.9199000000000002</x:v>
      </x:c>
      <x:c r="S352" s="8" t="n">
        <x:f>IF(COUNT('Monthly data'!N350:N352)=3,'Monthly data'!N352-2*'Monthly data'!N351+'Monthly data'!N350,"")</x:f>
        <x:v>-1.785199999999998</x:v>
      </x:c>
      <x:c r="T352" s="8" t="n">
        <x:f>IF(COUNT('Monthly data'!E351:E352)=2,'Monthly data'!E352-'Monthly data'!E351,"")</x:f>
        <x:v>-0.003626130200000688</x:v>
      </x:c>
    </x:row>
    <x:row r="353" ht="19" customHeight="1">
      <x:c r="A353" s="7" t="n">
        <x:f>'Monthly data'!A353</x:f>
        <x:v>43556</x:v>
      </x:c>
      <x:c r="B353" s="8" t="n">
        <x:f>IF(ISNUMBER('Monthly data'!F353),LN(1+'Monthly data'!F353),"")</x:f>
        <x:v>4.581594449459386</x:v>
      </x:c>
      <x:c r="C353" s="8" t="n">
        <x:f>IF(ISNUMBER('Monthly data'!G353),LN(1+'Monthly data'!G353),"")</x:f>
        <x:v>2.2817086894063916</x:v>
      </x:c>
      <x:c r="D353" s="8" t="n">
        <x:f>IF(ISNUMBER('Monthly data'!H353),LN(1+'Monthly data'!H353),"")</x:f>
        <x:v>3.787873748318137</x:v>
      </x:c>
      <x:c r="E353" s="8" t="n">
        <x:f>IF(ISNUMBER('Monthly data'!I353),LN(1+'Monthly data'!I353),"")</x:f>
        <x:v>2.98826445870647</x:v>
      </x:c>
      <x:c r="F353" s="8" t="n">
        <x:f>IF(ISNUMBER('Monthly data'!J353),LN(1+'Monthly data'!J353),"")</x:f>
        <x:v>1.4257554300008042</x:v>
      </x:c>
      <x:c r="G353" s="8" t="n">
        <x:f>IF(ISNUMBER('Monthly data'!K353),LN(1+'Monthly data'!K353),"")</x:f>
        <x:v>0.20693286526622776</x:v>
      </x:c>
      <x:c r="H353" s="8" t="n">
        <x:f>IF(ISNUMBER('Monthly data'!L353),LN(1+'Monthly data'!L353),"")</x:f>
        <x:v>1.3542101226470393</x:v>
      </x:c>
      <x:c r="I353" s="8" t="n">
        <x:f>IF(ISNUMBER('Monthly data'!M353),LN(1+'Monthly data'!M353),"")</x:f>
        <x:v>1.9343724160886708</x:v>
      </x:c>
      <x:c r="J353" s="8" t="n">
        <x:f>IF(ISNUMBER('Monthly data'!N353),LN(1+'Monthly data'!N353),"")</x:f>
        <x:v>2.686390650791156</x:v>
      </x:c>
      <x:c r="K353" s="8" t="n">
        <x:f>IF(COUNT('Monthly data'!F351:F353)=3,'Monthly data'!F353-2*'Monthly data'!F352+'Monthly data'!F351,"")</x:f>
        <x:v>-4.579999999999984</x:v>
      </x:c>
      <x:c r="L353" s="8" t="n">
        <x:f>IF(COUNT('Monthly data'!G351:G353)=3,'Monthly data'!G353-2*'Monthly data'!G352+'Monthly data'!G351,"")</x:f>
        <x:v>-8.775299999999998</x:v>
      </x:c>
      <x:c r="M353" s="8" t="n">
        <x:f>IF(COUNT('Monthly data'!H351:H353)=3,'Monthly data'!H353-2*'Monthly data'!H352+'Monthly data'!H351,"")</x:f>
        <x:v>7.093499999999999</x:v>
      </x:c>
      <x:c r="N353" s="8" t="n">
        <x:f>IF(COUNT('Monthly data'!I351:I353)=3,'Monthly data'!I353-2*'Monthly data'!I352+'Monthly data'!I351,"")</x:f>
        <x:v>-18.4139</x:v>
      </x:c>
      <x:c r="O353" s="8" t="n">
        <x:f>IF(COUNT('Monthly data'!J351:J353)=3,'Monthly data'!J353-2*'Monthly data'!J352+'Monthly data'!J351,"")</x:f>
        <x:v>0.8630999999999998</x:v>
      </x:c>
      <x:c r="P353" s="8" t="n">
        <x:f>IF(COUNT('Monthly data'!K351:K353)=3,'Monthly data'!K353-2*'Monthly data'!K352+'Monthly data'!K351,"")</x:f>
        <x:v>2.2577</x:v>
      </x:c>
      <x:c r="Q353" s="8" t="n">
        <x:f>IF(COUNT('Monthly data'!L351:L353)=3,'Monthly data'!L353-2*'Monthly data'!L352+'Monthly data'!L351,"")</x:f>
        <x:v>3.3097</x:v>
      </x:c>
      <x:c r="R353" s="8" t="n">
        <x:f>IF(COUNT('Monthly data'!M351:M353)=3,'Monthly data'!M353-2*'Monthly data'!M352+'Monthly data'!M351,"")</x:f>
        <x:v>3.4510999999999994</x:v>
      </x:c>
      <x:c r="S353" s="8" t="n">
        <x:f>IF(COUNT('Monthly data'!N351:N353)=3,'Monthly data'!N353-2*'Monthly data'!N352+'Monthly data'!N351,"")</x:f>
        <x:v>5.633899999999997</x:v>
      </x:c>
      <x:c r="T353" s="8" t="n">
        <x:f>IF(COUNT('Monthly data'!E352:E353)=2,'Monthly data'!E353-'Monthly data'!E352,"")</x:f>
        <x:v>-0.0012422871999984153</x:v>
      </x:c>
    </x:row>
    <x:row r="354" ht="19" customHeight="1">
      <x:c r="A354" s="7" t="n">
        <x:f>'Monthly data'!A354</x:f>
        <x:v>43586</x:v>
      </x:c>
      <x:c r="B354" s="8" t="n">
        <x:f>IF(ISNUMBER('Monthly data'!F354),LN(1+'Monthly data'!F354),"")</x:f>
        <x:v>4.698205051955281</x:v>
      </x:c>
      <x:c r="C354" s="8" t="n">
        <x:f>IF(ISNUMBER('Monthly data'!G354),LN(1+'Monthly data'!G354),"")</x:f>
        <x:v>2.631672989504445</x:v>
      </x:c>
      <x:c r="D354" s="8" t="n">
        <x:f>IF(ISNUMBER('Monthly data'!H354),LN(1+'Monthly data'!H354),"")</x:f>
        <x:v>3.855080097776835</x:v>
      </x:c>
      <x:c r="E354" s="8" t="n">
        <x:f>IF(ISNUMBER('Monthly data'!I354),LN(1+'Monthly data'!I354),"")</x:f>
        <x:v>2.3879643053940933</x:v>
      </x:c>
      <x:c r="F354" s="8" t="n">
        <x:f>IF(ISNUMBER('Monthly data'!J354),LN(1+'Monthly data'!J354),"")</x:f>
        <x:v>1.670946849011307</x:v>
      </x:c>
      <x:c r="G354" s="8" t="n">
        <x:f>IF(ISNUMBER('Monthly data'!K354),LN(1+'Monthly data'!K354),"")</x:f>
        <x:v>0.9390302188436446</x:v>
      </x:c>
      <x:c r="H354" s="8" t="n">
        <x:f>IF(ISNUMBER('Monthly data'!L354),LN(1+'Monthly data'!L354),"")</x:f>
        <x:v>1.6289659922416457</x:v>
      </x:c>
      <x:c r="I354" s="8" t="n">
        <x:f>IF(ISNUMBER('Monthly data'!M354),LN(1+'Monthly data'!M354),"")</x:f>
        <x:v>2.832307051143892</x:v>
      </x:c>
      <x:c r="J354" s="8" t="n">
        <x:f>IF(ISNUMBER('Monthly data'!N354),LN(1+'Monthly data'!N354),"")</x:f>
        <x:v>2.692692878781168</x:v>
      </x:c>
      <x:c r="K354" s="8" t="n">
        <x:f>IF(COUNT('Monthly data'!F352:F354)=3,'Monthly data'!F354-2*'Monthly data'!F353+'Monthly data'!F352,"")</x:f>
        <x:v>15.149999999999991</x:v>
      </x:c>
      <x:c r="L354" s="8" t="n">
        <x:f>IF(COUNT('Monthly data'!G352:G354)=3,'Monthly data'!G354-2*'Monthly data'!G353+'Monthly data'!G352,"")</x:f>
        <x:v>9.6158</x:v>
      </x:c>
      <x:c r="M354" s="8" t="n">
        <x:f>IF(COUNT('Monthly data'!H352:H354)=3,'Monthly data'!H354-2*'Monthly data'!H353+'Monthly data'!H352,"")</x:f>
        <x:v>5.882100000000001</x:v>
      </x:c>
      <x:c r="N354" s="8" t="n">
        <x:f>IF(COUNT('Monthly data'!I352:I354)=3,'Monthly data'!I354-2*'Monthly data'!I353+'Monthly data'!I352,"")</x:f>
        <x:v>-6.751599999999996</x:v>
      </x:c>
      <x:c r="O354" s="8" t="n">
        <x:f>IF(COUNT('Monthly data'!J352:J354)=3,'Monthly data'!J354-2*'Monthly data'!J353+'Monthly data'!J352,"")</x:f>
        <x:v>0.17559999999999976</x:v>
      </x:c>
      <x:c r="P354" s="8" t="n">
        <x:f>IF(COUNT('Monthly data'!K352:K354)=3,'Monthly data'!K354-2*'Monthly data'!K353+'Monthly data'!K352,"")</x:f>
        <x:v>2.4804000000000004</x:v>
      </x:c>
      <x:c r="Q354" s="8" t="n">
        <x:f>IF(COUNT('Monthly data'!L352:L354)=3,'Monthly data'!L354-2*'Monthly data'!L353+'Monthly data'!L352,"")</x:f>
        <x:v>-0.5319999999999996</x:v>
      </x:c>
      <x:c r="R354" s="8" t="n">
        <x:f>IF(COUNT('Monthly data'!M352:M354)=3,'Monthly data'!M354-2*'Monthly data'!M353+'Monthly data'!M352,"")</x:f>
        <x:v>7.442400000000001</x:v>
      </x:c>
      <x:c r="S354" s="8" t="n">
        <x:f>IF(COUNT('Monthly data'!N352:N354)=3,'Monthly data'!N354-2*'Monthly data'!N353+'Monthly data'!N352,"")</x:f>
        <x:v>-3.162399999999998</x:v>
      </x:c>
      <x:c r="T354" s="8" t="n">
        <x:f>IF(COUNT('Monthly data'!E353:E354)=2,'Monthly data'!E354-'Monthly data'!E353,"")</x:f>
        <x:v>-0.005192245099999937</x:v>
      </x:c>
    </x:row>
    <x:row r="355" ht="19" customHeight="1">
      <x:c r="A355" s="7" t="n">
        <x:f>'Monthly data'!A355</x:f>
        <x:v>43617</x:v>
      </x:c>
      <x:c r="B355" s="8" t="n">
        <x:f>IF(ISNUMBER('Monthly data'!F355),LN(1+'Monthly data'!F355),"")</x:f>
        <x:v>4.738213959745856</x:v>
      </x:c>
      <x:c r="C355" s="8" t="n">
        <x:f>IF(ISNUMBER('Monthly data'!G355),LN(1+'Monthly data'!G355),"")</x:f>
        <x:v>2.9162777262135835</x:v>
      </x:c>
      <x:c r="D355" s="8" t="n">
        <x:f>IF(ISNUMBER('Monthly data'!H355),LN(1+'Monthly data'!H355),"")</x:f>
        <x:v>4.043887759982685</x:v>
      </x:c>
      <x:c r="E355" s="8" t="n">
        <x:f>IF(ISNUMBER('Monthly data'!I355),LN(1+'Monthly data'!I355),"")</x:f>
        <x:v>1.9558463355368803</x:v>
      </x:c>
      <x:c r="F355" s="8" t="n">
        <x:f>IF(ISNUMBER('Monthly data'!J355),LN(1+'Monthly data'!J355),"")</x:f>
        <x:v>1.6149626230768004</x:v>
      </x:c>
      <x:c r="G355" s="8" t="n">
        <x:f>IF(ISNUMBER('Monthly data'!K355),LN(1+'Monthly data'!K355),"")</x:f>
        <x:v>1.4158774349115388</x:v>
      </x:c>
      <x:c r="H355" s="8" t="n">
        <x:f>IF(ISNUMBER('Monthly data'!L355),LN(1+'Monthly data'!L355),"")</x:f>
        <x:v>1.0147233046592823</x:v>
      </x:c>
      <x:c r="I355" s="8" t="n">
        <x:f>IF(ISNUMBER('Monthly data'!M355),LN(1+'Monthly data'!M355),"")</x:f>
        <x:v>2.5885231455268056</x:v>
      </x:c>
      <x:c r="J355" s="8" t="n">
        <x:f>IF(ISNUMBER('Monthly data'!N355),LN(1+'Monthly data'!N355),"")</x:f>
        <x:v>2.5970069023088858</x:v>
      </x:c>
      <x:c r="K355" s="8" t="n">
        <x:f>IF(COUNT('Monthly data'!F353:F355)=3,'Monthly data'!F355-2*'Monthly data'!F354+'Monthly data'!F353,"")</x:f>
        <x:v>-7.599999999999994</x:v>
      </x:c>
      <x:c r="L355" s="8" t="n">
        <x:f>IF(COUNT('Monthly data'!G353:G355)=3,'Monthly data'!G355-2*'Monthly data'!G354+'Monthly data'!G353,"")</x:f>
        <x:v>0.4718</x:v>
      </x:c>
      <x:c r="M355" s="8" t="n">
        <x:f>IF(COUNT('Monthly data'!H353:H355)=3,'Monthly data'!H355-2*'Monthly data'!H354+'Monthly data'!H353,"")</x:f>
        <x:v>6.7453</x:v>
      </x:c>
      <x:c r="N355" s="8" t="n">
        <x:f>IF(COUNT('Monthly data'!I353:I355)=3,'Monthly data'!I355-2*'Monthly data'!I354+'Monthly data'!I353,"")</x:f>
        <x:v>5.1385000000000005</x:v>
      </x:c>
      <x:c r="O355" s="8" t="n">
        <x:f>IF(COUNT('Monthly data'!J353:J355)=3,'Monthly data'!J355-2*'Monthly data'!J354+'Monthly data'!J353,"")</x:f>
        <x:v>-1.445699999999999</x:v>
      </x:c>
      <x:c r="P355" s="8" t="n">
        <x:f>IF(COUNT('Monthly data'!K353:K355)=3,'Monthly data'!K355-2*'Monthly data'!K354+'Monthly data'!K353,"")</x:f>
        <x:v>0.23499999999999965</x:v>
      </x:c>
      <x:c r="Q355" s="8" t="n">
        <x:f>IF(COUNT('Monthly data'!L353:L355)=3,'Monthly data'!L355-2*'Monthly data'!L354+'Monthly data'!L353,"")</x:f>
        <x:v>-3.564900000000001</x:v>
      </x:c>
      <x:c r="R355" s="8" t="n">
        <x:f>IF(COUNT('Monthly data'!M353:M355)=3,'Monthly data'!M355-2*'Monthly data'!M354+'Monthly data'!M353,"")</x:f>
        <x:v>-13.739400000000003</x:v>
      </x:c>
      <x:c r="S355" s="8" t="n">
        <x:f>IF(COUNT('Monthly data'!N353:N355)=3,'Monthly data'!N355-2*'Monthly data'!N354+'Monthly data'!N353,"")</x:f>
        <x:v>-1.4406999999999996</x:v>
      </x:c>
      <x:c r="T355" s="8" t="n">
        <x:f>IF(COUNT('Monthly data'!E354:E355)=2,'Monthly data'!E355-'Monthly data'!E354,"")</x:f>
        <x:v>-0.00025222340000041754</x:v>
      </x:c>
    </x:row>
    <x:row r="356" ht="19" customHeight="1">
      <x:c r="A356" s="7" t="n">
        <x:f>'Monthly data'!A356</x:f>
        <x:v>43647</x:v>
      </x:c>
      <x:c r="B356" s="8" t="n">
        <x:f>IF(ISNUMBER('Monthly data'!F356),LN(1+'Monthly data'!F356),"")</x:f>
        <x:v>4.631130287657623</x:v>
      </x:c>
      <x:c r="C356" s="8" t="n">
        <x:f>IF(ISNUMBER('Monthly data'!G356),LN(1+'Monthly data'!G356),"")</x:f>
        <x:v>2.433604583432152</x:v>
      </x:c>
      <x:c r="D356" s="8" t="n">
        <x:f>IF(ISNUMBER('Monthly data'!H356),LN(1+'Monthly data'!H356),"")</x:f>
        <x:v>3.876638285436395</x:v>
      </x:c>
      <x:c r="E356" s="8" t="n">
        <x:f>IF(ISNUMBER('Monthly data'!I356),LN(1+'Monthly data'!I356),"")</x:f>
        <x:v>2.274627907479419</x:v>
      </x:c>
      <x:c r="F356" s="8" t="n">
        <x:f>IF(ISNUMBER('Monthly data'!J356),LN(1+'Monthly data'!J356),"")</x:f>
        <x:v>2.34903919736593</x:v>
      </x:c>
      <x:c r="G356" s="8" t="n">
        <x:f>IF(ISNUMBER('Monthly data'!K356),LN(1+'Monthly data'!K356),"")</x:f>
        <x:v>1.7768319393103646</x:v>
      </x:c>
      <x:c r="H356" s="8" t="n">
        <x:f>IF(ISNUMBER('Monthly data'!L356),LN(1+'Monthly data'!L356),"")</x:f>
        <x:v>0.5266792876891578</x:v>
      </x:c>
      <x:c r="I356" s="8" t="n">
        <x:f>IF(ISNUMBER('Monthly data'!M356),LN(1+'Monthly data'!M356),"")</x:f>
        <x:v>2.1548504529594585</x:v>
      </x:c>
      <x:c r="J356" s="8" t="n">
        <x:f>IF(ISNUMBER('Monthly data'!N356),LN(1+'Monthly data'!N356),"")</x:f>
        <x:v>2.6054709991880993</x:v>
      </x:c>
      <x:c r="K356" s="8" t="n">
        <x:f>IF(COUNT('Monthly data'!F354:F356)=3,'Monthly data'!F356-2*'Monthly data'!F355+'Monthly data'!F354,"")</x:f>
        <x:v>-16.080000000000013</x:v>
      </x:c>
      <x:c r="L356" s="8" t="n">
        <x:f>IF(COUNT('Monthly data'!G354:G356)=3,'Monthly data'!G356-2*'Monthly data'!G355+'Monthly data'!G354,"")</x:f>
        <x:v>-11.647899999999998</x:v>
      </x:c>
      <x:c r="M356" s="8" t="n">
        <x:f>IF(COUNT('Monthly data'!H354:H356)=3,'Monthly data'!H356-2*'Monthly data'!H355+'Monthly data'!H354,"")</x:f>
        <x:v>-18.601299999999995</x:v>
      </x:c>
      <x:c r="N356" s="8" t="n">
        <x:f>IF(COUNT('Monthly data'!I354:I356)=3,'Monthly data'!I356-2*'Monthly data'!I355+'Monthly data'!I354,"")</x:f>
        <x:v>6.4758</x:v>
      </x:c>
      <x:c r="O356" s="8" t="n">
        <x:f>IF(COUNT('Monthly data'!J354:J356)=3,'Monthly data'!J356-2*'Monthly data'!J355+'Monthly data'!J354,"")</x:f>
        <x:v>5.737299999999999</x:v>
      </x:c>
      <x:c r="P356" s="8" t="n">
        <x:f>IF(COUNT('Monthly data'!K354:K356)=3,'Monthly data'!K356-2*'Monthly data'!K355+'Monthly data'!K354,"")</x:f>
        <x:v>0.2284000000000006</x:v>
      </x:c>
      <x:c r="Q356" s="8" t="n">
        <x:f>IF(COUNT('Monthly data'!L354:L356)=3,'Monthly data'!L356-2*'Monthly data'!L355+'Monthly data'!L354,"")</x:f>
        <x:v>1.2747000000000002</x:v>
      </x:c>
      <x:c r="R356" s="8" t="n">
        <x:f>IF(COUNT('Monthly data'!M354:M356)=3,'Monthly data'!M356-2*'Monthly data'!M355+'Monthly data'!M354,"")</x:f>
        <x:v>-1.0090000000000003</x:v>
      </x:c>
      <x:c r="S356" s="8" t="n">
        <x:f>IF(COUNT('Monthly data'!N354:N356)=3,'Monthly data'!N356-2*'Monthly data'!N355+'Monthly data'!N354,"")</x:f>
        <x:v>1.461999999999998</x:v>
      </x:c>
      <x:c r="T356" s="8" t="n">
        <x:f>IF(COUNT('Monthly data'!E355:E356)=2,'Monthly data'!E356-'Monthly data'!E355,"")</x:f>
        <x:v>-0.004969110600001159</x:v>
      </x:c>
    </x:row>
    <x:row r="357" ht="19" customHeight="1">
      <x:c r="A357" s="7" t="n">
        <x:f>'Monthly data'!A357</x:f>
        <x:v>43678</x:v>
      </x:c>
      <x:c r="B357" s="8" t="n">
        <x:f>IF(ISNUMBER('Monthly data'!F357),LN(1+'Monthly data'!F357),"")</x:f>
        <x:v>4.94741146392922</x:v>
      </x:c>
      <x:c r="C357" s="8" t="n">
        <x:f>IF(ISNUMBER('Monthly data'!G357),LN(1+'Monthly data'!G357),"")</x:f>
        <x:v>2.596179652197429</x:v>
      </x:c>
      <x:c r="D357" s="8" t="n">
        <x:f>IF(ISNUMBER('Monthly data'!H357),LN(1+'Monthly data'!H357),"")</x:f>
        <x:v>4.221825605004842</x:v>
      </x:c>
      <x:c r="E357" s="8" t="n">
        <x:f>IF(ISNUMBER('Monthly data'!I357),LN(1+'Monthly data'!I357),"")</x:f>
        <x:v>2.993740290873198</x:v>
      </x:c>
      <x:c r="F357" s="8" t="n">
        <x:f>IF(ISNUMBER('Monthly data'!J357),LN(1+'Monthly data'!J357),"")</x:f>
        <x:v>2.4839812217114994</x:v>
      </x:c>
      <x:c r="G357" s="8" t="n">
        <x:f>IF(ISNUMBER('Monthly data'!K357),LN(1+'Monthly data'!K357),"")</x:f>
        <x:v>1.5598063944257687</x:v>
      </x:c>
      <x:c r="H357" s="8" t="n">
        <x:f>IF(ISNUMBER('Monthly data'!L357),LN(1+'Monthly data'!L357),"")</x:f>
        <x:v>0.8370743493665883</x:v>
      </x:c>
      <x:c r="I357" s="8" t="n">
        <x:f>IF(ISNUMBER('Monthly data'!M357),LN(1+'Monthly data'!M357),"")</x:f>
        <x:v>2.552798915830919</x:v>
      </x:c>
      <x:c r="J357" s="8" t="n">
        <x:f>IF(ISNUMBER('Monthly data'!N357),LN(1+'Monthly data'!N357),"")</x:f>
        <x:v>2.665859214384048</x:v>
      </x:c>
      <x:c r="K357" s="8" t="n">
        <x:f>IF(COUNT('Monthly data'!F355:F357)=3,'Monthly data'!F357-2*'Monthly data'!F356+'Monthly data'!F355,"")</x:f>
        <x:v>49.780000000000015</x:v>
      </x:c>
      <x:c r="L357" s="8" t="n">
        <x:f>IF(COUNT('Monthly data'!G355:G357)=3,'Monthly data'!G357-2*'Monthly data'!G356+'Monthly data'!G355,"")</x:f>
        <x:v>9.084999999999999</x:v>
      </x:c>
      <x:c r="M357" s="8" t="n">
        <x:f>IF(COUNT('Monthly data'!H355:H357)=3,'Monthly data'!H357-2*'Monthly data'!H356+'Monthly data'!H355,"")</x:f>
        <x:v>28.6821</x:v>
      </x:c>
      <x:c r="N357" s="8" t="n">
        <x:f>IF(COUNT('Monthly data'!I355:I357)=3,'Monthly data'!I357-2*'Monthly data'!I356+'Monthly data'!I355,"")</x:f>
        <x:v>7.581500000000001</x:v>
      </x:c>
      <x:c r="O357" s="8" t="n">
        <x:f>IF(COUNT('Monthly data'!J355:J357)=3,'Monthly data'!J357-2*'Monthly data'!J356+'Monthly data'!J355,"")</x:f>
        <x:v>-3.934400000000001</x:v>
      </x:c>
      <x:c r="P357" s="8" t="n">
        <x:f>IF(COUNT('Monthly data'!K355:K357)=3,'Monthly data'!K357-2*'Monthly data'!K356+'Monthly data'!K355,"")</x:f>
        <x:v>-2.9442000000000013</x:v>
      </x:c>
      <x:c r="Q357" s="8" t="n">
        <x:f>IF(COUNT('Monthly data'!L355:L357)=3,'Monthly data'!L357-2*'Monthly data'!L356+'Monthly data'!L355,"")</x:f>
        <x:v>1.6816</x:v>
      </x:c>
      <x:c r="R357" s="8" t="n">
        <x:f>IF(COUNT('Monthly data'!M355:M357)=3,'Monthly data'!M357-2*'Monthly data'!M356+'Monthly data'!M355,"")</x:f>
        <x:v>8.8999</x:v>
      </x:c>
      <x:c r="S357" s="8" t="n">
        <x:f>IF(COUNT('Monthly data'!N355:N357)=3,'Monthly data'!N357-2*'Monthly data'!N356+'Monthly data'!N355,"")</x:f>
        <x:v>0.7286000000000019</x:v>
      </x:c>
      <x:c r="T357" s="8" t="n">
        <x:f>IF(COUNT('Monthly data'!E356:E357)=2,'Monthly data'!E357-'Monthly data'!E356,"")</x:f>
        <x:v>0.013202469800001282</x:v>
      </x:c>
    </x:row>
    <x:row r="358" ht="19" customHeight="1">
      <x:c r="A358" s="7" t="n">
        <x:f>'Monthly data'!A358</x:f>
        <x:v>43709</x:v>
      </x:c>
      <x:c r="B358" s="8" t="n">
        <x:f>IF(ISNUMBER('Monthly data'!F358),LN(1+'Monthly data'!F358),"")</x:f>
        <x:v>4.664099253517379</x:v>
      </x:c>
      <x:c r="C358" s="8" t="n">
        <x:f>IF(ISNUMBER('Monthly data'!G358),LN(1+'Monthly data'!G358),"")</x:f>
        <x:v>2.8325601896208203</x:v>
      </x:c>
      <x:c r="D358" s="8" t="n">
        <x:f>IF(ISNUMBER('Monthly data'!H358),LN(1+'Monthly data'!H358),"")</x:f>
        <x:v>3.9803356456102335</x:v>
      </x:c>
      <x:c r="E358" s="8" t="n">
        <x:f>IF(ISNUMBER('Monthly data'!I358),LN(1+'Monthly data'!I358),"")</x:f>
        <x:v>2.2438430729702827</x:v>
      </x:c>
      <x:c r="F358" s="8" t="n">
        <x:f>IF(ISNUMBER('Monthly data'!J358),LN(1+'Monthly data'!J358),"")</x:f>
        <x:v>2.1342374447654415</x:v>
      </x:c>
      <x:c r="G358" s="8" t="n">
        <x:f>IF(ISNUMBER('Monthly data'!K358),LN(1+'Monthly data'!K358),"")</x:f>
        <x:v>1.065882464045191</x:v>
      </x:c>
      <x:c r="H358" s="8" t="n">
        <x:f>IF(ISNUMBER('Monthly data'!L358),LN(1+'Monthly data'!L358),"")</x:f>
        <x:v>0.15117482779711788</x:v>
      </x:c>
      <x:c r="I358" s="8" t="n">
        <x:f>IF(ISNUMBER('Monthly data'!M358),LN(1+'Monthly data'!M358),"")</x:f>
        <x:v>1.8537948601475076</x:v>
      </x:c>
      <x:c r="J358" s="8" t="n">
        <x:f>IF(ISNUMBER('Monthly data'!N358),LN(1+'Monthly data'!N358),"")</x:f>
        <x:v>2.654318849347379</x:v>
      </x:c>
      <x:c r="K358" s="8" t="n">
        <x:f>IF(COUNT('Monthly data'!F356:F358)=3,'Monthly data'!F358-2*'Monthly data'!F357+'Monthly data'!F356,"")</x:f>
        <x:v>-72.92000000000002</x:v>
      </x:c>
      <x:c r="L358" s="8" t="n">
        <x:f>IF(COUNT('Monthly data'!G356:G358)=3,'Monthly data'!G358-2*'Monthly data'!G357+'Monthly data'!G356,"")</x:f>
        <x:v>1.564</x:v>
      </x:c>
      <x:c r="M358" s="8" t="n">
        <x:f>IF(COUNT('Monthly data'!H356:H358)=3,'Monthly data'!H358-2*'Monthly data'!H357+'Monthly data'!H356,"")</x:f>
        <x:v>-34.518899999999995</x:v>
      </x:c>
      <x:c r="N358" s="8" t="n">
        <x:f>IF(COUNT('Monthly data'!I356:I358)=3,'Monthly data'!I358-2*'Monthly data'!I357+'Monthly data'!I356,"")</x:f>
        <x:v>-20.7666</x:v>
      </x:c>
      <x:c r="O358" s="8" t="n">
        <x:f>IF(COUNT('Monthly data'!J356:J358)=3,'Monthly data'!J358-2*'Monthly data'!J357+'Monthly data'!J356,"")</x:f>
        <x:v>-5.0516999999999985</x:v>
      </x:c>
      <x:c r="P358" s="8" t="n">
        <x:f>IF(COUNT('Monthly data'!K356:K358)=3,'Monthly data'!K358-2*'Monthly data'!K357+'Monthly data'!K356,"")</x:f>
        <x:v>-0.7012999999999989</x:v>
      </x:c>
      <x:c r="Q358" s="8" t="n">
        <x:f>IF(COUNT('Monthly data'!L356:L358)=3,'Monthly data'!L358-2*'Monthly data'!L357+'Monthly data'!L356,"")</x:f>
        <x:v>-1.7627000000000004</x:v>
      </x:c>
      <x:c r="R358" s="8" t="n">
        <x:f>IF(COUNT('Monthly data'!M356:M358)=3,'Monthly data'!M358-2*'Monthly data'!M357+'Monthly data'!M356,"")</x:f>
        <x:v>-10.6754</x:v>
      </x:c>
      <x:c r="S358" s="8" t="n">
        <x:f>IF(COUNT('Monthly data'!N356:N358)=3,'Monthly data'!N358-2*'Monthly data'!N357+'Monthly data'!N356,"")</x:f>
        <x:v>-1.0077000000000016</x:v>
      </x:c>
      <x:c r="T358" s="8" t="n">
        <x:f>IF(COUNT('Monthly data'!E357:E358)=2,'Monthly data'!E358-'Monthly data'!E357,"")</x:f>
        <x:v>-0.02023279910000042</x:v>
      </x:c>
    </x:row>
    <x:row r="359" ht="19" customHeight="1">
      <x:c r="A359" s="7" t="n">
        <x:f>'Monthly data'!A359</x:f>
        <x:v>43739</x:v>
      </x:c>
      <x:c r="B359" s="8" t="n">
        <x:f>IF(ISNUMBER('Monthly data'!F359),LN(1+'Monthly data'!F359),"")</x:f>
        <x:v>4.83477283236304</x:v>
      </x:c>
      <x:c r="C359" s="8" t="n">
        <x:f>IF(ISNUMBER('Monthly data'!G359),LN(1+'Monthly data'!G359),"")</x:f>
        <x:v>3.6794047101513927</x:v>
      </x:c>
      <x:c r="D359" s="8" t="n">
        <x:f>IF(ISNUMBER('Monthly data'!H359),LN(1+'Monthly data'!H359),"")</x:f>
        <x:v>3.905509840745672</x:v>
      </x:c>
      <x:c r="E359" s="8" t="n">
        <x:f>IF(ISNUMBER('Monthly data'!I359),LN(1+'Monthly data'!I359),"")</x:f>
        <x:v>2.0088581202243727</x:v>
      </x:c>
      <x:c r="F359" s="8" t="n">
        <x:f>IF(ISNUMBER('Monthly data'!J359),LN(1+'Monthly data'!J359),"")</x:f>
        <x:v>2.476462767005271</x:v>
      </x:c>
      <x:c r="G359" s="8" t="n">
        <x:f>IF(ISNUMBER('Monthly data'!K359),LN(1+'Monthly data'!K359),"")</x:f>
        <x:v>0.908822917026634</x:v>
      </x:c>
      <x:c r="H359" s="8" t="n">
        <x:f>IF(ISNUMBER('Monthly data'!L359),LN(1+'Monthly data'!L359),"")</x:f>
        <x:v>0.6132919553104809</x:v>
      </x:c>
      <x:c r="I359" s="8" t="n">
        <x:f>IF(ISNUMBER('Monthly data'!M359),LN(1+'Monthly data'!M359),"")</x:f>
        <x:v>1.7694286487430415</x:v>
      </x:c>
      <x:c r="J359" s="8" t="n">
        <x:f>IF(ISNUMBER('Monthly data'!N359),LN(1+'Monthly data'!N359),"")</x:f>
        <x:v>2.6363751643953193</x:v>
      </x:c>
      <x:c r="K359" s="8" t="n">
        <x:f>IF(COUNT('Monthly data'!F357:F359)=3,'Monthly data'!F359-2*'Monthly data'!F358+'Monthly data'!F357,"")</x:f>
        <x:v>54.48000000000002</x:v>
      </x:c>
      <x:c r="L359" s="8" t="n">
        <x:f>IF(COUNT('Monthly data'!G357:G359)=3,'Monthly data'!G359-2*'Monthly data'!G358+'Monthly data'!G357,"")</x:f>
        <x:v>19.0574</x:v>
      </x:c>
      <x:c r="M359" s="8" t="n">
        <x:f>IF(COUNT('Monthly data'!H357:H359)=3,'Monthly data'!H359-2*'Monthly data'!H358+'Monthly data'!H357,"")</x:f>
        <x:v>10.763200000000005</x:v>
      </x:c>
      <x:c r="N359" s="8" t="n">
        <x:f>IF(COUNT('Monthly data'!I357:I359)=3,'Monthly data'!I359-2*'Monthly data'!I358+'Monthly data'!I357,"")</x:f>
        <x:v>8.555999999999997</x:v>
      </x:c>
      <x:c r="O359" s="8" t="n">
        <x:f>IF(COUNT('Monthly data'!J357:J359)=3,'Monthly data'!J359-2*'Monthly data'!J358+'Monthly data'!J357,"")</x:f>
        <x:v>6.986800000000001</x:v>
      </x:c>
      <x:c r="P359" s="8" t="n">
        <x:f>IF(COUNT('Monthly data'!K357:K359)=3,'Monthly data'!K359-2*'Monthly data'!K358+'Monthly data'!K357,"")</x:f>
        <x:v>1.4324999999999997</x:v>
      </x:c>
      <x:c r="Q359" s="8" t="n">
        <x:f>IF(COUNT('Monthly data'!L357:L359)=3,'Monthly data'!L359-2*'Monthly data'!L358+'Monthly data'!L357,"")</x:f>
        <x:v>1.8297</x:v>
      </x:c>
      <x:c r="R359" s="8" t="n">
        <x:f>IF(COUNT('Monthly data'!M357:M359)=3,'Monthly data'!M359-2*'Monthly data'!M358+'Monthly data'!M357,"")</x:f>
        <x:v>5.942499999999999</x:v>
      </x:c>
      <x:c r="S359" s="8" t="n">
        <x:f>IF(COUNT('Monthly data'!N357:N359)=3,'Monthly data'!N359-2*'Monthly data'!N358+'Monthly data'!N357,"")</x:f>
        <x:v>-0.08779999999999788</x:v>
      </x:c>
      <x:c r="T359" s="8" t="n">
        <x:f>IF(COUNT('Monthly data'!E358:E359)=2,'Monthly data'!E359-'Monthly data'!E358,"")</x:f>
        <x:v>0.023082751800000523</x:v>
      </x:c>
    </x:row>
    <x:row r="360" ht="19" customHeight="1">
      <x:c r="A360" s="7" t="n">
        <x:f>'Monthly data'!A360</x:f>
        <x:v>43770</x:v>
      </x:c>
      <x:c r="B360" s="8" t="n">
        <x:f>IF(ISNUMBER('Monthly data'!F360),LN(1+'Monthly data'!F360),"")</x:f>
        <x:v>4.5975411588236</x:v>
      </x:c>
      <x:c r="C360" s="8" t="n">
        <x:f>IF(ISNUMBER('Monthly data'!G360),LN(1+'Monthly data'!G360),"")</x:f>
        <x:v>2.4134375005688007</x:v>
      </x:c>
      <x:c r="D360" s="8" t="n">
        <x:f>IF(ISNUMBER('Monthly data'!H360),LN(1+'Monthly data'!H360),"")</x:f>
        <x:v>3.8629293952236226</x:v>
      </x:c>
      <x:c r="E360" s="8" t="n">
        <x:f>IF(ISNUMBER('Monthly data'!I360),LN(1+'Monthly data'!I360),"")</x:f>
        <x:v>2.095770003791945</x:v>
      </x:c>
      <x:c r="F360" s="8" t="n">
        <x:f>IF(ISNUMBER('Monthly data'!J360),LN(1+'Monthly data'!J360),"")</x:f>
        <x:v>2.684795221289112</x:v>
      </x:c>
      <x:c r="G360" s="8" t="n">
        <x:f>IF(ISNUMBER('Monthly data'!K360),LN(1+'Monthly data'!K360),"")</x:f>
        <x:v>1.2170469638132078</x:v>
      </x:c>
      <x:c r="H360" s="8" t="n">
        <x:f>IF(ISNUMBER('Monthly data'!L360),LN(1+'Monthly data'!L360),"")</x:f>
        <x:v>1.4496916062496823</x:v>
      </x:c>
      <x:c r="I360" s="8" t="n">
        <x:f>IF(ISNUMBER('Monthly data'!M360),LN(1+'Monthly data'!M360),"")</x:f>
        <x:v>1.5125304576650325</x:v>
      </x:c>
      <x:c r="J360" s="8" t="n">
        <x:f>IF(ISNUMBER('Monthly data'!N360),LN(1+'Monthly data'!N360),"")</x:f>
        <x:v>2.525656641716131</x:v>
      </x:c>
      <x:c r="K360" s="8" t="n">
        <x:f>IF(COUNT('Monthly data'!F358:F360)=3,'Monthly data'!F360-2*'Monthly data'!F359+'Monthly data'!F358,"")</x:f>
        <x:v>-46.31</x:v>
      </x:c>
      <x:c r="L360" s="8" t="n">
        <x:f>IF(COUNT('Monthly data'!G358:G360)=3,'Monthly data'!G360-2*'Monthly data'!G359+'Monthly data'!G358,"")</x:f>
        <x:v>-51.08439999999999</x:v>
      </x:c>
      <x:c r="M360" s="8" t="n">
        <x:f>IF(COUNT('Monthly data'!H358:H360)=3,'Monthly data'!H360-2*'Monthly data'!H359+'Monthly data'!H358,"")</x:f>
        <x:v>1.7887999999999877</x:v>
      </x:c>
      <x:c r="N360" s="8" t="n">
        <x:f>IF(COUNT('Monthly data'!I358:I360)=3,'Monthly data'!I360-2*'Monthly data'!I359+'Monthly data'!I358,"")</x:f>
        <x:v>2.651600000000002</x:v>
      </x:c>
      <x:c r="O360" s="8" t="n">
        <x:f>IF(COUNT('Monthly data'!J358:J360)=3,'Monthly data'!J360-2*'Monthly data'!J359+'Monthly data'!J358,"")</x:f>
        <x:v>-0.692400000000001</x:v>
      </x:c>
      <x:c r="P360" s="8" t="n">
        <x:f>IF(COUNT('Monthly data'!K358:K360)=3,'Monthly data'!K360-2*'Monthly data'!K359+'Monthly data'!K358,"")</x:f>
        <x:v>1.3178</x:v>
      </x:c>
      <x:c r="Q360" s="8" t="n">
        <x:f>IF(COUNT('Monthly data'!L358:L360)=3,'Monthly data'!L360-2*'Monthly data'!L359+'Monthly data'!L358,"")</x:f>
        <x:v>1.732</x:v>
      </x:c>
      <x:c r="R360" s="8" t="n">
        <x:f>IF(COUNT('Monthly data'!M358:M360)=3,'Monthly data'!M360-2*'Monthly data'!M359+'Monthly data'!M358,"")</x:f>
        <x:v>-0.8127999999999993</x:v>
      </x:c>
      <x:c r="S360" s="8" t="n">
        <x:f>IF(COUNT('Monthly data'!N358:N360)=3,'Monthly data'!N360-2*'Monthly data'!N359+'Monthly data'!N358,"")</x:f>
        <x:v>-1.2106000000000012</x:v>
      </x:c>
      <x:c r="T360" s="8" t="n">
        <x:f>IF(COUNT('Monthly data'!E359:E360)=2,'Monthly data'!E360-'Monthly data'!E359,"")</x:f>
        <x:v>0.010018093099999348</x:v>
      </x:c>
    </x:row>
    <x:row r="361" ht="19" customHeight="1">
      <x:c r="A361" s="7" t="n">
        <x:f>'Monthly data'!A361</x:f>
        <x:v>43800</x:v>
      </x:c>
      <x:c r="B361" s="8" t="n">
        <x:f>IF(ISNUMBER('Monthly data'!F361),LN(1+'Monthly data'!F361),"")</x:f>
        <x:v>4.57974980864118</x:v>
      </x:c>
      <x:c r="C361" s="8" t="n">
        <x:f>IF(ISNUMBER('Monthly data'!G361),LN(1+'Monthly data'!G361),"")</x:f>
        <x:v>2.5018375104479817</x:v>
      </x:c>
      <x:c r="D361" s="8" t="n">
        <x:f>IF(ISNUMBER('Monthly data'!H361),LN(1+'Monthly data'!H361),"")</x:f>
        <x:v>3.6848664126234754</x:v>
      </x:c>
      <x:c r="E361" s="8" t="n">
        <x:f>IF(ISNUMBER('Monthly data'!I361),LN(1+'Monthly data'!I361),"")</x:f>
        <x:v>2.8681375099386144</x:v>
      </x:c>
      <x:c r="F361" s="8" t="n">
        <x:f>IF(ISNUMBER('Monthly data'!J361),LN(1+'Monthly data'!J361),"")</x:f>
        <x:v>2.0897507190309863</x:v>
      </x:c>
      <x:c r="G361" s="8" t="n">
        <x:f>IF(ISNUMBER('Monthly data'!K361),LN(1+'Monthly data'!K361),"")</x:f>
        <x:v>1.146799096251384</x:v>
      </x:c>
      <x:c r="H361" s="8" t="n">
        <x:f>IF(ISNUMBER('Monthly data'!L361),LN(1+'Monthly data'!L361),"")</x:f>
        <x:v>0.4938422187255772</x:v>
      </x:c>
      <x:c r="I361" s="8" t="n">
        <x:f>IF(ISNUMBER('Monthly data'!M361),LN(1+'Monthly data'!M361),"")</x:f>
        <x:v>1.9837700466090111</x:v>
      </x:c>
      <x:c r="J361" s="8" t="n">
        <x:f>IF(ISNUMBER('Monthly data'!N361),LN(1+'Monthly data'!N361),"")</x:f>
        <x:v>2.687935925248663</x:v>
      </x:c>
      <x:c r="K361" s="8" t="n">
        <x:f>IF(COUNT('Monthly data'!F359:F361)=3,'Monthly data'!F361-2*'Monthly data'!F360+'Monthly data'!F359,"")</x:f>
        <x:v>24.820000000000007</x:v>
      </x:c>
      <x:c r="L361" s="8" t="n">
        <x:f>IF(COUNT('Monthly data'!G359:G361)=3,'Monthly data'!G361-2*'Monthly data'!G360+'Monthly data'!G359,"")</x:f>
        <x:v>29.4831</x:v>
      </x:c>
      <x:c r="M361" s="8" t="n">
        <x:f>IF(COUNT('Monthly data'!H359:H361)=3,'Monthly data'!H361-2*'Monthly data'!H360+'Monthly data'!H359,"")</x:f>
        <x:v>-5.6939999999999955</x:v>
      </x:c>
      <x:c r="N361" s="8" t="n">
        <x:f>IF(COUNT('Monthly data'!I359:I361)=3,'Monthly data'!I361-2*'Monthly data'!I360+'Monthly data'!I359,"")</x:f>
        <x:v>8.795599999999997</x:v>
      </x:c>
      <x:c r="O361" s="8" t="n">
        <x:f>IF(COUNT('Monthly data'!J359:J361)=3,'Monthly data'!J361-2*'Monthly data'!J360+'Monthly data'!J359,"")</x:f>
        <x:v>-9.328399999999998</x:v>
      </x:c>
      <x:c r="P361" s="8" t="n">
        <x:f>IF(COUNT('Monthly data'!K359:K361)=3,'Monthly data'!K361-2*'Monthly data'!K360+'Monthly data'!K359,"")</x:f>
        <x:v>-1.1249000000000005</x:v>
      </x:c>
      <x:c r="Q361" s="8" t="n">
        <x:f>IF(COUNT('Monthly data'!L359:L361)=3,'Monthly data'!L361-2*'Monthly data'!L360+'Monthly data'!L359,"")</x:f>
        <x:v>-5.0385</x:v>
      </x:c>
      <x:c r="R361" s="8" t="n">
        <x:f>IF(COUNT('Monthly data'!M359:M361)=3,'Monthly data'!M361-2*'Monthly data'!M360+'Monthly data'!M359,"")</x:f>
        <x:v>4.0612</x:v>
      </x:c>
      <x:c r="S361" s="8" t="n">
        <x:f>IF(COUNT('Monthly data'!N359:N361)=3,'Monthly data'!N361-2*'Monthly data'!N360+'Monthly data'!N359,"")</x:f>
        <x:v>3.6655999999999995</x:v>
      </x:c>
      <x:c r="T361" s="8" t="n">
        <x:f>IF(COUNT('Monthly data'!E360:E361)=2,'Monthly data'!E361-'Monthly data'!E360,"")</x:f>
        <x:v>0.0019541035999992573</x:v>
      </x:c>
    </x:row>
    <x:row r="362" ht="19" customHeight="1">
      <x:c r="A362" s="7" t="n">
        <x:f>'Monthly data'!A362</x:f>
        <x:v>43831</x:v>
      </x:c>
      <x:c r="B362" s="8" t="n">
        <x:f>IF(ISNUMBER('Monthly data'!F362),LN(1+'Monthly data'!F362),"")</x:f>
        <x:v>4.993082134848667</x:v>
      </x:c>
      <x:c r="C362" s="8" t="n">
        <x:f>IF(ISNUMBER('Monthly data'!G362),LN(1+'Monthly data'!G362),"")</x:f>
        <x:v>4.230411279858984</x:v>
      </x:c>
      <x:c r="D362" s="8" t="n">
        <x:f>IF(ISNUMBER('Monthly data'!H362),LN(1+'Monthly data'!H362),"")</x:f>
        <x:v>3.7434599646813504</x:v>
      </x:c>
      <x:c r="E362" s="8" t="n">
        <x:f>IF(ISNUMBER('Monthly data'!I362),LN(1+'Monthly data'!I362),"")</x:f>
        <x:v>1.8816306419897486</x:v>
      </x:c>
      <x:c r="F362" s="8" t="n">
        <x:f>IF(ISNUMBER('Monthly data'!J362),LN(1+'Monthly data'!J362),"")</x:f>
        <x:v>1.8728477839101614</x:v>
      </x:c>
      <x:c r="G362" s="8" t="n">
        <x:f>IF(ISNUMBER('Monthly data'!K362),LN(1+'Monthly data'!K362),"")</x:f>
        <x:v>1.1568183017324718</x:v>
      </x:c>
      <x:c r="H362" s="8" t="n">
        <x:f>IF(ISNUMBER('Monthly data'!L362),LN(1+'Monthly data'!L362),"")</x:f>
        <x:v>0.7092665624398284</x:v>
      </x:c>
      <x:c r="I362" s="8" t="n">
        <x:f>IF(ISNUMBER('Monthly data'!M362),LN(1+'Monthly data'!M362),"")</x:f>
        <x:v>1.6895236961029299</x:v>
      </x:c>
      <x:c r="J362" s="8" t="n">
        <x:f>IF(ISNUMBER('Monthly data'!N362),LN(1+'Monthly data'!N362),"")</x:f>
        <x:v>2.9806338640543872</x:v>
      </x:c>
      <x:c r="K362" s="8" t="n">
        <x:f>IF(COUNT('Monthly data'!F360:F362)=3,'Monthly data'!F362-2*'Monthly data'!F361+'Monthly data'!F360,"")</x:f>
        <x:v>51.64999999999999</x:v>
      </x:c>
      <x:c r="L362" s="8" t="n">
        <x:f>IF(COUNT('Monthly data'!G360:G362)=3,'Monthly data'!G362-2*'Monthly data'!G361+'Monthly data'!G360,"")</x:f>
        <x:v>55.508</x:v>
      </x:c>
      <x:c r="M362" s="8" t="n">
        <x:f>IF(COUNT('Monthly data'!H360:H362)=3,'Monthly data'!H362-2*'Monthly data'!H361+'Monthly data'!H360,"")</x:f>
        <x:v>10.1689</x:v>
      </x:c>
      <x:c r="N362" s="8" t="n">
        <x:f>IF(COUNT('Monthly data'!I360:I362)=3,'Monthly data'!I362-2*'Monthly data'!I361+'Monthly data'!I360,"")</x:f>
        <x:v>-20.512499999999996</x:v>
      </x:c>
      <x:c r="O362" s="8" t="n">
        <x:f>IF(COUNT('Monthly data'!J360:J362)=3,'Monthly data'!J362-2*'Monthly data'!J361+'Monthly data'!J360,"")</x:f>
        <x:v>4.9962</x:v>
      </x:c>
      <x:c r="P362" s="8" t="n">
        <x:f>IF(COUNT('Monthly data'!K360:K362)=3,'Monthly data'!K362-2*'Monthly data'!K361+'Monthly data'!K360,"")</x:f>
        <x:v>0.2608000000000006</x:v>
      </x:c>
      <x:c r="Q362" s="8" t="n">
        <x:f>IF(COUNT('Monthly data'!L360:L362)=3,'Monthly data'!L362-2*'Monthly data'!L361+'Monthly data'!L360,"")</x:f>
        <x:v>3.0171</x:v>
      </x:c>
      <x:c r="R362" s="8" t="n">
        <x:f>IF(COUNT('Monthly data'!M360:M362)=3,'Monthly data'!M362-2*'Monthly data'!M361+'Monthly data'!M360,"")</x:f>
        <x:v>-4.585100000000001</x:v>
      </x:c>
      <x:c r="S362" s="8" t="n">
        <x:f>IF(COUNT('Monthly data'!N360:N362)=3,'Monthly data'!N362-2*'Monthly data'!N361+'Monthly data'!N360,"")</x:f>
        <x:v>2.7967999999999993</x:v>
      </x:c>
      <x:c r="T362" s="8" t="n">
        <x:f>IF(COUNT('Monthly data'!E361:E362)=2,'Monthly data'!E362-'Monthly data'!E361,"")</x:f>
        <x:v>-0.007641971900000044</x:v>
      </x:c>
    </x:row>
    <x:row r="363" ht="19" customHeight="1">
      <x:c r="A363" s="7" t="n">
        <x:f>'Monthly data'!A363</x:f>
        <x:v>43862</x:v>
      </x:c>
      <x:c r="B363" s="8" t="n">
        <x:f>IF(ISNUMBER('Monthly data'!F363),LN(1+'Monthly data'!F363),"")</x:f>
        <x:v>4.485598050847247</x:v>
      </x:c>
      <x:c r="C363" s="8" t="n">
        <x:f>IF(ISNUMBER('Monthly data'!G363),LN(1+'Monthly data'!G363),"")</x:f>
        <x:v>2.866642431196928</x:v>
      </x:c>
      <x:c r="D363" s="8" t="n">
        <x:f>IF(ISNUMBER('Monthly data'!H363),LN(1+'Monthly data'!H363),"")</x:f>
        <x:v>3.536235139149223</x:v>
      </x:c>
      <x:c r="E363" s="8" t="n">
        <x:f>IF(ISNUMBER('Monthly data'!I363),LN(1+'Monthly data'!I363),"")</x:f>
        <x:v>1.9868327099471728</x:v>
      </x:c>
      <x:c r="F363" s="8" t="n">
        <x:f>IF(ISNUMBER('Monthly data'!J363),LN(1+'Monthly data'!J363),"")</x:f>
        <x:v>1.5583972177195133</x:v>
      </x:c>
      <x:c r="G363" s="8" t="n">
        <x:f>IF(ISNUMBER('Monthly data'!K363),LN(1+'Monthly data'!K363),"")</x:f>
        <x:v>0.7652817783191443</x:v>
      </x:c>
      <x:c r="H363" s="8" t="n">
        <x:f>IF(ISNUMBER('Monthly data'!L363),LN(1+'Monthly data'!L363),"")</x:f>
        <x:v>0.4347002333764993</x:v>
      </x:c>
      <x:c r="I363" s="8" t="n">
        <x:f>IF(ISNUMBER('Monthly data'!M363),LN(1+'Monthly data'!M363),"")</x:f>
        <x:v>1.519447557237129</x:v>
      </x:c>
      <x:c r="J363" s="8" t="n">
        <x:f>IF(ISNUMBER('Monthly data'!N363),LN(1+'Monthly data'!N363),"")</x:f>
        <x:v>3.157311011209899</x:v>
      </x:c>
      <x:c r="K363" s="8" t="n">
        <x:f>IF(COUNT('Monthly data'!F361:F363)=3,'Monthly data'!F363-2*'Monthly data'!F362+'Monthly data'!F361,"")</x:f>
        <x:v>-108.55999999999996</x:v>
      </x:c>
      <x:c r="L363" s="8" t="n">
        <x:f>IF(COUNT('Monthly data'!G361:G363)=3,'Monthly data'!G363-2*'Monthly data'!G362+'Monthly data'!G361,"")</x:f>
        <x:v>-107.70820000000002</x:v>
      </x:c>
      <x:c r="M363" s="8" t="n">
        <x:f>IF(COUNT('Monthly data'!H361:H363)=3,'Monthly data'!H363-2*'Monthly data'!H362+'Monthly data'!H361,"")</x:f>
        <x:v>-10.310599999999994</x:v>
      </x:c>
      <x:c r="N363" s="8" t="n">
        <x:f>IF(COUNT('Monthly data'!I361:I363)=3,'Monthly data'!I363-2*'Monthly data'!I362+'Monthly data'!I361,"")</x:f>
        <x:v>11.7682</x:v>
      </x:c>
      <x:c r="O363" s="8" t="n">
        <x:f>IF(COUNT('Monthly data'!J361:J363)=3,'Monthly data'!J363-2*'Monthly data'!J362+'Monthly data'!J361,"")</x:f>
        <x:v>-0.1795</x:v>
      </x:c>
      <x:c r="P363" s="8" t="n">
        <x:f>IF(COUNT('Monthly data'!K361:K363)=3,'Monthly data'!K363-2*'Monthly data'!K362+'Monthly data'!K361,"")</x:f>
        <x:v>-1.0619000000000005</x:v>
      </x:c>
      <x:c r="Q363" s="8" t="n">
        <x:f>IF(COUNT('Monthly data'!L361:L363)=3,'Monthly data'!L363-2*'Monthly data'!L362+'Monthly data'!L361,"")</x:f>
        <x:v>-0.8819</x:v>
      </x:c>
      <x:c r="R363" s="8" t="n">
        <x:f>IF(COUNT('Monthly data'!M361:M363)=3,'Monthly data'!M363-2*'Monthly data'!M362+'Monthly data'!M361,"")</x:f>
        <x:v>1.0060000000000002</x:v>
      </x:c>
      <x:c r="S363" s="8" t="n">
        <x:f>IF(COUNT('Monthly data'!N361:N363)=3,'Monthly data'!N363-2*'Monthly data'!N362+'Monthly data'!N361,"")</x:f>
        <x:v>-1.1919999999999966</x:v>
      </x:c>
      <x:c r="T363" s="8" t="n">
        <x:f>IF(COUNT('Monthly data'!E362:E363)=2,'Monthly data'!E363-'Monthly data'!E362,"")</x:f>
        <x:v>-0.00942655819999949</x:v>
      </x:c>
    </x:row>
    <x:row r="364" ht="19" customHeight="1">
      <x:c r="A364" s="7" t="n">
        <x:f>'Monthly data'!A364</x:f>
        <x:v>43891</x:v>
      </x:c>
      <x:c r="B364" s="8" t="n">
        <x:f>IF(ISNUMBER('Monthly data'!F364),LN(1+'Monthly data'!F364),"")</x:f>
        <x:v>4.1420229975388425</x:v>
      </x:c>
      <x:c r="C364" s="8" t="n">
        <x:f>IF(ISNUMBER('Monthly data'!G364),LN(1+'Monthly data'!G364),"")</x:f>
        <x:v>2.503073953743449</x:v>
      </x:c>
      <x:c r="D364" s="8" t="n">
        <x:f>IF(ISNUMBER('Monthly data'!H364),LN(1+'Monthly data'!H364),"")</x:f>
        <x:v>3.215871315847902</x:v>
      </x:c>
      <x:c r="E364" s="8" t="n">
        <x:f>IF(ISNUMBER('Monthly data'!I364),LN(1+'Monthly data'!I364),"")</x:f>
        <x:v>1.601405740736836</x:v>
      </x:c>
      <x:c r="F364" s="8" t="n">
        <x:f>IF(ISNUMBER('Monthly data'!J364),LN(1+'Monthly data'!J364),"")</x:f>
        <x:v>1.1458138901524038</x:v>
      </x:c>
      <x:c r="G364" s="8" t="n">
        <x:f>IF(ISNUMBER('Monthly data'!K364),LN(1+'Monthly data'!K364),"")</x:f>
        <x:v>0.5394130806179032</x:v>
      </x:c>
      <x:c r="H364" s="8" t="n">
        <x:f>IF(ISNUMBER('Monthly data'!L364),LN(1+'Monthly data'!L364),"")</x:f>
        <x:v>0.5709795465857378</x:v>
      </x:c>
      <x:c r="I364" s="8" t="n">
        <x:f>IF(ISNUMBER('Monthly data'!M364),LN(1+'Monthly data'!M364),"")</x:f>
        <x:v>1.0732944806838198</x:v>
      </x:c>
      <x:c r="J364" s="8" t="n">
        <x:f>IF(ISNUMBER('Monthly data'!N364),LN(1+'Monthly data'!N364),"")</x:f>
        <x:v>2.9052603703899154</x:v>
      </x:c>
      <x:c r="K364" s="8" t="n">
        <x:f>IF(COUNT('Monthly data'!F362:F364)=3,'Monthly data'!F364-2*'Monthly data'!F363+'Monthly data'!F362,"")</x:f>
        <x:v>32.859999999999985</x:v>
      </x:c>
      <x:c r="L364" s="8" t="n">
        <x:f>IF(COUNT('Monthly data'!G362:G364)=3,'Monthly data'!G364-2*'Monthly data'!G363+'Monthly data'!G362,"")</x:f>
        <x:v>45.80970000000001</x:v>
      </x:c>
      <x:c r="M364" s="8" t="n">
        <x:f>IF(COUNT('Monthly data'!H362:H364)=3,'Monthly data'!H364-2*'Monthly data'!H363+'Monthly data'!H362,"")</x:f>
        <x:v>-1.5059000000000111</x:v>
      </x:c>
      <x:c r="N364" s="8" t="n">
        <x:f>IF(COUNT('Monthly data'!I362:I364)=3,'Monthly data'!I364-2*'Monthly data'!I363+'Monthly data'!I362,"")</x:f>
        <x:v>-3.060600000000001</x:v>
      </x:c>
      <x:c r="O364" s="8" t="n">
        <x:f>IF(COUNT('Monthly data'!J362:J364)=3,'Monthly data'!J364-2*'Monthly data'!J363+'Monthly data'!J362,"")</x:f>
        <x:v>0.14939999999999998</x:v>
      </x:c>
      <x:c r="P364" s="8" t="n">
        <x:f>IF(COUNT('Monthly data'!K362:K364)=3,'Monthly data'!K364-2*'Monthly data'!K363+'Monthly data'!K362,"")</x:f>
        <x:v>0.5956000000000001</x:v>
      </x:c>
      <x:c r="Q364" s="8" t="n">
        <x:f>IF(COUNT('Monthly data'!L362:L364)=3,'Monthly data'!L364-2*'Monthly data'!L363+'Monthly data'!L362,"")</x:f>
        <x:v>0.7135</x:v>
      </x:c>
      <x:c r="R364" s="8" t="n">
        <x:f>IF(COUNT('Monthly data'!M362:M364)=3,'Monthly data'!M364-2*'Monthly data'!M363+'Monthly data'!M362,"")</x:f>
        <x:v>-0.7975000000000003</x:v>
      </x:c>
      <x:c r="S364" s="8" t="n">
        <x:f>IF(COUNT('Monthly data'!N362:N364)=3,'Monthly data'!N364-2*'Monthly data'!N363+'Monthly data'!N362,"")</x:f>
        <x:v>-9.044300000000003</x:v>
      </x:c>
      <x:c r="T364" s="8" t="n">
        <x:f>IF(COUNT('Monthly data'!E363:E364)=2,'Monthly data'!E364-'Monthly data'!E363,"")</x:f>
        <x:v>0.0012790916000007257</x:v>
      </x:c>
    </x:row>
    <x:row r="365" ht="19" customHeight="1">
      <x:c r="A365" s="7" t="n">
        <x:f>'Monthly data'!A365</x:f>
        <x:v>43922</x:v>
      </x:c>
      <x:c r="B365" s="8" t="n">
        <x:f>IF(ISNUMBER('Monthly data'!F365),LN(1+'Monthly data'!F365),"")</x:f>
        <x:v>3.769537357131391</x:v>
      </x:c>
      <x:c r="C365" s="8" t="n">
        <x:f>IF(ISNUMBER('Monthly data'!G365),LN(1+'Monthly data'!G365),"")</x:f>
        <x:v>1.7296003373196687</x:v>
      </x:c>
      <x:c r="D365" s="8" t="n">
        <x:f>IF(ISNUMBER('Monthly data'!H365),LN(1+'Monthly data'!H365),"")</x:f>
        <x:v>3.0013315682044226</x:v>
      </x:c>
      <x:c r="E365" s="8" t="n">
        <x:f>IF(ISNUMBER('Monthly data'!I365),LN(1+'Monthly data'!I365),"")</x:f>
        <x:v>1.1912522399165557</x:v>
      </x:c>
      <x:c r="F365" s="8" t="n">
        <x:f>IF(ISNUMBER('Monthly data'!J365),LN(1+'Monthly data'!J365),"")</x:f>
        <x:v>1.0051803438755573</x:v>
      </x:c>
      <x:c r="G365" s="8" t="n">
        <x:f>IF(ISNUMBER('Monthly data'!K365),LN(1+'Monthly data'!K365),"")</x:f>
        <x:v>0</x:v>
      </x:c>
      <x:c r="H365" s="8" t="n">
        <x:f>IF(ISNUMBER('Monthly data'!L365),LN(1+'Monthly data'!L365),"")</x:f>
        <x:v>0.20171560390058932</x:v>
      </x:c>
      <x:c r="I365" s="8" t="n">
        <x:f>IF(ISNUMBER('Monthly data'!M365),LN(1+'Monthly data'!M365),"")</x:f>
        <x:v>1.0647452191565323</x:v>
      </x:c>
      <x:c r="J365" s="8" t="n">
        <x:f>IF(ISNUMBER('Monthly data'!N365),LN(1+'Monthly data'!N365),"")</x:f>
        <x:v>2.599878329877675</x:v>
      </x:c>
      <x:c r="K365" s="8" t="n">
        <x:f>IF(COUNT('Monthly data'!F363:F365)=3,'Monthly data'!F365-2*'Monthly data'!F364+'Monthly data'!F363,"")</x:f>
        <x:v>6.230000000000004</x:v>
      </x:c>
      <x:c r="L365" s="8" t="n">
        <x:f>IF(COUNT('Monthly data'!G363:G365)=3,'Monthly data'!G365-2*'Monthly data'!G364+'Monthly data'!G363,"")</x:f>
        <x:v>-1.223700000000001</x:v>
      </x:c>
      <x:c r="M365" s="8" t="n">
        <x:f>IF(COUNT('Monthly data'!H363:H365)=3,'Monthly data'!H365-2*'Monthly data'!H364+'Monthly data'!H363,"")</x:f>
        <x:v>4.599700000000002</x:v>
      </x:c>
      <x:c r="N365" s="8" t="n">
        <x:f>IF(COUNT('Monthly data'!I363:I365)=3,'Monthly data'!I365-2*'Monthly data'!I364+'Monthly data'!I363,"")</x:f>
        <x:v>0.6635999999999997</x:v>
      </x:c>
      <x:c r="O365" s="8" t="n">
        <x:f>IF(COUNT('Monthly data'!J363:J365)=3,'Monthly data'!J365-2*'Monthly data'!J364+'Monthly data'!J363,"")</x:f>
        <x:v>1.1936</x:v>
      </x:c>
      <x:c r="P365" s="8" t="n">
        <x:f>IF(COUNT('Monthly data'!K363:K365)=3,'Monthly data'!K365-2*'Monthly data'!K364+'Monthly data'!K363,"")</x:f>
        <x:v>-0.2804</x:v>
      </x:c>
      <x:c r="Q365" s="8" t="n">
        <x:f>IF(COUNT('Monthly data'!L363:L365)=3,'Monthly data'!L365-2*'Monthly data'!L364+'Monthly data'!L363,"")</x:f>
        <x:v>-0.772</x:v>
      </x:c>
      <x:c r="R365" s="8" t="n">
        <x:f>IF(COUNT('Monthly data'!M363:M365)=3,'Monthly data'!M365-2*'Monthly data'!M364+'Monthly data'!M363,"")</x:f>
        <x:v>1.6198</x:v>
      </x:c>
      <x:c r="S365" s="8" t="n">
        <x:f>IF(COUNT('Monthly data'!N363:N365)=3,'Monthly data'!N365-2*'Monthly data'!N364+'Monthly data'!N363,"")</x:f>
        <x:v>0.4294000000000011</x:v>
      </x:c>
      <x:c r="T365" s="8" t="n">
        <x:f>IF(COUNT('Monthly data'!E364:E365)=2,'Monthly data'!E365-'Monthly data'!E364,"")</x:f>
        <x:v>0.0033664789000003026</x:v>
      </x:c>
    </x:row>
    <x:row r="366" ht="19" customHeight="1">
      <x:c r="A366" s="7" t="n">
        <x:f>'Monthly data'!A366</x:f>
        <x:v>43952</x:v>
      </x:c>
      <x:c r="B366" s="8" t="n">
        <x:f>IF(ISNUMBER('Monthly data'!F366),LN(1+'Monthly data'!F366),"")</x:f>
        <x:v>4.167749906638376</x:v>
      </x:c>
      <x:c r="C366" s="8" t="n">
        <x:f>IF(ISNUMBER('Monthly data'!G366),LN(1+'Monthly data'!G366),"")</x:f>
        <x:v>2.2591973096510585</x:v>
      </x:c>
      <x:c r="D366" s="8" t="n">
        <x:f>IF(ISNUMBER('Monthly data'!H366),LN(1+'Monthly data'!H366),"")</x:f>
        <x:v>3.54181113505632</x:v>
      </x:c>
      <x:c r="E366" s="8" t="n">
        <x:f>IF(ISNUMBER('Monthly data'!I366),LN(1+'Monthly data'!I366),"")</x:f>
        <x:v>1.553586878894085</x:v>
      </x:c>
      <x:c r="F366" s="8" t="n">
        <x:f>IF(ISNUMBER('Monthly data'!J366),LN(1+'Monthly data'!J366),"")</x:f>
        <x:v>1.2836800711300895</x:v>
      </x:c>
      <x:c r="G366" s="8" t="n">
        <x:f>IF(ISNUMBER('Monthly data'!K366),LN(1+'Monthly data'!K366),"")</x:f>
        <x:v>0.6991292522374928</x:v>
      </x:c>
      <x:c r="H366" s="8" t="n">
        <x:f>IF(ISNUMBER('Monthly data'!L366),LN(1+'Monthly data'!L366),"")</x:f>
        <x:v>0.8465547271892576</x:v>
      </x:c>
      <x:c r="I366" s="8" t="n">
        <x:f>IF(ISNUMBER('Monthly data'!M366),LN(1+'Monthly data'!M366),"")</x:f>
        <x:v>1.5647961318109798</x:v>
      </x:c>
      <x:c r="J366" s="8" t="n">
        <x:f>IF(ISNUMBER('Monthly data'!N366),LN(1+'Monthly data'!N366),"")</x:f>
        <x:v>2.3027350817451704</x:v>
      </x:c>
      <x:c r="K366" s="8" t="n">
        <x:f>IF(COUNT('Monthly data'!F364:F366)=3,'Monthly data'!F366-2*'Monthly data'!F365+'Monthly data'!F364,"")</x:f>
        <x:v>40.78</x:v>
      </x:c>
      <x:c r="L366" s="8" t="n">
        <x:f>IF(COUNT('Monthly data'!G364:G366)=3,'Monthly data'!G366-2*'Monthly data'!G365+'Monthly data'!G364,"")</x:f>
        <x:v>10.518600000000001</x:v>
      </x:c>
      <x:c r="M366" s="8" t="n">
        <x:f>IF(COUNT('Monthly data'!H364:H366)=3,'Monthly data'!H366-2*'Monthly data'!H365+'Monthly data'!H364,"")</x:f>
        <x:v>19.2298</x:v>
      </x:c>
      <x:c r="N366" s="8" t="n">
        <x:f>IF(COUNT('Monthly data'!I364:I366)=3,'Monthly data'!I366-2*'Monthly data'!I365+'Monthly data'!I364,"")</x:f>
        <x:v>3.1060000000000003</x:v>
      </x:c>
      <x:c r="O366" s="8" t="n">
        <x:f>IF(COUNT('Monthly data'!J364:J366)=3,'Monthly data'!J366-2*'Monthly data'!J365+'Monthly data'!J364,"")</x:f>
        <x:v>1.2901000000000002</x:v>
      </x:c>
      <x:c r="P366" s="8" t="n">
        <x:f>IF(COUNT('Monthly data'!K364:K366)=3,'Monthly data'!K366-2*'Monthly data'!K365+'Monthly data'!K364,"")</x:f>
        <x:v>1.7269999999999999</x:v>
      </x:c>
      <x:c r="Q366" s="8" t="n">
        <x:f>IF(COUNT('Monthly data'!L364:L366)=3,'Monthly data'!L366-2*'Monthly data'!L365+'Monthly data'!L364,"")</x:f>
        <x:v>1.6545999999999998</x:v>
      </x:c>
      <x:c r="R366" s="8" t="n">
        <x:f>IF(COUNT('Monthly data'!M364:M366)=3,'Monthly data'!M366-2*'Monthly data'!M365+'Monthly data'!M364,"")</x:f>
        <x:v>1.9065</x:v>
      </x:c>
      <x:c r="S366" s="8" t="n">
        <x:f>IF(COUNT('Monthly data'!N364:N366)=3,'Monthly data'!N366-2*'Monthly data'!N365+'Monthly data'!N364,"")</x:f>
        <x:v>1.3473000000000006</x:v>
      </x:c>
      <x:c r="T366" s="8" t="n">
        <x:f>IF(COUNT('Monthly data'!E365:E366)=2,'Monthly data'!E366-'Monthly data'!E365,"")</x:f>
        <x:v>-0.14464748380000003</x:v>
      </x:c>
    </x:row>
    <x:row r="367" ht="19" customHeight="1">
      <x:c r="A367" s="7" t="n">
        <x:f>'Monthly data'!A367</x:f>
        <x:v>43983</x:v>
      </x:c>
      <x:c r="B367" s="8" t="n">
        <x:f>IF(ISNUMBER('Monthly data'!F367),LN(1+'Monthly data'!F367),"")</x:f>
        <x:v>4.171768459186905</x:v>
      </x:c>
      <x:c r="C367" s="8" t="n">
        <x:f>IF(ISNUMBER('Monthly data'!G367),LN(1+'Monthly data'!G367),"")</x:f>
        <x:v>1.9806565818136734</x:v>
      </x:c>
      <x:c r="D367" s="8" t="n">
        <x:f>IF(ISNUMBER('Monthly data'!H367),LN(1+'Monthly data'!H367),"")</x:f>
        <x:v>3.5306220197688667</x:v>
      </x:c>
      <x:c r="E367" s="8" t="n">
        <x:f>IF(ISNUMBER('Monthly data'!I367),LN(1+'Monthly data'!I367),"")</x:f>
        <x:v>1.659598565625716</x:v>
      </x:c>
      <x:c r="F367" s="8" t="n">
        <x:f>IF(ISNUMBER('Monthly data'!J367),LN(1+'Monthly data'!J367),"")</x:f>
        <x:v>1.6490239434660636</x:v>
      </x:c>
      <x:c r="G367" s="8" t="n">
        <x:f>IF(ISNUMBER('Monthly data'!K367),LN(1+'Monthly data'!K367),"")</x:f>
        <x:v>0.6626364253549233</x:v>
      </x:c>
      <x:c r="H367" s="8" t="n">
        <x:f>IF(ISNUMBER('Monthly data'!L367),LN(1+'Monthly data'!L367),"")</x:f>
        <x:v>0.5089238164763943</x:v>
      </x:c>
      <x:c r="I367" s="8" t="n">
        <x:f>IF(ISNUMBER('Monthly data'!M367),LN(1+'Monthly data'!M367),"")</x:f>
        <x:v>1.4366784923438325</x:v>
      </x:c>
      <x:c r="J367" s="8" t="n">
        <x:f>IF(ISNUMBER('Monthly data'!N367),LN(1+'Monthly data'!N367),"")</x:f>
        <x:v>2.498825991376811</x:v>
      </x:c>
      <x:c r="K367" s="8" t="n">
        <x:f>IF(COUNT('Monthly data'!F365:F367)=3,'Monthly data'!F367-2*'Monthly data'!F366+'Monthly data'!F365,"")</x:f>
        <x:v>-20.950000000000003</x:v>
      </x:c>
      <x:c r="L367" s="8" t="n">
        <x:f>IF(COUNT('Monthly data'!G365:G367)=3,'Monthly data'!G367-2*'Monthly data'!G366+'Monthly data'!G365,"")</x:f>
        <x:v>-6.264900000000002</x:v>
      </x:c>
      <x:c r="M367" s="8" t="n">
        <x:f>IF(COUNT('Monthly data'!H365:H367)=3,'Monthly data'!H367-2*'Monthly data'!H366+'Monthly data'!H365,"")</x:f>
        <x:v>-14.801300000000001</x:v>
      </x:c>
      <x:c r="N367" s="8" t="n">
        <x:f>IF(COUNT('Monthly data'!I365:I367)=3,'Monthly data'!I367-2*'Monthly data'!I366+'Monthly data'!I365,"")</x:f>
        <x:v>-0.9084000000000003</x:v>
      </x:c>
      <x:c r="O367" s="8" t="n">
        <x:f>IF(COUNT('Monthly data'!J365:J367)=3,'Monthly data'!J367-2*'Monthly data'!J366+'Monthly data'!J365,"")</x:f>
        <x:v>0.7144999999999999</x:v>
      </x:c>
      <x:c r="P367" s="8" t="n">
        <x:f>IF(COUNT('Monthly data'!K365:K367)=3,'Monthly data'!K367-2*'Monthly data'!K366+'Monthly data'!K365,"")</x:f>
        <x:v>-1.0841</x:v>
      </x:c>
      <x:c r="Q367" s="8" t="n">
        <x:f>IF(COUNT('Monthly data'!L365:L367)=3,'Monthly data'!L367-2*'Monthly data'!L366+'Monthly data'!L365,"")</x:f>
        <x:v>-1.7761999999999998</x:v>
      </x:c>
      <x:c r="R367" s="8" t="n">
        <x:f>IF(COUNT('Monthly data'!M365:M367)=3,'Monthly data'!M367-2*'Monthly data'!M366+'Monthly data'!M365,"")</x:f>
        <x:v>-2.4566</x:v>
      </x:c>
      <x:c r="S367" s="8" t="n">
        <x:f>IF(COUNT('Monthly data'!N365:N367)=3,'Monthly data'!N367-2*'Monthly data'!N366+'Monthly data'!N365,"")</x:f>
        <x:v>5.6273</x:v>
      </x:c>
      <x:c r="T367" s="8" t="n">
        <x:f>IF(COUNT('Monthly data'!E366:E367)=2,'Monthly data'!E367-'Monthly data'!E366,"")</x:f>
        <x:v>-0.01801703460000148</x:v>
      </x:c>
    </x:row>
    <x:row r="368" ht="19" customHeight="1">
      <x:c r="A368" s="7" t="n">
        <x:f>'Monthly data'!A368</x:f>
        <x:v>44013</x:v>
      </x:c>
      <x:c r="B368" s="8" t="n">
        <x:f>IF(ISNUMBER('Monthly data'!F368),LN(1+'Monthly data'!F368),"")</x:f>
        <x:v>4.30433532695801</x:v>
      </x:c>
      <x:c r="C368" s="8" t="n">
        <x:f>IF(ISNUMBER('Monthly data'!G368),LN(1+'Monthly data'!G368),"")</x:f>
        <x:v>1.8592311843430678</x:v>
      </x:c>
      <x:c r="D368" s="8" t="n">
        <x:f>IF(ISNUMBER('Monthly data'!H368),LN(1+'Monthly data'!H368),"")</x:f>
        <x:v>3.7232760499017252</x:v>
      </x:c>
      <x:c r="E368" s="8" t="n">
        <x:f>IF(ISNUMBER('Monthly data'!I368),LN(1+'Monthly data'!I368),"")</x:f>
        <x:v>1.8592311843430678</x:v>
      </x:c>
      <x:c r="F368" s="8" t="n">
        <x:f>IF(ISNUMBER('Monthly data'!J368),LN(1+'Monthly data'!J368),"")</x:f>
        <x:v>1.5926172347037568</x:v>
      </x:c>
      <x:c r="G368" s="8" t="n">
        <x:f>IF(ISNUMBER('Monthly data'!K368),LN(1+'Monthly data'!K368),"")</x:f>
        <x:v>0.7028004375880836</x:v>
      </x:c>
      <x:c r="H368" s="8" t="n">
        <x:f>IF(ISNUMBER('Monthly data'!L368),LN(1+'Monthly data'!L368),"")</x:f>
        <x:v>0.39399962999888616</x:v>
      </x:c>
      <x:c r="I368" s="8" t="n">
        <x:f>IF(ISNUMBER('Monthly data'!M368),LN(1+'Monthly data'!M368),"")</x:f>
        <x:v>1.999396750670796</x:v>
      </x:c>
      <x:c r="J368" s="8" t="n">
        <x:f>IF(ISNUMBER('Monthly data'!N368),LN(1+'Monthly data'!N368),"")</x:f>
        <x:v>2.3960025736819937</x:v>
      </x:c>
      <x:c r="K368" s="8" t="n">
        <x:f>IF(COUNT('Monthly data'!F366:F368)=3,'Monthly data'!F368-2*'Monthly data'!F367+'Monthly data'!F366,"")</x:f>
        <x:v>8.93</x:v>
      </x:c>
      <x:c r="L368" s="8" t="n">
        <x:f>IF(COUNT('Monthly data'!G366:G368)=3,'Monthly data'!G368-2*'Monthly data'!G367+'Monthly data'!G366,"")</x:f>
        <x:v>1.499200000000001</x:v>
      </x:c>
      <x:c r="M368" s="8" t="n">
        <x:f>IF(COUNT('Monthly data'!H366:H368)=3,'Monthly data'!H368-2*'Monthly data'!H367+'Monthly data'!H366,"")</x:f>
        <x:v>7.638799999999996</x:v>
      </x:c>
      <x:c r="N368" s="8" t="n">
        <x:f>IF(COUNT('Monthly data'!I366:I368)=3,'Monthly data'!I368-2*'Monthly data'!I367+'Monthly data'!I366,"")</x:f>
        <x:v>0.6328</x:v>
      </x:c>
      <x:c r="O368" s="8" t="n">
        <x:f>IF(COUNT('Monthly data'!J366:J368)=3,'Monthly data'!J368-2*'Monthly data'!J367+'Monthly data'!J366,"")</x:f>
        <x:v>-1.8773000000000004</x:v>
      </x:c>
      <x:c r="P368" s="8" t="n">
        <x:f>IF(COUNT('Monthly data'!K366:K368)=3,'Monthly data'!K368-2*'Monthly data'!K367+'Monthly data'!K366,"")</x:f>
        <x:v>0.15160000000000018</x:v>
      </x:c>
      <x:c r="Q368" s="8" t="n">
        <x:f>IF(COUNT('Monthly data'!L366:L368)=3,'Monthly data'!L368-2*'Monthly data'!L367+'Monthly data'!L366,"")</x:f>
        <x:v>0.48749999999999993</x:v>
      </x:c>
      <x:c r="R368" s="8" t="n">
        <x:f>IF(COUNT('Monthly data'!M366:M368)=3,'Monthly data'!M368-2*'Monthly data'!M367+'Monthly data'!M366,"")</x:f>
        <x:v>3.7528999999999995</x:v>
      </x:c>
      <x:c r="S368" s="8" t="n">
        <x:f>IF(COUNT('Monthly data'!N366:N368)=3,'Monthly data'!N368-2*'Monthly data'!N367+'Monthly data'!N366,"")</x:f>
        <x:v>-3.3557000000000006</x:v>
      </x:c>
      <x:c r="T368" s="8" t="n">
        <x:f>IF(COUNT('Monthly data'!E367:E368)=2,'Monthly data'!E368-'Monthly data'!E367,"")</x:f>
        <x:v>0.020665064800001076</x:v>
      </x:c>
    </x:row>
    <x:row r="369" ht="19" customHeight="1">
      <x:c r="A369" s="7" t="n">
        <x:f>'Monthly data'!A369</x:f>
        <x:v>44044</x:v>
      </x:c>
      <x:c r="B369" s="8" t="n">
        <x:f>IF(ISNUMBER('Monthly data'!F369),LN(1+'Monthly data'!F369),"")</x:f>
        <x:v>4.3899948043230586</x:v>
      </x:c>
      <x:c r="C369" s="8" t="n">
        <x:f>IF(ISNUMBER('Monthly data'!G369),LN(1+'Monthly data'!G369),"")</x:f>
        <x:v>1.5722758787453324</x:v>
      </x:c>
      <x:c r="D369" s="8" t="n">
        <x:f>IF(ISNUMBER('Monthly data'!H369),LN(1+'Monthly data'!H369),"")</x:f>
        <x:v>3.5877875925526626</x:v>
      </x:c>
      <x:c r="E369" s="8" t="n">
        <x:f>IF(ISNUMBER('Monthly data'!I369),LN(1+'Monthly data'!I369),"")</x:f>
        <x:v>1.5612135881470832</x:v>
      </x:c>
      <x:c r="F369" s="8" t="n">
        <x:f>IF(ISNUMBER('Monthly data'!J369),LN(1+'Monthly data'!J369),"")</x:f>
        <x:v>2.2716824882542292</x:v>
      </x:c>
      <x:c r="G369" s="8" t="n">
        <x:f>IF(ISNUMBER('Monthly data'!K369),LN(1+'Monthly data'!K369),"")</x:f>
        <x:v>0.8885494768924304</x:v>
      </x:c>
      <x:c r="H369" s="8" t="n">
        <x:f>IF(ISNUMBER('Monthly data'!L369),LN(1+'Monthly data'!L369),"")</x:f>
        <x:v>0.9920288032653262</x:v>
      </x:c>
      <x:c r="I369" s="8" t="n">
        <x:f>IF(ISNUMBER('Monthly data'!M369),LN(1+'Monthly data'!M369),"")</x:f>
        <x:v>2.2038028926963418</x:v>
      </x:c>
      <x:c r="J369" s="8" t="n">
        <x:f>IF(ISNUMBER('Monthly data'!N369),LN(1+'Monthly data'!N369),"")</x:f>
        <x:v>2.891498900210314</x:v>
      </x:c>
      <x:c r="K369" s="8" t="n">
        <x:f>IF(COUNT('Monthly data'!F367:F369)=3,'Monthly data'!F369-2*'Monthly data'!F368+'Monthly data'!F367,"")</x:f>
        <x:v>-2.569999999999993</x:v>
      </x:c>
      <x:c r="L369" s="8" t="n">
        <x:f>IF(COUNT('Monthly data'!G367:G369)=3,'Monthly data'!G369-2*'Monthly data'!G368+'Monthly data'!G367,"")</x:f>
        <x:v>-0.7725</x:v>
      </x:c>
      <x:c r="M369" s="8" t="n">
        <x:f>IF(COUNT('Monthly data'!H367:H369)=3,'Monthly data'!H369-2*'Monthly data'!H368+'Monthly data'!H367,"")</x:f>
        <x:v>-12.500399999999992</x:v>
      </x:c>
      <x:c r="N369" s="8" t="n">
        <x:f>IF(COUNT('Monthly data'!I367:I369)=3,'Monthly data'!I369-2*'Monthly data'!I368+'Monthly data'!I367,"")</x:f>
        <x:v>-2.8158000000000003</x:v>
      </x:c>
      <x:c r="O369" s="8" t="n">
        <x:f>IF(COUNT('Monthly data'!J367:J369)=3,'Monthly data'!J369-2*'Monthly data'!J368+'Monthly data'!J367,"")</x:f>
        <x:v>5.064400000000001</x:v>
      </x:c>
      <x:c r="P369" s="8" t="n">
        <x:f>IF(COUNT('Monthly data'!K367:K369)=3,'Monthly data'!K369-2*'Monthly data'!K368+'Monthly data'!K367,"")</x:f>
        <x:v>0.3326999999999998</x:v>
      </x:c>
      <x:c r="Q369" s="8" t="n">
        <x:f>IF(COUNT('Monthly data'!L367:L369)=3,'Monthly data'!L369-2*'Monthly data'!L368+'Monthly data'!L367,"")</x:f>
        <x:v>1.3944</x:v>
      </x:c>
      <x:c r="R369" s="8" t="n">
        <x:f>IF(COUNT('Monthly data'!M367:M369)=3,'Monthly data'!M369-2*'Monthly data'!M368+'Monthly data'!M367,"")</x:f>
        <x:v>-1.5030999999999994</x:v>
      </x:c>
      <x:c r="S369" s="8" t="n">
        <x:f>IF(COUNT('Monthly data'!N367:N369)=3,'Monthly data'!N369-2*'Monthly data'!N368+'Monthly data'!N367,"")</x:f>
        <x:v>8.230099999999998</x:v>
      </x:c>
      <x:c r="T369" s="8" t="n">
        <x:f>IF(COUNT('Monthly data'!E368:E369)=2,'Monthly data'!E369-'Monthly data'!E368,"")</x:f>
        <x:v>0.014879631999999532</x:v>
      </x:c>
    </x:row>
    <x:row r="370" ht="19" customHeight="1">
      <x:c r="A370" s="7" t="n">
        <x:f>'Monthly data'!A370</x:f>
        <x:v>44075</x:v>
      </x:c>
      <x:c r="B370" s="8" t="n">
        <x:f>IF(ISNUMBER('Monthly data'!F370),LN(1+'Monthly data'!F370),"")</x:f>
        <x:v>4.377516479195996</x:v>
      </x:c>
      <x:c r="C370" s="8" t="n">
        <x:f>IF(ISNUMBER('Monthly data'!G370),LN(1+'Monthly data'!G370),"")</x:f>
        <x:v>2.1954786095767487</x:v>
      </x:c>
      <x:c r="D370" s="8" t="n">
        <x:f>IF(ISNUMBER('Monthly data'!H370),LN(1+'Monthly data'!H370),"")</x:f>
        <x:v>3.6927693785383022</x:v>
      </x:c>
      <x:c r="E370" s="8" t="n">
        <x:f>IF(ISNUMBER('Monthly data'!I370),LN(1+'Monthly data'!I370),"")</x:f>
        <x:v>1.9788336035021965</x:v>
      </x:c>
      <x:c r="F370" s="8" t="n">
        <x:f>IF(ISNUMBER('Monthly data'!J370),LN(1+'Monthly data'!J370),"")</x:f>
        <x:v>2.1770558830456923</x:v>
      </x:c>
      <x:c r="G370" s="8" t="n">
        <x:f>IF(ISNUMBER('Monthly data'!K370),LN(1+'Monthly data'!K370),"")</x:f>
        <x:v>0.1977847168473197</x:v>
      </x:c>
      <x:c r="H370" s="8" t="n">
        <x:f>IF(ISNUMBER('Monthly data'!L370),LN(1+'Monthly data'!L370),"")</x:f>
        <x:v>0.10381932863899705</x:v>
      </x:c>
      <x:c r="I370" s="8" t="n">
        <x:f>IF(ISNUMBER('Monthly data'!M370),LN(1+'Monthly data'!M370),"")</x:f>
        <x:v>1.6507525855683132</x:v>
      </x:c>
      <x:c r="J370" s="8" t="n">
        <x:f>IF(ISNUMBER('Monthly data'!N370),LN(1+'Monthly data'!N370),"")</x:f>
        <x:v>2.632327592791485</x:v>
      </x:c>
      <x:c r="K370" s="8" t="n">
        <x:f>IF(COUNT('Monthly data'!F368:F370)=3,'Monthly data'!F370-2*'Monthly data'!F369+'Monthly data'!F368,"")</x:f>
        <x:v>-7.6200000000000045</x:v>
      </x:c>
      <x:c r="L370" s="8" t="n">
        <x:f>IF(COUNT('Monthly data'!G368:G370)=3,'Monthly data'!G370-2*'Monthly data'!G369+'Monthly data'!G368,"")</x:f>
        <x:v>5.7679</x:v>
      </x:c>
      <x:c r="M370" s="8" t="n">
        <x:f>IF(COUNT('Monthly data'!H368:H370)=3,'Monthly data'!H370-2*'Monthly data'!H369+'Monthly data'!H368,"")</x:f>
        <x:v>9.247699999999995</x:v>
      </x:c>
      <x:c r="N370" s="8" t="n">
        <x:f>IF(COUNT('Monthly data'!I368:I370)=3,'Monthly data'!I370-2*'Monthly data'!I369+'Monthly data'!I368,"")</x:f>
        <x:v>4.1239</x:v>
      </x:c>
      <x:c r="O370" s="8" t="n">
        <x:f>IF(COUNT('Monthly data'!J368:J370)=3,'Monthly data'!J370-2*'Monthly data'!J369+'Monthly data'!J368,"")</x:f>
        <x:v>-5.654500000000001</x:v>
      </x:c>
      <x:c r="P370" s="8" t="n">
        <x:f>IF(COUNT('Monthly data'!K368:K370)=3,'Monthly data'!K370-2*'Monthly data'!K369+'Monthly data'!K368,"")</x:f>
        <x:v>-1.6250999999999998</x:v>
      </x:c>
      <x:c r="Q370" s="8" t="n">
        <x:f>IF(COUNT('Monthly data'!L368:L370)=3,'Monthly data'!L370-2*'Monthly data'!L369+'Monthly data'!L368,"")</x:f>
        <x:v>-2.8011000000000004</x:v>
      </x:c>
      <x:c r="R370" s="8" t="n">
        <x:f>IF(COUNT('Monthly data'!M368:M370)=3,'Monthly data'!M370-2*'Monthly data'!M369+'Monthly data'!M368,"")</x:f>
        <x:v>-5.523300000000002</x:v>
      </x:c>
      <x:c r="S370" s="8" t="n">
        <x:f>IF(COUNT('Monthly data'!N368:N370)=3,'Monthly data'!N370-2*'Monthly data'!N369+'Monthly data'!N368,"")</x:f>
        <x:v>-11.155299999999995</x:v>
      </x:c>
      <x:c r="T370" s="8" t="n">
        <x:f>IF(COUNT('Monthly data'!E369:E370)=2,'Monthly data'!E370-'Monthly data'!E369,"")</x:f>
        <x:v>-0.00209373709999916</x:v>
      </x:c>
    </x:row>
    <x:row r="371" ht="19" customHeight="1">
      <x:c r="A371" s="7" t="n">
        <x:f>'Monthly data'!A371</x:f>
        <x:v>44105</x:v>
      </x:c>
      <x:c r="B371" s="8" t="n">
        <x:f>IF(ISNUMBER('Monthly data'!F371),LN(1+'Monthly data'!F371),"")</x:f>
        <x:v>4.23830059563929</x:v>
      </x:c>
      <x:c r="C371" s="8" t="n">
        <x:f>IF(ISNUMBER('Monthly data'!G371),LN(1+'Monthly data'!G371),"")</x:f>
        <x:v>2.4009451626071274</x:v>
      </x:c>
      <x:c r="D371" s="8" t="n">
        <x:f>IF(ISNUMBER('Monthly data'!H371),LN(1+'Monthly data'!H371),"")</x:f>
        <x:v>3.2435020937944654</x:v>
      </x:c>
      <x:c r="E371" s="8" t="n">
        <x:f>IF(ISNUMBER('Monthly data'!I371),LN(1+'Monthly data'!I371),"")</x:f>
        <x:v>2.24023085124707</x:v>
      </x:c>
      <x:c r="F371" s="8" t="n">
        <x:f>IF(ISNUMBER('Monthly data'!J371),LN(1+'Monthly data'!J371),"")</x:f>
        <x:v>1.7240693202581048</x:v>
      </x:c>
      <x:c r="G371" s="8" t="n">
        <x:f>IF(ISNUMBER('Monthly data'!K371),LN(1+'Monthly data'!K371),"")</x:f>
        <x:v>1.1143872077834718</x:v>
      </x:c>
      <x:c r="H371" s="8" t="n">
        <x:f>IF(ISNUMBER('Monthly data'!L371),LN(1+'Monthly data'!L371),"")</x:f>
        <x:v>0.8240877198205411</x:v>
      </x:c>
      <x:c r="I371" s="8" t="n">
        <x:f>IF(ISNUMBER('Monthly data'!M371),LN(1+'Monthly data'!M371),"")</x:f>
        <x:v>1.4767518766804653</x:v>
      </x:c>
      <x:c r="J371" s="8" t="n">
        <x:f>IF(ISNUMBER('Monthly data'!N371),LN(1+'Monthly data'!N371),"")</x:f>
        <x:v>2.702984056502029</x:v>
      </x:c>
      <x:c r="K371" s="8" t="n">
        <x:f>IF(COUNT('Monthly data'!F369:F371)=3,'Monthly data'!F371-2*'Monthly data'!F370+'Monthly data'!F369,"")</x:f>
        <x:v>-9.349999999999994</x:v>
      </x:c>
      <x:c r="L371" s="8" t="n">
        <x:f>IF(COUNT('Monthly data'!G369:G371)=3,'Monthly data'!G371-2*'Monthly data'!G370+'Monthly data'!G369,"")</x:f>
        <x:v>-2.1174000000000004</x:v>
      </x:c>
      <x:c r="M371" s="8" t="n">
        <x:f>IF(COUNT('Monthly data'!H369:H371)=3,'Monthly data'!H371-2*'Monthly data'!H370+'Monthly data'!H369,"")</x:f>
        <x:v>-18.5345</x:v>
      </x:c>
      <x:c r="N371" s="8" t="n">
        <x:f>IF(COUNT('Monthly data'!I369:I371)=3,'Monthly data'!I371-2*'Monthly data'!I370+'Monthly data'!I369,"")</x:f>
        <x:v>-0.3085</x:v>
      </x:c>
      <x:c r="O371" s="8" t="n">
        <x:f>IF(COUNT('Monthly data'!J369:J371)=3,'Monthly data'!J371-2*'Monthly data'!J370+'Monthly data'!J369,"")</x:f>
        <x:v>-2.3375999999999983</x:v>
      </x:c>
      <x:c r="P371" s="8" t="n">
        <x:f>IF(COUNT('Monthly data'!K369:K371)=3,'Monthly data'!K371-2*'Monthly data'!K370+'Monthly data'!K369,"")</x:f>
        <x:v>3.0419</x:v>
      </x:c>
      <x:c r="Q371" s="8" t="n">
        <x:f>IF(COUNT('Monthly data'!L369:L371)=3,'Monthly data'!L371-2*'Monthly data'!L370+'Monthly data'!L369,"")</x:f>
        <x:v>2.7577</x:v>
      </x:c>
      <x:c r="R371" s="8" t="n">
        <x:f>IF(COUNT('Monthly data'!M369:M371)=3,'Monthly data'!M371-2*'Monthly data'!M370+'Monthly data'!M369,"")</x:f>
        <x:v>3.016300000000001</x:v>
      </x:c>
      <x:c r="S371" s="8" t="n">
        <x:f>IF(COUNT('Monthly data'!N369:N371)=3,'Monthly data'!N371-2*'Monthly data'!N370+'Monthly data'!N369,"")</x:f>
        <x:v>5.132299999999999</x:v>
      </x:c>
      <x:c r="T371" s="8" t="n">
        <x:f>IF(COUNT('Monthly data'!E370:E371)=2,'Monthly data'!E371-'Monthly data'!E370,"")</x:f>
        <x:v>0.00787465119999986</x:v>
      </x:c>
    </x:row>
    <x:row r="372" ht="19" customHeight="1">
      <x:c r="A372" s="7" t="n">
        <x:f>'Monthly data'!A372</x:f>
        <x:v>44136</x:v>
      </x:c>
      <x:c r="B372" s="8" t="n">
        <x:f>IF(ISNUMBER('Monthly data'!F372),LN(1+'Monthly data'!F372),"")</x:f>
        <x:v>4.190714786041794</x:v>
      </x:c>
      <x:c r="C372" s="8" t="n">
        <x:f>IF(ISNUMBER('Monthly data'!G372),LN(1+'Monthly data'!G372),"")</x:f>
        <x:v>2.3903212072981326</x:v>
      </x:c>
      <x:c r="D372" s="8" t="n">
        <x:f>IF(ISNUMBER('Monthly data'!H372),LN(1+'Monthly data'!H372),"")</x:f>
        <x:v>3.2173346378493717</x:v>
      </x:c>
      <x:c r="E372" s="8" t="n">
        <x:f>IF(ISNUMBER('Monthly data'!I372),LN(1+'Monthly data'!I372),"")</x:f>
        <x:v>2.3220739455778925</x:v>
      </x:c>
      <x:c r="F372" s="8" t="n">
        <x:f>IF(ISNUMBER('Monthly data'!J372),LN(1+'Monthly data'!J372),"")</x:f>
        <x:v>2.070060173936456</x:v>
      </x:c>
      <x:c r="G372" s="8" t="n">
        <x:f>IF(ISNUMBER('Monthly data'!K372),LN(1+'Monthly data'!K372),"")</x:f>
        <x:v>0.8457395039231187</x:v>
      </x:c>
      <x:c r="H372" s="8" t="n">
        <x:f>IF(ISNUMBER('Monthly data'!L372),LN(1+'Monthly data'!L372),"")</x:f>
        <x:v>0.7716810582140522</x:v>
      </x:c>
      <x:c r="I372" s="8" t="n">
        <x:f>IF(ISNUMBER('Monthly data'!M372),LN(1+'Monthly data'!M372),"")</x:f>
        <x:v>1.2348026431183752</x:v>
      </x:c>
      <x:c r="J372" s="8" t="n">
        <x:f>IF(ISNUMBER('Monthly data'!N372),LN(1+'Monthly data'!N372),"")</x:f>
        <x:v>2.410416553352042</x:v>
      </x:c>
      <x:c r="K372" s="8" t="n">
        <x:f>IF(COUNT('Monthly data'!F370:F372)=3,'Monthly data'!F372-2*'Monthly data'!F371+'Monthly data'!F370,"")</x:f>
        <x:v>7.129999999999981</x:v>
      </x:c>
      <x:c r="L372" s="8" t="n">
        <x:f>IF(COUNT('Monthly data'!G370:G372)=3,'Monthly data'!G372-2*'Monthly data'!G371+'Monthly data'!G370,"")</x:f>
        <x:v>-2.1658999999999997</x:v>
      </x:c>
      <x:c r="M372" s="8" t="n">
        <x:f>IF(COUNT('Monthly data'!H370:H372)=3,'Monthly data'!H372-2*'Monthly data'!H371+'Monthly data'!H370,"")</x:f>
        <x:v>13.870800000000003</x:v>
      </x:c>
      <x:c r="N372" s="8" t="n">
        <x:f>IF(COUNT('Monthly data'!I370:I372)=3,'Monthly data'!I372-2*'Monthly data'!I371+'Monthly data'!I370,"")</x:f>
        <x:v>-1.3599000000000006</x:v>
      </x:c>
      <x:c r="O372" s="8" t="n">
        <x:f>IF(COUNT('Monthly data'!J370:J372)=3,'Monthly data'!J372-2*'Monthly data'!J371+'Monthly data'!J370,"")</x:f>
        <x:v>5.530999999999999</x:v>
      </x:c>
      <x:c r="P372" s="8" t="n">
        <x:f>IF(COUNT('Monthly data'!K370:K372)=3,'Monthly data'!K372-2*'Monthly data'!K371+'Monthly data'!K370,"")</x:f>
        <x:v>-2.5469999999999997</x:v>
      </x:c>
      <x:c r="Q372" s="8" t="n">
        <x:f>IF(COUNT('Monthly data'!L370:L372)=3,'Monthly data'!L372-2*'Monthly data'!L371+'Monthly data'!L370,"")</x:f>
        <x:v>-1.2868000000000002</x:v>
      </x:c>
      <x:c r="R372" s="8" t="n">
        <x:f>IF(COUNT('Monthly data'!M370:M372)=3,'Monthly data'!M372-2*'Monthly data'!M371+'Monthly data'!M370,"")</x:f>
        <x:v>-0.10879999999999956</x:v>
      </x:c>
      <x:c r="S372" s="8" t="n">
        <x:f>IF(COUNT('Monthly data'!N370:N372)=3,'Monthly data'!N372-2*'Monthly data'!N371+'Monthly data'!N370,"")</x:f>
        <x:v>-4.803700000000001</x:v>
      </x:c>
      <x:c r="T372" s="8" t="n">
        <x:f>IF(COUNT('Monthly data'!E371:E372)=2,'Monthly data'!E372-'Monthly data'!E371,"")</x:f>
        <x:v>0.024287866199999897</x:v>
      </x:c>
    </x:row>
    <x:row r="373" ht="19" customHeight="1">
      <x:c r="A373" s="7" t="n">
        <x:f>'Monthly data'!A373</x:f>
        <x:v>44166</x:v>
      </x:c>
      <x:c r="B373" s="8" t="n">
        <x:f>IF(ISNUMBER('Monthly data'!F373),LN(1+'Monthly data'!F373),"")</x:f>
        <x:v>4.298509146938508</x:v>
      </x:c>
      <x:c r="C373" s="8" t="n">
        <x:f>IF(ISNUMBER('Monthly data'!G373),LN(1+'Monthly data'!G373),"")</x:f>
        <x:v>2.067191819250919</x:v>
      </x:c>
      <x:c r="D373" s="8" t="n">
        <x:f>IF(ISNUMBER('Monthly data'!H373),LN(1+'Monthly data'!H373),"")</x:f>
        <x:v>3.4676559333607777</x:v>
      </x:c>
      <x:c r="E373" s="8" t="n">
        <x:f>IF(ISNUMBER('Monthly data'!I373),LN(1+'Monthly data'!I373),"")</x:f>
        <x:v>2.5016408487791657</x:v>
      </x:c>
      <x:c r="F373" s="8" t="n">
        <x:f>IF(ISNUMBER('Monthly data'!J373),LN(1+'Monthly data'!J373),"")</x:f>
        <x:v>1.281655807007321</x:v>
      </x:c>
      <x:c r="G373" s="8" t="n">
        <x:f>IF(ISNUMBER('Monthly data'!K373),LN(1+'Monthly data'!K373),"")</x:f>
        <x:v>1.0130180888265847</x:v>
      </x:c>
      <x:c r="H373" s="8" t="n">
        <x:f>IF(ISNUMBER('Monthly data'!L373),LN(1+'Monthly data'!L373),"")</x:f>
        <x:v>0.10723875066959863</x:v>
      </x:c>
      <x:c r="I373" s="8" t="n">
        <x:f>IF(ISNUMBER('Monthly data'!M373),LN(1+'Monthly data'!M373),"")</x:f>
        <x:v>1.719690442652352</x:v>
      </x:c>
      <x:c r="J373" s="8" t="n">
        <x:f>IF(ISNUMBER('Monthly data'!N373),LN(1+'Monthly data'!N373),"")</x:f>
        <x:v>2.7324761114640372</x:v>
      </x:c>
      <x:c r="K373" s="8" t="n">
        <x:f>IF(COUNT('Monthly data'!F371:F373)=3,'Monthly data'!F373-2*'Monthly data'!F372+'Monthly data'!F371,"")</x:f>
        <x:v>10.740000000000023</x:v>
      </x:c>
      <x:c r="L373" s="8" t="n">
        <x:f>IF(COUNT('Monthly data'!G371:G373)=3,'Monthly data'!G373-2*'Monthly data'!G372+'Monthly data'!G371,"")</x:f>
        <x:v>-2.8978</x:v>
      </x:c>
      <x:c r="M373" s="8" t="n">
        <x:f>IF(COUNT('Monthly data'!H371:H373)=3,'Monthly data'!H373-2*'Monthly data'!H372+'Monthly data'!H371,"")</x:f>
        <x:v>7.761799999999997</x:v>
      </x:c>
      <x:c r="N373" s="8" t="n">
        <x:f>IF(COUNT('Monthly data'!I371:I373)=3,'Monthly data'!I373-2*'Monthly data'!I372+'Monthly data'!I371,"")</x:f>
        <x:v>1.2044000000000015</x:v>
      </x:c>
      <x:c r="O373" s="8" t="n">
        <x:f>IF(COUNT('Monthly data'!J371:J373)=3,'Monthly data'!J373-2*'Monthly data'!J372+'Monthly data'!J371,"")</x:f>
        <x:v>-6.640700000000001</x:v>
      </x:c>
      <x:c r="P373" s="8" t="n">
        <x:f>IF(COUNT('Monthly data'!K371:K373)=3,'Monthly data'!K373-2*'Monthly data'!K372+'Monthly data'!K371,"")</x:f>
        <x:v>1.1421999999999997</x:v>
      </x:c>
      <x:c r="Q373" s="8" t="n">
        <x:f>IF(COUNT('Monthly data'!L371:L373)=3,'Monthly data'!L373-2*'Monthly data'!L372+'Monthly data'!L371,"")</x:f>
        <x:v>-0.9338</x:v>
      </x:c>
      <x:c r="R373" s="8" t="n">
        <x:f>IF(COUNT('Monthly data'!M371:M373)=3,'Monthly data'!M373-2*'Monthly data'!M372+'Monthly data'!M371,"")</x:f>
        <x:v>3.0860999999999996</x:v>
      </x:c>
      <x:c r="S373" s="8" t="n">
        <x:f>IF(COUNT('Monthly data'!N371:N373)=3,'Monthly data'!N373-2*'Monthly data'!N372+'Monthly data'!N371,"")</x:f>
        <x:v>8.017900000000001</x:v>
      </x:c>
      <x:c r="T373" s="8" t="n">
        <x:f>IF(COUNT('Monthly data'!E372:E373)=2,'Monthly data'!E373-'Monthly data'!E372,"")</x:f>
        <x:v>0.009849727399998898</x:v>
      </x:c>
    </x:row>
    <x:row r="374" ht="19" customHeight="1">
      <x:c r="A374" s="7" t="n">
        <x:f>'Monthly data'!A374</x:f>
        <x:v>44197</x:v>
      </x:c>
      <x:c r="B374" s="8" t="n">
        <x:f>IF(ISNUMBER('Monthly data'!F374),LN(1+'Monthly data'!F374),"")</x:f>
        <x:v>4.403665809777363</x:v>
      </x:c>
      <x:c r="C374" s="8" t="n">
        <x:f>IF(ISNUMBER('Monthly data'!G374),LN(1+'Monthly data'!G374),"")</x:f>
        <x:v>1.7331941838553475</x:v>
      </x:c>
      <x:c r="D374" s="8" t="n">
        <x:f>IF(ISNUMBER('Monthly data'!H374),LN(1+'Monthly data'!H374),"")</x:f>
        <x:v>3.519451417491652</x:v>
      </x:c>
      <x:c r="E374" s="8" t="n">
        <x:f>IF(ISNUMBER('Monthly data'!I374),LN(1+'Monthly data'!I374),"")</x:f>
        <x:v>2.438522339230471</x:v>
      </x:c>
      <x:c r="F374" s="8" t="n">
        <x:f>IF(ISNUMBER('Monthly data'!J374),LN(1+'Monthly data'!J374),"")</x:f>
        <x:v>1.6472730507371218</x:v>
      </x:c>
      <x:c r="G374" s="8" t="n">
        <x:f>IF(ISNUMBER('Monthly data'!K374),LN(1+'Monthly data'!K374),"")</x:f>
        <x:v>1.3868442099253262</x:v>
      </x:c>
      <x:c r="H374" s="8" t="n">
        <x:f>IF(ISNUMBER('Monthly data'!L374),LN(1+'Monthly data'!L374),"")</x:f>
        <x:v>0.6312717768418578</x:v>
      </x:c>
      <x:c r="I374" s="8" t="n">
        <x:f>IF(ISNUMBER('Monthly data'!M374),LN(1+'Monthly data'!M374),"")</x:f>
        <x:v>1.5855959379485296</x:v>
      </x:c>
      <x:c r="J374" s="8" t="n">
        <x:f>IF(ISNUMBER('Monthly data'!N374),LN(1+'Monthly data'!N374),"")</x:f>
        <x:v>3.0870435593378884</x:v>
      </x:c>
      <x:c r="K374" s="8" t="n">
        <x:f>IF(COUNT('Monthly data'!F372:F374)=3,'Monthly data'!F374-2*'Monthly data'!F373+'Monthly data'!F372,"")</x:f>
        <x:v>0.6399999999999864</x:v>
      </x:c>
      <x:c r="L374" s="8" t="n">
        <x:f>IF(COUNT('Monthly data'!G372:G374)=3,'Monthly data'!G374-2*'Monthly data'!G373+'Monthly data'!G372,"")</x:f>
        <x:v>0.7705000000000002</x:v>
      </x:c>
      <x:c r="M374" s="8" t="n">
        <x:f>IF(COUNT('Monthly data'!H372:H374)=3,'Monthly data'!H374-2*'Monthly data'!H373+'Monthly data'!H372,"")</x:f>
        <x:v>-5.395599999999995</x:v>
      </x:c>
      <x:c r="N374" s="8" t="n">
        <x:f>IF(COUNT('Monthly data'!I372:I374)=3,'Monthly data'!I374-2*'Monthly data'!I373+'Monthly data'!I372,"")</x:f>
        <x:v>-2.752100000000002</x:v>
      </x:c>
      <x:c r="O374" s="8" t="n">
        <x:f>IF(COUNT('Monthly data'!J372:J374)=3,'Monthly data'!J374-2*'Monthly data'!J373+'Monthly data'!J372,"")</x:f>
        <x:v>5.9129000000000005</x:v>
      </x:c>
      <x:c r="P374" s="8" t="n">
        <x:f>IF(COUNT('Monthly data'!K372:K374)=3,'Monthly data'!K374-2*'Monthly data'!K373+'Monthly data'!K372,"")</x:f>
        <x:v>0.8241000000000003</x:v>
      </x:c>
      <x:c r="Q374" s="8" t="n">
        <x:f>IF(COUNT('Monthly data'!L372:L374)=3,'Monthly data'!L374-2*'Monthly data'!L373+'Monthly data'!L372,"")</x:f>
        <x:v>1.817</x:v>
      </x:c>
      <x:c r="R374" s="8" t="n">
        <x:f>IF(COUNT('Monthly data'!M372:M374)=3,'Monthly data'!M374-2*'Monthly data'!M373+'Monthly data'!M372,"")</x:f>
        <x:v>-2.8456999999999995</x:v>
      </x:c>
      <x:c r="S374" s="8" t="n">
        <x:f>IF(COUNT('Monthly data'!N372:N374)=3,'Monthly data'!N374-2*'Monthly data'!N373+'Monthly data'!N372,"")</x:f>
        <x:v>2.3089999999999975</x:v>
      </x:c>
      <x:c r="T374" s="8" t="n">
        <x:f>IF(COUNT('Monthly data'!E373:E374)=2,'Monthly data'!E374-'Monthly data'!E373,"")</x:f>
        <x:v>0.004952173700001339</x:v>
      </x:c>
    </x:row>
    <x:row r="375" ht="19" customHeight="1">
      <x:c r="A375" s="7" t="n">
        <x:f>'Monthly data'!A375</x:f>
        <x:v>44228</x:v>
      </x:c>
      <x:c r="B375" s="8" t="n">
        <x:f>IF(ISNUMBER('Monthly data'!F375),LN(1+'Monthly data'!F375),"")</x:f>
        <x:v>4.328757705794541</x:v>
      </x:c>
      <x:c r="C375" s="8" t="n">
        <x:f>IF(ISNUMBER('Monthly data'!G375),LN(1+'Monthly data'!G375),"")</x:f>
        <x:v>1.948236013562794</x:v>
      </x:c>
      <x:c r="D375" s="8" t="n">
        <x:f>IF(ISNUMBER('Monthly data'!H375),LN(1+'Monthly data'!H375),"")</x:f>
        <x:v>3.534174037115128</x:v>
      </x:c>
      <x:c r="E375" s="8" t="n">
        <x:f>IF(ISNUMBER('Monthly data'!I375),LN(1+'Monthly data'!I375),"")</x:f>
        <x:v>2.1663987505357323</x:v>
      </x:c>
      <x:c r="F375" s="8" t="n">
        <x:f>IF(ISNUMBER('Monthly data'!J375),LN(1+'Monthly data'!J375),"")</x:f>
        <x:v>1.3118940385436404</x:v>
      </x:c>
      <x:c r="G375" s="8" t="n">
        <x:f>IF(ISNUMBER('Monthly data'!K375),LN(1+'Monthly data'!K375),"")</x:f>
        <x:v>0.7517462228628812</x:v>
      </x:c>
      <x:c r="H375" s="8" t="n">
        <x:f>IF(ISNUMBER('Monthly data'!L375),LN(1+'Monthly data'!L375),"")</x:f>
        <x:v>2.4319540848352657</x:v>
      </x:c>
      <x:c r="I375" s="8" t="n">
        <x:f>IF(ISNUMBER('Monthly data'!M375),LN(1+'Monthly data'!M375),"")</x:f>
        <x:v>1.080618025295831</x:v>
      </x:c>
      <x:c r="J375" s="8" t="n">
        <x:f>IF(ISNUMBER('Monthly data'!N375),LN(1+'Monthly data'!N375),"")</x:f>
        <x:v>2.539923420093864</x:v>
      </x:c>
      <x:c r="K375" s="8" t="n">
        <x:f>IF(COUNT('Monthly data'!F373:F375)=3,'Monthly data'!F375-2*'Monthly data'!F374+'Monthly data'!F373,"")</x:f>
        <x:v>-14.060000000000002</x:v>
      </x:c>
      <x:c r="L375" s="8" t="n">
        <x:f>IF(COUNT('Monthly data'!G373:G375)=3,'Monthly data'!G375-2*'Monthly data'!G374+'Monthly data'!G373,"")</x:f>
        <x:v>3.6015000000000006</x:v>
      </x:c>
      <x:c r="M375" s="8" t="n">
        <x:f>IF(COUNT('Monthly data'!H373:H375)=3,'Monthly data'!H375-2*'Monthly data'!H374+'Monthly data'!H373,"")</x:f>
        <x:v>-1.203600000000005</x:v>
      </x:c>
      <x:c r="N375" s="8" t="n">
        <x:f>IF(COUNT('Monthly data'!I373:I375)=3,'Monthly data'!I375-2*'Monthly data'!I374+'Monthly data'!I373,"")</x:f>
        <x:v>-1.9828999999999972</x:v>
      </x:c>
      <x:c r="O375" s="8" t="n">
        <x:f>IF(COUNT('Monthly data'!J373:J375)=3,'Monthly data'!J375-2*'Monthly data'!J374+'Monthly data'!J373,"")</x:f>
        <x:v>-3.0698</x:v>
      </x:c>
      <x:c r="P375" s="8" t="n">
        <x:f>IF(COUNT('Monthly data'!K373:K375)=3,'Monthly data'!K375-2*'Monthly data'!K374+'Monthly data'!K373,"")</x:f>
        <x:v>-3.1298000000000004</x:v>
      </x:c>
      <x:c r="Q375" s="8" t="n">
        <x:f>IF(COUNT('Monthly data'!L373:L375)=3,'Monthly data'!L375-2*'Monthly data'!L374+'Monthly data'!L373,"")</x:f>
        <x:v>8.734300000000001</x:v>
      </x:c>
      <x:c r="R375" s="8" t="n">
        <x:f>IF(COUNT('Monthly data'!M373:M375)=3,'Monthly data'!M375-2*'Monthly data'!M374+'Monthly data'!M373,"")</x:f>
        <x:v>-1.2351</x:v>
      </x:c>
      <x:c r="S375" s="8" t="n">
        <x:f>IF(COUNT('Monthly data'!N373:N375)=3,'Monthly data'!N375-2*'Monthly data'!N374+'Monthly data'!N373,"")</x:f>
        <x:v>-15.774799999999997</x:v>
      </x:c>
      <x:c r="T375" s="8" t="n">
        <x:f>IF(COUNT('Monthly data'!E374:E375)=2,'Monthly data'!E375-'Monthly data'!E374,"")</x:f>
        <x:v>-0.025708185800001004</x:v>
      </x:c>
    </x:row>
    <x:row r="376" ht="19" customHeight="1">
      <x:c r="A376" s="7" t="n">
        <x:f>'Monthly data'!A376</x:f>
        <x:v>44256</x:v>
      </x:c>
      <x:c r="B376" s="8" t="n">
        <x:f>IF(ISNUMBER('Monthly data'!F376),LN(1+'Monthly data'!F376),"")</x:f>
        <x:v>4.386640972224627</x:v>
      </x:c>
      <x:c r="C376" s="8" t="n">
        <x:f>IF(ISNUMBER('Monthly data'!G376),LN(1+'Monthly data'!G376),"")</x:f>
        <x:v>2.3348780181903077</x:v>
      </x:c>
      <x:c r="D376" s="8" t="n">
        <x:f>IF(ISNUMBER('Monthly data'!H376),LN(1+'Monthly data'!H376),"")</x:f>
        <x:v>3.530914843824698</x:v>
      </x:c>
      <x:c r="E376" s="8" t="n">
        <x:f>IF(ISNUMBER('Monthly data'!I376),LN(1+'Monthly data'!I376),"")</x:f>
        <x:v>2.0905669244632543</x:v>
      </x:c>
      <x:c r="F376" s="8" t="n">
        <x:f>IF(ISNUMBER('Monthly data'!J376),LN(1+'Monthly data'!J376),"")</x:f>
        <x:v>1.6196060413497266</x:v>
      </x:c>
      <x:c r="G376" s="8" t="n">
        <x:f>IF(ISNUMBER('Monthly data'!K376),LN(1+'Monthly data'!K376),"")</x:f>
        <x:v>0.4945132982736856</x:v>
      </x:c>
      <x:c r="H376" s="8" t="n">
        <x:f>IF(ISNUMBER('Monthly data'!L376),LN(1+'Monthly data'!L376),"")</x:f>
        <x:v>2.116580763108406</x:v>
      </x:c>
      <x:c r="I376" s="8" t="n">
        <x:f>IF(ISNUMBER('Monthly data'!M376),LN(1+'Monthly data'!M376),"")</x:f>
        <x:v>1.7388508357948749</x:v>
      </x:c>
      <x:c r="J376" s="8" t="n">
        <x:f>IF(ISNUMBER('Monthly data'!N376),LN(1+'Monthly data'!N376),"")</x:f>
        <x:v>2.647082187000059</x:v>
      </x:c>
      <x:c r="K376" s="8" t="n">
        <x:f>IF(COUNT('Monthly data'!F374:F376)=3,'Monthly data'!F376-2*'Monthly data'!F375+'Monthly data'!F374,"")</x:f>
        <x:v>10.420000000000016</x:v>
      </x:c>
      <x:c r="L376" s="8" t="n">
        <x:f>IF(COUNT('Monthly data'!G374:G376)=3,'Monthly data'!G376-2*'Monthly data'!G375+'Monthly data'!G374,"")</x:f>
        <x:v>1.9543</x:v>
      </x:c>
      <x:c r="M376" s="8" t="n">
        <x:f>IF(COUNT('Monthly data'!H374:H376)=3,'Monthly data'!H376-2*'Monthly data'!H375+'Monthly data'!H374,"")</x:f>
        <x:v>-0.6122999999999976</x:v>
      </x:c>
      <x:c r="N376" s="8" t="n">
        <x:f>IF(COUNT('Monthly data'!I374:I376)=3,'Monthly data'!I376-2*'Monthly data'!I375+'Monthly data'!I374,"")</x:f>
        <x:v>2.0919999999999987</x:v>
      </x:c>
      <x:c r="O376" s="8" t="n">
        <x:f>IF(COUNT('Monthly data'!J374:J376)=3,'Monthly data'!J376-2*'Monthly data'!J375+'Monthly data'!J374,"")</x:f>
        <x:v>2.8175</x:v>
      </x:c>
      <x:c r="P376" s="8" t="n">
        <x:f>IF(COUNT('Monthly data'!K374:K376)=3,'Monthly data'!K376-2*'Monthly data'!K375+'Monthly data'!K374,"")</x:f>
        <x:v>1.4005</x:v>
      </x:c>
      <x:c r="Q376" s="8" t="n">
        <x:f>IF(COUNT('Monthly data'!L374:L376)=3,'Monthly data'!L376-2*'Monthly data'!L375+'Monthly data'!L374,"")</x:f>
        <x:v>-12.5795</x:v>
      </x:c>
      <x:c r="R376" s="8" t="n">
        <x:f>IF(COUNT('Monthly data'!M374:M376)=3,'Monthly data'!M376-2*'Monthly data'!M375+'Monthly data'!M374,"")</x:f>
        <x:v>4.680000000000001</x:v>
      </x:c>
      <x:c r="S376" s="8" t="n">
        <x:f>IF(COUNT('Monthly data'!N374:N376)=3,'Monthly data'!N376-2*'Monthly data'!N375+'Monthly data'!N374,"")</x:f>
        <x:v>10.6676</x:v>
      </x:c>
      <x:c r="T376" s="8" t="n">
        <x:f>IF(COUNT('Monthly data'!E375:E376)=2,'Monthly data'!E376-'Monthly data'!E375,"")</x:f>
        <x:v>0.025297908700000704</x:v>
      </x:c>
    </x:row>
    <x:row r="377" ht="19" customHeight="1">
      <x:c r="A377" s="7" t="n">
        <x:f>'Monthly data'!A377</x:f>
        <x:v>44287</x:v>
      </x:c>
      <x:c r="B377" s="8" t="n">
        <x:f>IF(ISNUMBER('Monthly data'!F377),LN(1+'Monthly data'!F377),"")</x:f>
        <x:v>4.380024632003209</x:v>
      </x:c>
      <x:c r="C377" s="8" t="n">
        <x:f>IF(ISNUMBER('Monthly data'!G377),LN(1+'Monthly data'!G377),"")</x:f>
        <x:v>2.818141508895865</x:v>
      </x:c>
      <x:c r="D377" s="8" t="n">
        <x:f>IF(ISNUMBER('Monthly data'!H377),LN(1+'Monthly data'!H377),"")</x:f>
        <x:v>3.3759787140624407</x:v>
      </x:c>
      <x:c r="E377" s="8" t="n">
        <x:f>IF(ISNUMBER('Monthly data'!I377),LN(1+'Monthly data'!I377),"")</x:f>
        <x:v>1.8845817081877758</x:v>
      </x:c>
      <x:c r="F377" s="8" t="n">
        <x:f>IF(ISNUMBER('Monthly data'!J377),LN(1+'Monthly data'!J377),"")</x:f>
        <x:v>1.7485039605570978</x:v>
      </x:c>
      <x:c r="G377" s="8" t="n">
        <x:f>IF(ISNUMBER('Monthly data'!K377),LN(1+'Monthly data'!K377),"")</x:f>
        <x:v>1.2876611662114907</x:v>
      </x:c>
      <x:c r="H377" s="8" t="n">
        <x:f>IF(ISNUMBER('Monthly data'!L377),LN(1+'Monthly data'!L377),"")</x:f>
        <x:v>1.8051691561379728</x:v>
      </x:c>
      <x:c r="I377" s="8" t="n">
        <x:f>IF(ISNUMBER('Monthly data'!M377),LN(1+'Monthly data'!M377),"")</x:f>
        <x:v>1.579535251079787</x:v>
      </x:c>
      <x:c r="J377" s="8" t="n">
        <x:f>IF(ISNUMBER('Monthly data'!N377),LN(1+'Monthly data'!N377),"")</x:f>
        <x:v>2.6357590390874677</x:v>
      </x:c>
      <x:c r="K377" s="8" t="n">
        <x:f>IF(COUNT('Monthly data'!F375:F377)=3,'Monthly data'!F377-2*'Monthly data'!F376+'Monthly data'!F375,"")</x:f>
        <x:v>-5.050000000000011</x:v>
      </x:c>
      <x:c r="L377" s="8" t="n">
        <x:f>IF(COUNT('Monthly data'!G375:G377)=3,'Monthly data'!G377-2*'Monthly data'!G376+'Monthly data'!G375,"")</x:f>
        <x:v>3.105599999999998</x:v>
      </x:c>
      <x:c r="M377" s="8" t="n">
        <x:f>IF(COUNT('Monthly data'!H375:H377)=3,'Monthly data'!H377-2*'Monthly data'!H376+'Monthly data'!H375,"")</x:f>
        <x:v>-4.790800000000004</x:v>
      </x:c>
      <x:c r="N377" s="8" t="n">
        <x:f>IF(COUNT('Monthly data'!I375:I377)=3,'Monthly data'!I377-2*'Monthly data'!I376+'Monthly data'!I375,"")</x:f>
        <x:v>-0.8686000000000016</x:v>
      </x:c>
      <x:c r="O377" s="8" t="n">
        <x:f>IF(COUNT('Monthly data'!J375:J377)=3,'Monthly data'!J377-2*'Monthly data'!J376+'Monthly data'!J375,"")</x:f>
        <x:v>-0.6429999999999993</x:v>
      </x:c>
      <x:c r="P377" s="8" t="n">
        <x:f>IF(COUNT('Monthly data'!K375:K377)=3,'Monthly data'!K377-2*'Monthly data'!K376+'Monthly data'!K375,"")</x:f>
        <x:v>2.4656</x:v>
      </x:c>
      <x:c r="Q377" s="8" t="n">
        <x:f>IF(COUNT('Monthly data'!L375:L377)=3,'Monthly data'!L377-2*'Monthly data'!L376+'Monthly data'!L375,"")</x:f>
        <x:v>0.8567</x:v>
      </x:c>
      <x:c r="R377" s="8" t="n">
        <x:f>IF(COUNT('Monthly data'!M375:M377)=3,'Monthly data'!M377-2*'Monthly data'!M376+'Monthly data'!M375,"")</x:f>
        <x:v>-3.5824000000000003</x:v>
      </x:c>
      <x:c r="S377" s="8" t="n">
        <x:f>IF(COUNT('Monthly data'!N375:N377)=3,'Monthly data'!N377-2*'Monthly data'!N376+'Monthly data'!N375,"")</x:f>
        <x:v>-1.593</x:v>
      </x:c>
      <x:c r="T377" s="8" t="n">
        <x:f>IF(COUNT('Monthly data'!E376:E377)=2,'Monthly data'!E377-'Monthly data'!E376,"")</x:f>
        <x:v>-0.006796537099999611</x:v>
      </x:c>
    </x:row>
    <x:row r="378" ht="19" customHeight="1">
      <x:c r="A378" s="7" t="n">
        <x:f>'Monthly data'!A378</x:f>
        <x:v>44317</x:v>
      </x:c>
      <x:c r="B378" s="8" t="n">
        <x:f>IF(ISNUMBER('Monthly data'!F378),LN(1+'Monthly data'!F378),"")</x:f>
        <x:v>4.528828952731369</x:v>
      </x:c>
      <x:c r="C378" s="8" t="n">
        <x:f>IF(ISNUMBER('Monthly data'!G378),LN(1+'Monthly data'!G378),"")</x:f>
        <x:v>3.670328443219061</x:v>
      </x:c>
      <x:c r="D378" s="8" t="n">
        <x:f>IF(ISNUMBER('Monthly data'!H378),LN(1+'Monthly data'!H378),"")</x:f>
        <x:v>3.1975296068486023</x:v>
      </x:c>
      <x:c r="E378" s="8" t="n">
        <x:f>IF(ISNUMBER('Monthly data'!I378),LN(1+'Monthly data'!I378),"")</x:f>
        <x:v>1.8986687848757318</x:v>
      </x:c>
      <x:c r="F378" s="8" t="n">
        <x:f>IF(ISNUMBER('Monthly data'!J378),LN(1+'Monthly data'!J378),"")</x:f>
        <x:v>1.6596936687651422</x:v>
      </x:c>
      <x:c r="G378" s="8" t="n">
        <x:f>IF(ISNUMBER('Monthly data'!K378),LN(1+'Monthly data'!K378),"")</x:f>
        <x:v>0.9489515141137035</x:v>
      </x:c>
      <x:c r="H378" s="8" t="n">
        <x:f>IF(ISNUMBER('Monthly data'!L378),LN(1+'Monthly data'!L378),"")</x:f>
        <x:v>1.373107799315715</x:v>
      </x:c>
      <x:c r="I378" s="8" t="n">
        <x:f>IF(ISNUMBER('Monthly data'!M378),LN(1+'Monthly data'!M378),"")</x:f>
        <x:v>1.105157488704113</x:v>
      </x:c>
      <x:c r="J378" s="8" t="n">
        <x:f>IF(ISNUMBER('Monthly data'!N378),LN(1+'Monthly data'!N378),"")</x:f>
        <x:v>2.669184624880343</x:v>
      </x:c>
      <x:c r="K378" s="8" t="n">
        <x:f>IF(COUNT('Monthly data'!F376:F378)=3,'Monthly data'!F378-2*'Monthly data'!F377+'Monthly data'!F376,"")</x:f>
        <x:v>13.340000000000003</x:v>
      </x:c>
      <x:c r="L378" s="8" t="n">
        <x:f>IF(COUNT('Monthly data'!G376:G378)=3,'Monthly data'!G378-2*'Monthly data'!G377+'Monthly data'!G376,"")</x:f>
        <x:v>16.101600000000005</x:v>
      </x:c>
      <x:c r="M378" s="8" t="n">
        <x:f>IF(COUNT('Monthly data'!H376:H378)=3,'Monthly data'!H378-2*'Monthly data'!H377+'Monthly data'!H376,"")</x:f>
        <x:v>0.12140000000000128</x:v>
      </x:c>
      <x:c r="N378" s="8" t="n">
        <x:f>IF(COUNT('Monthly data'!I376:I378)=3,'Monthly data'!I378-2*'Monthly data'!I377+'Monthly data'!I376,"")</x:f>
        <x:v>1.5993000000000004</x:v>
      </x:c>
      <x:c r="O378" s="8" t="n">
        <x:f>IF(COUNT('Monthly data'!J376:J378)=3,'Monthly data'!J378-2*'Monthly data'!J377+'Monthly data'!J376,"")</x:f>
        <x:v>-1.1832000000000011</x:v>
      </x:c>
      <x:c r="P378" s="8" t="n">
        <x:f>IF(COUNT('Monthly data'!K376:K378)=3,'Monthly data'!K378-2*'Monthly data'!K377+'Monthly data'!K376,"")</x:f>
        <x:v>-3.0258999999999996</x:v>
      </x:c>
      <x:c r="Q378" s="8" t="n">
        <x:f>IF(COUNT('Monthly data'!L376:L378)=3,'Monthly data'!L378-2*'Monthly data'!L377+'Monthly data'!L376,"")</x:f>
        <x:v>0.08829999999999849</x:v>
      </x:c>
      <x:c r="R378" s="8" t="n">
        <x:f>IF(COUNT('Monthly data'!M376:M378)=3,'Monthly data'!M378-2*'Monthly data'!M377+'Monthly data'!M376,"")</x:f>
        <x:v>-0.9949000000000003</x:v>
      </x:c>
      <x:c r="S378" s="8" t="n">
        <x:f>IF(COUNT('Monthly data'!N376:N378)=3,'Monthly data'!N378-2*'Monthly data'!N377+'Monthly data'!N376,"")</x:f>
        <x:v>0.6331999999999987</x:v>
      </x:c>
      <x:c r="T378" s="8" t="n">
        <x:f>IF(COUNT('Monthly data'!E377:E378)=2,'Monthly data'!E378-'Monthly data'!E377,"")</x:f>
        <x:v>0.006676421099999885</x:v>
      </x:c>
    </x:row>
    <x:row r="379" ht="19" customHeight="1">
      <x:c r="A379" s="7" t="n">
        <x:f>'Monthly data'!A379</x:f>
        <x:v>44348</x:v>
      </x:c>
      <x:c r="B379" s="8" t="n">
        <x:f>IF(ISNUMBER('Monthly data'!F379),LN(1+'Monthly data'!F379),"")</x:f>
        <x:v>4.337552144572052</x:v>
      </x:c>
      <x:c r="C379" s="8" t="n">
        <x:f>IF(ISNUMBER('Monthly data'!G379),LN(1+'Monthly data'!G379),"")</x:f>
        <x:v>2.5084034256993983</x:v>
      </x:c>
      <x:c r="D379" s="8" t="n">
        <x:f>IF(ISNUMBER('Monthly data'!H379),LN(1+'Monthly data'!H379),"")</x:f>
        <x:v>3.599107907722704</x:v>
      </x:c>
      <x:c r="E379" s="8" t="n">
        <x:f>IF(ISNUMBER('Monthly data'!I379),LN(1+'Monthly data'!I379),"")</x:f>
        <x:v>1.4466365901260523</x:v>
      </x:c>
      <x:c r="F379" s="8" t="n">
        <x:f>IF(ISNUMBER('Monthly data'!J379),LN(1+'Monthly data'!J379),"")</x:f>
        <x:v>1.8496509476438325</x:v>
      </x:c>
      <x:c r="G379" s="8" t="n">
        <x:f>IF(ISNUMBER('Monthly data'!K379),LN(1+'Monthly data'!K379),"")</x:f>
        <x:v>1.0381189082391473</x:v>
      </x:c>
      <x:c r="H379" s="8" t="n">
        <x:f>IF(ISNUMBER('Monthly data'!L379),LN(1+'Monthly data'!L379),"")</x:f>
        <x:v>1.1342689658761445</x:v>
      </x:c>
      <x:c r="I379" s="8" t="n">
        <x:f>IF(ISNUMBER('Monthly data'!M379),LN(1+'Monthly data'!M379),"")</x:f>
        <x:v>1.4331302359569225</x:v>
      </x:c>
      <x:c r="J379" s="8" t="n">
        <x:f>IF(ISNUMBER('Monthly data'!N379),LN(1+'Monthly data'!N379),"")</x:f>
        <x:v>2.634626097621096</x:v>
      </x:c>
      <x:c r="K379" s="8" t="n">
        <x:f>IF(COUNT('Monthly data'!F377:F379)=3,'Monthly data'!F379-2*'Monthly data'!F378+'Monthly data'!F377,"")</x:f>
        <x:v>-28.940000000000012</x:v>
      </x:c>
      <x:c r="L379" s="8" t="n">
        <x:f>IF(COUNT('Monthly data'!G377:G379)=3,'Monthly data'!G379-2*'Monthly data'!G378+'Monthly data'!G377,"")</x:f>
        <x:v>-49.49860000000001</x:v>
      </x:c>
      <x:c r="M379" s="8" t="n">
        <x:f>IF(COUNT('Monthly data'!H377:H379)=3,'Monthly data'!H379-2*'Monthly data'!H378+'Monthly data'!H377,"")</x:f>
        <x:v>16.8745</x:v>
      </x:c>
      <x:c r="N379" s="8" t="n">
        <x:f>IF(COUNT('Monthly data'!I377:I379)=3,'Monthly data'!I379-2*'Monthly data'!I378+'Monthly data'!I377,"")</x:f>
        <x:v>-2.5216000000000003</x:v>
      </x:c>
      <x:c r="O379" s="8" t="n">
        <x:f>IF(COUNT('Monthly data'!J377:J379)=3,'Monthly data'!J379-2*'Monthly data'!J378+'Monthly data'!J377,"")</x:f>
        <x:v>1.5882000000000005</x:v>
      </x:c>
      <x:c r="P379" s="8" t="n">
        <x:f>IF(COUNT('Monthly data'!K377:K379)=3,'Monthly data'!K379-2*'Monthly data'!K378+'Monthly data'!K377,"")</x:f>
        <x:v>1.2822</x:v>
      </x:c>
      <x:c r="Q379" s="8" t="n">
        <x:f>IF(COUNT('Monthly data'!L377:L379)=3,'Monthly data'!L379-2*'Monthly data'!L378+'Monthly data'!L377,"")</x:f>
        <x:v>1.2947000000000006</x:v>
      </x:c>
      <x:c r="R379" s="8" t="n">
        <x:f>IF(COUNT('Monthly data'!M377:M379)=3,'Monthly data'!M379-2*'Monthly data'!M378+'Monthly data'!M377,"")</x:f>
        <x:v>3.0051000000000005</x:v>
      </x:c>
      <x:c r="S379" s="8" t="n">
        <x:f>IF(COUNT('Monthly data'!N377:N379)=3,'Monthly data'!N379-2*'Monthly data'!N378+'Monthly data'!N377,"")</x:f>
        <x:v>-0.9643999999999995</x:v>
      </x:c>
      <x:c r="T379" s="8" t="n">
        <x:f>IF(COUNT('Monthly data'!E378:E379)=2,'Monthly data'!E379-'Monthly data'!E378,"")</x:f>
        <x:v>0.006681714399999095</x:v>
      </x:c>
    </x:row>
    <x:row r="380" ht="19" customHeight="1">
      <x:c r="A380" s="7" t="n">
        <x:f>'Monthly data'!A380</x:f>
        <x:v>44378</x:v>
      </x:c>
      <x:c r="B380" s="8" t="n">
        <x:f>IF(ISNUMBER('Monthly data'!F380),LN(1+'Monthly data'!F380),"")</x:f>
        <x:v>4.416790314610172</x:v>
      </x:c>
      <x:c r="C380" s="8" t="n">
        <x:f>IF(ISNUMBER('Monthly data'!G380),LN(1+'Monthly data'!G380),"")</x:f>
        <x:v>2.6342170629730295</x:v>
      </x:c>
      <x:c r="D380" s="8" t="n">
        <x:f>IF(ISNUMBER('Monthly data'!H380),LN(1+'Monthly data'!H380),"")</x:f>
        <x:v>3.3637689281183425</x:v>
      </x:c>
      <x:c r="E380" s="8" t="n">
        <x:f>IF(ISNUMBER('Monthly data'!I380),LN(1+'Monthly data'!I380),"")</x:f>
        <x:v>1.85081423200937</x:v>
      </x:c>
      <x:c r="F380" s="8" t="n">
        <x:f>IF(ISNUMBER('Monthly data'!J380),LN(1+'Monthly data'!J380),"")</x:f>
        <x:v>2.161067610559781</x:v>
      </x:c>
      <x:c r="G380" s="8" t="n">
        <x:f>IF(ISNUMBER('Monthly data'!K380),LN(1+'Monthly data'!K380),"")</x:f>
        <x:v>0.8075467208684415</x:v>
      </x:c>
      <x:c r="H380" s="8" t="n">
        <x:f>IF(ISNUMBER('Monthly data'!L380),LN(1+'Monthly data'!L380),"")</x:f>
        <x:v>2.2179635852632993</x:v>
      </x:c>
      <x:c r="I380" s="8" t="n">
        <x:f>IF(ISNUMBER('Monthly data'!M380),LN(1+'Monthly data'!M380),"")</x:f>
        <x:v>0.903529654571541</x:v>
      </x:c>
      <x:c r="J380" s="8" t="n">
        <x:f>IF(ISNUMBER('Monthly data'!N380),LN(1+'Monthly data'!N380),"")</x:f>
        <x:v>2.893422654729421</x:v>
      </x:c>
      <x:c r="K380" s="8" t="n">
        <x:f>IF(COUNT('Monthly data'!F378:F380)=3,'Monthly data'!F380-2*'Monthly data'!F379+'Monthly data'!F378,"")</x:f>
        <x:v>22.440000000000012</x:v>
      </x:c>
      <x:c r="L380" s="8" t="n">
        <x:f>IF(COUNT('Monthly data'!G378:G380)=3,'Monthly data'!G380-2*'Monthly data'!G379+'Monthly data'!G378,"")</x:f>
        <x:v>28.626600000000003</x:v>
      </x:c>
      <x:c r="M380" s="8" t="n">
        <x:f>IF(COUNT('Monthly data'!H378:H380)=3,'Monthly data'!H380-2*'Monthly data'!H379+'Monthly data'!H378,"")</x:f>
        <x:v>-19.761300000000006</x:v>
      </x:c>
      <x:c r="N380" s="8" t="n">
        <x:f>IF(COUNT('Monthly data'!I378:I380)=3,'Monthly data'!I380-2*'Monthly data'!I379+'Monthly data'!I378,"")</x:f>
        <x:v>4.5443999999999996</x:v>
      </x:c>
      <x:c r="O380" s="8" t="n">
        <x:f>IF(COUNT('Monthly data'!J378:J380)=3,'Monthly data'!J380-2*'Monthly data'!J379+'Monthly data'!J378,"")</x:f>
        <x:v>1.2229</x:v>
      </x:c>
      <x:c r="P380" s="8" t="n">
        <x:f>IF(COUNT('Monthly data'!K378:K380)=3,'Monthly data'!K380-2*'Monthly data'!K379+'Monthly data'!K378,"")</x:f>
        <x:v>-0.8224000000000002</x:v>
      </x:c>
      <x:c r="Q380" s="8" t="n">
        <x:f>IF(COUNT('Monthly data'!L378:L380)=3,'Monthly data'!L380-2*'Monthly data'!L379+'Monthly data'!L378,"")</x:f>
        <x:v>6.918399999999998</x:v>
      </x:c>
      <x:c r="R380" s="8" t="n">
        <x:f>IF(COUNT('Monthly data'!M378:M380)=3,'Monthly data'!M380-2*'Monthly data'!M379+'Monthly data'!M378,"")</x:f>
        <x:v>-2.8956000000000004</x:v>
      </x:c>
      <x:c r="S380" s="8" t="n">
        <x:f>IF(COUNT('Monthly data'!N378:N380)=3,'Monthly data'!N380-2*'Monthly data'!N379+'Monthly data'!N378,"")</x:f>
        <x:v>4.606999999999999</x:v>
      </x:c>
      <x:c r="T380" s="8" t="n">
        <x:f>IF(COUNT('Monthly data'!E379:E380)=2,'Monthly data'!E380-'Monthly data'!E379,"")</x:f>
        <x:v>0.01664146490000107</x:v>
      </x:c>
    </x:row>
    <x:row r="381" ht="19" customHeight="1">
      <x:c r="A381" s="7" t="n">
        <x:f>'Monthly data'!A381</x:f>
        <x:v>44409</x:v>
      </x:c>
      <x:c r="B381" s="8" t="n">
        <x:f>IF(ISNUMBER('Monthly data'!F381),LN(1+'Monthly data'!F381),"")</x:f>
        <x:v>4.886129712679046</x:v>
      </x:c>
      <x:c r="C381" s="8" t="n">
        <x:f>IF(ISNUMBER('Monthly data'!G381),LN(1+'Monthly data'!G381),"")</x:f>
        <x:v>3.8611548837997414</x:v>
      </x:c>
      <x:c r="D381" s="8" t="n">
        <x:f>IF(ISNUMBER('Monthly data'!H381),LN(1+'Monthly data'!H381),"")</x:f>
        <x:v>3.331221884699739</x:v>
      </x:c>
      <x:c r="E381" s="8" t="n">
        <x:f>IF(ISNUMBER('Monthly data'!I381),LN(1+'Monthly data'!I381),"")</x:f>
        <x:v>2.7105337811292247</x:v>
      </x:c>
      <x:c r="F381" s="8" t="n">
        <x:f>IF(ISNUMBER('Monthly data'!J381),LN(1+'Monthly data'!J381),"")</x:f>
        <x:v>2.088970991895965</x:v>
      </x:c>
      <x:c r="G381" s="8" t="n">
        <x:f>IF(ISNUMBER('Monthly data'!K381),LN(1+'Monthly data'!K381),"")</x:f>
        <x:v>0.872171641234605</x:v>
      </x:c>
      <x:c r="H381" s="8" t="n">
        <x:f>IF(ISNUMBER('Monthly data'!L381),LN(1+'Monthly data'!L381),"")</x:f>
        <x:v>1.2000250220778386</x:v>
      </x:c>
      <x:c r="I381" s="8" t="n">
        <x:f>IF(ISNUMBER('Monthly data'!M381),LN(1+'Monthly data'!M381),"")</x:f>
        <x:v>1.089302419342332</x:v>
      </x:c>
      <x:c r="J381" s="8" t="n">
        <x:f>IF(ISNUMBER('Monthly data'!N381),LN(1+'Monthly data'!N381),"")</x:f>
        <x:v>3.4703751249481516</x:v>
      </x:c>
      <x:c r="K381" s="8" t="n">
        <x:f>IF(COUNT('Monthly data'!F379:F381)=3,'Monthly data'!F381-2*'Monthly data'!F380+'Monthly data'!F379,"")</x:f>
        <x:v>43.3</x:v>
      </x:c>
      <x:c r="L381" s="8" t="n">
        <x:f>IF(COUNT('Monthly data'!G379:G381)=3,'Monthly data'!G381-2*'Monthly data'!G380+'Monthly data'!G379,"")</x:f>
        <x:v>31.940700000000003</x:v>
      </x:c>
      <x:c r="M381" s="8" t="n">
        <x:f>IF(COUNT('Monthly data'!H379:H381)=3,'Monthly data'!H381-2*'Monthly data'!H380+'Monthly data'!H379,"")</x:f>
        <x:v>6.742300000000004</x:v>
      </x:c>
      <x:c r="N381" s="8" t="n">
        <x:f>IF(COUNT('Monthly data'!I379:I381)=3,'Monthly data'!I381-2*'Monthly data'!I380+'Monthly data'!I379,"")</x:f>
        <x:v>6.5561</x:v>
      </x:c>
      <x:c r="O381" s="8" t="n">
        <x:f>IF(COUNT('Monthly data'!J379:J381)=3,'Monthly data'!J381-2*'Monthly data'!J380+'Monthly data'!J379,"")</x:f>
        <x:v>-2.9265999999999988</x:v>
      </x:c>
      <x:c r="P381" s="8" t="n">
        <x:f>IF(COUNT('Monthly data'!K379:K381)=3,'Monthly data'!K381-2*'Monthly data'!K380+'Monthly data'!K379,"")</x:f>
        <x:v>0.7312000000000001</x:v>
      </x:c>
      <x:c r="Q381" s="8" t="n">
        <x:f>IF(COUNT('Monthly data'!L379:L381)=3,'Monthly data'!L381-2*'Monthly data'!L380+'Monthly data'!L379,"")</x:f>
        <x:v>-11.948099999999998</x:v>
      </x:c>
      <x:c r="R381" s="8" t="n">
        <x:f>IF(COUNT('Monthly data'!M379:M381)=3,'Monthly data'!M381-2*'Monthly data'!M380+'Monthly data'!M379,"")</x:f>
        <x:v>2.2274000000000003</x:v>
      </x:c>
      <x:c r="S381" s="8" t="n">
        <x:f>IF(COUNT('Monthly data'!N379:N381)=3,'Monthly data'!N381-2*'Monthly data'!N380+'Monthly data'!N379,"")</x:f>
        <x:v>9.976900000000002</x:v>
      </x:c>
      <x:c r="T381" s="8" t="n">
        <x:f>IF(COUNT('Monthly data'!E380:E381)=2,'Monthly data'!E381-'Monthly data'!E380,"")</x:f>
        <x:v>-0.005390841400000568</x:v>
      </x:c>
    </x:row>
    <x:row r="382" ht="19" customHeight="1">
      <x:c r="A382" s="7" t="n">
        <x:f>'Monthly data'!A382</x:f>
        <x:v>44440</x:v>
      </x:c>
      <x:c r="B382" s="8" t="n">
        <x:f>IF(ISNUMBER('Monthly data'!F382),LN(1+'Monthly data'!F382),"")</x:f>
        <x:v>4.582310891842009</x:v>
      </x:c>
      <x:c r="C382" s="8" t="n">
        <x:f>IF(ISNUMBER('Monthly data'!G382),LN(1+'Monthly data'!G382),"")</x:f>
        <x:v>2.8807029429692252</x:v>
      </x:c>
      <x:c r="D382" s="8" t="n">
        <x:f>IF(ISNUMBER('Monthly data'!H382),LN(1+'Monthly data'!H382),"")</x:f>
        <x:v>3.6365856593928023</x:v>
      </x:c>
      <x:c r="E382" s="8" t="n">
        <x:f>IF(ISNUMBER('Monthly data'!I382),LN(1+'Monthly data'!I382),"")</x:f>
        <x:v>2.1567960239263777</x:v>
      </x:c>
      <x:c r="F382" s="8" t="n">
        <x:f>IF(ISNUMBER('Monthly data'!J382),LN(1+'Monthly data'!J382),"")</x:f>
        <x:v>1.6526889544284153</x:v>
      </x:c>
      <x:c r="G382" s="8" t="n">
        <x:f>IF(ISNUMBER('Monthly data'!K382),LN(1+'Monthly data'!K382),"")</x:f>
        <x:v>1.4061460068224916</x:v>
      </x:c>
      <x:c r="H382" s="8" t="n">
        <x:f>IF(ISNUMBER('Monthly data'!L382),LN(1+'Monthly data'!L382),"")</x:f>
        <x:v>1.2555590557973693</x:v>
      </x:c>
      <x:c r="I382" s="8" t="n">
        <x:f>IF(ISNUMBER('Monthly data'!M382),LN(1+'Monthly data'!M382),"")</x:f>
        <x:v>1.348592493935879</x:v>
      </x:c>
      <x:c r="J382" s="8" t="n">
        <x:f>IF(ISNUMBER('Monthly data'!N382),LN(1+'Monthly data'!N382),"")</x:f>
        <x:v>3.1631474468629586</x:v>
      </x:c>
      <x:c r="K382" s="8" t="n">
        <x:f>IF(COUNT('Monthly data'!F380:F382)=3,'Monthly data'!F382-2*'Monthly data'!F381+'Monthly data'!F380,"")</x:f>
        <x:v>-84.30999999999999</x:v>
      </x:c>
      <x:c r="L382" s="8" t="n">
        <x:f>IF(COUNT('Monthly data'!G380:G382)=3,'Monthly data'!G382-2*'Monthly data'!G381+'Monthly data'!G380,"")</x:f>
        <x:v>-63.28120000000001</x:v>
      </x:c>
      <x:c r="M382" s="8" t="n">
        <x:f>IF(COUNT('Monthly data'!H380:H382)=3,'Monthly data'!H382-2*'Monthly data'!H381+'Monthly data'!H380,"")</x:f>
        <x:v>10.914900000000003</x:v>
      </x:c>
      <x:c r="N382" s="8" t="n">
        <x:f>IF(COUNT('Monthly data'!I380:I382)=3,'Monthly data'!I382-2*'Monthly data'!I381+'Monthly data'!I380,"")</x:f>
        <x:v>-15.0662</x:v>
      </x:c>
      <x:c r="O382" s="8" t="n">
        <x:f>IF(COUNT('Monthly data'!J380:J382)=3,'Monthly data'!J382-2*'Monthly data'!J381+'Monthly data'!J380,"")</x:f>
        <x:v>-2.2518000000000002</x:v>
      </x:c>
      <x:c r="P382" s="8" t="n">
        <x:f>IF(COUNT('Monthly data'!K380:K382)=3,'Monthly data'!K382-2*'Monthly data'!K381+'Monthly data'!K380,"")</x:f>
        <x:v>1.5384000000000002</x:v>
      </x:c>
      <x:c r="Q382" s="8" t="n">
        <x:f>IF(COUNT('Monthly data'!L380:L382)=3,'Monthly data'!L382-2*'Monthly data'!L381+'Monthly data'!L380,"")</x:f>
        <x:v>6.058</x:v>
      </x:c>
      <x:c r="R382" s="8" t="n">
        <x:f>IF(COUNT('Monthly data'!M380:M382)=3,'Monthly data'!M382-2*'Monthly data'!M381+'Monthly data'!M380,"")</x:f>
        <x:v>0.3758999999999999</x:v>
      </x:c>
      <x:c r="S382" s="8" t="n">
        <x:f>IF(COUNT('Monthly data'!N380:N382)=3,'Monthly data'!N382-2*'Monthly data'!N381+'Monthly data'!N380,"")</x:f>
        <x:v>-22.597700000000003</x:v>
      </x:c>
      <x:c r="T382" s="8" t="n">
        <x:f>IF(COUNT('Monthly data'!E381:E382)=2,'Monthly data'!E382-'Monthly data'!E381,"")</x:f>
        <x:v>0.005119555200000292</x:v>
      </x:c>
    </x:row>
    <x:row r="383" ht="19" customHeight="1">
      <x:c r="A383" s="7" t="n">
        <x:f>'Monthly data'!A383</x:f>
        <x:v>44470</x:v>
      </x:c>
      <x:c r="B383" s="8" t="n">
        <x:f>IF(ISNUMBER('Monthly data'!F383),LN(1+'Monthly data'!F383),"")</x:f>
        <x:v>4.377516479195996</x:v>
      </x:c>
      <x:c r="C383" s="8" t="n">
        <x:f>IF(ISNUMBER('Monthly data'!G383),LN(1+'Monthly data'!G383),"")</x:f>
        <x:v>1.976716439157024</x:v>
      </x:c>
      <x:c r="D383" s="8" t="n">
        <x:f>IF(ISNUMBER('Monthly data'!H383),LN(1+'Monthly data'!H383),"")</x:f>
        <x:v>3.4302285366317435</x:v>
      </x:c>
      <x:c r="E383" s="8" t="n">
        <x:f>IF(ISNUMBER('Monthly data'!I383),LN(1+'Monthly data'!I383),"")</x:f>
        <x:v>2.4880766201188216</x:v>
      </x:c>
      <x:c r="F383" s="8" t="n">
        <x:f>IF(ISNUMBER('Monthly data'!J383),LN(1+'Monthly data'!J383),"")</x:f>
        <x:v>1.5844892670701354</x:v>
      </x:c>
      <x:c r="G383" s="8" t="n">
        <x:f>IF(ISNUMBER('Monthly data'!K383),LN(1+'Monthly data'!K383),"")</x:f>
        <x:v>1.699114069075875</x:v>
      </x:c>
      <x:c r="H383" s="8" t="n">
        <x:f>IF(ISNUMBER('Monthly data'!L383),LN(1+'Monthly data'!L383),"")</x:f>
        <x:v>1.29154402457408</x:v>
      </x:c>
      <x:c r="I383" s="8" t="n">
        <x:f>IF(ISNUMBER('Monthly data'!M383),LN(1+'Monthly data'!M383),"")</x:f>
        <x:v>0.9817788020473144</x:v>
      </x:c>
      <x:c r="J383" s="8" t="n">
        <x:f>IF(ISNUMBER('Monthly data'!N383),LN(1+'Monthly data'!N383),"")</x:f>
        <x:v>2.9879823200939297</x:v>
      </x:c>
      <x:c r="K383" s="8" t="n">
        <x:f>IF(COUNT('Monthly data'!F381:F383)=3,'Monthly data'!F383-2*'Monthly data'!F382+'Monthly data'!F381,"")</x:f>
        <x:v>16.60000000000001</x:v>
      </x:c>
      <x:c r="L383" s="8" t="n">
        <x:f>IF(COUNT('Monthly data'!G381:G383)=3,'Monthly data'!G383-2*'Monthly data'!G382+'Monthly data'!G381,"")</x:f>
        <x:v>19.085600000000007</x:v>
      </x:c>
      <x:c r="M383" s="8" t="n">
        <x:f>IF(COUNT('Monthly data'!H381:H383)=3,'Monthly data'!H383-2*'Monthly data'!H382+'Monthly data'!H381,"")</x:f>
        <x:v>-17.067800000000002</x:v>
      </x:c>
      <x:c r="N383" s="8" t="n">
        <x:f>IF(COUNT('Monthly data'!I381:I383)=3,'Monthly data'!I383-2*'Monthly data'!I382+'Monthly data'!I381,"")</x:f>
        <x:v>9.7886</x:v>
      </x:c>
      <x:c r="O383" s="8" t="n">
        <x:f>IF(COUNT('Monthly data'!J381:J383)=3,'Monthly data'!J383-2*'Monthly data'!J382+'Monthly data'!J381,"")</x:f>
        <x:v>2.511399999999999</x:v>
      </x:c>
      <x:c r="P383" s="8" t="n">
        <x:f>IF(COUNT('Monthly data'!K381:K383)=3,'Monthly data'!K383-2*'Monthly data'!K382+'Monthly data'!K381,"")</x:f>
        <x:v>-0.29920000000000013</x:v>
      </x:c>
      <x:c r="Q383" s="8" t="n">
        <x:f>IF(COUNT('Monthly data'!L381:L383)=3,'Monthly data'!L383-2*'Monthly data'!L382+'Monthly data'!L381,"")</x:f>
        <x:v>-0.06099999999999994</x:v>
      </x:c>
      <x:c r="R383" s="8" t="n">
        <x:f>IF(COUNT('Monthly data'!M381:M383)=3,'Monthly data'!M383-2*'Monthly data'!M382+'Monthly data'!M381,"")</x:f>
        <x:v>-2.0625999999999998</x:v>
      </x:c>
      <x:c r="S383" s="8" t="n">
        <x:f>IF(COUNT('Monthly data'!N381:N383)=3,'Monthly data'!N383-2*'Monthly data'!N382+'Monthly data'!N381,"")</x:f>
        <x:v>4.704600000000003</x:v>
      </x:c>
      <x:c r="T383" s="8" t="n">
        <x:f>IF(COUNT('Monthly data'!E382:E383)=2,'Monthly data'!E383-'Monthly data'!E382,"")</x:f>
        <x:v>0.01699649679999915</x:v>
      </x:c>
    </x:row>
    <x:row r="384" ht="19" customHeight="1">
      <x:c r="A384" s="7" t="n">
        <x:f>'Monthly data'!A384</x:f>
        <x:v>44501</x:v>
      </x:c>
      <x:c r="B384" s="8" t="n">
        <x:f>IF(ISNUMBER('Monthly data'!F384),LN(1+'Monthly data'!F384),"")</x:f>
        <x:v>4.397161522258152</x:v>
      </x:c>
      <x:c r="C384" s="8" t="n">
        <x:f>IF(ISNUMBER('Monthly data'!G384),LN(1+'Monthly data'!G384),"")</x:f>
        <x:v>2.2824844212870428</x:v>
      </x:c>
      <x:c r="D384" s="8" t="n">
        <x:f>IF(ISNUMBER('Monthly data'!H384),LN(1+'Monthly data'!H384),"")</x:f>
        <x:v>3.5759430918381874</x:v>
      </x:c>
      <x:c r="E384" s="8" t="n">
        <x:f>IF(ISNUMBER('Monthly data'!I384),LN(1+'Monthly data'!I384),"")</x:f>
        <x:v>1.8008183137164009</x:v>
      </x:c>
      <x:c r="F384" s="8" t="n">
        <x:f>IF(ISNUMBER('Monthly data'!J384),LN(1+'Monthly data'!J384),"")</x:f>
        <x:v>2.166834096012151</x:v>
      </x:c>
      <x:c r="G384" s="8" t="n">
        <x:f>IF(ISNUMBER('Monthly data'!K384),LN(1+'Monthly data'!K384),"")</x:f>
        <x:v>1.2174910201268443</x:v>
      </x:c>
      <x:c r="H384" s="8" t="n">
        <x:f>IF(ISNUMBER('Monthly data'!L384),LN(1+'Monthly data'!L384),"")</x:f>
        <x:v>1.2349189932159497</x:v>
      </x:c>
      <x:c r="I384" s="8" t="n">
        <x:f>IF(ISNUMBER('Monthly data'!M384),LN(1+'Monthly data'!M384),"")</x:f>
        <x:v>1.2855067073071984</x:v>
      </x:c>
      <x:c r="J384" s="8" t="n">
        <x:f>IF(ISNUMBER('Monthly data'!N384),LN(1+'Monthly data'!N384),"")</x:f>
        <x:v>2.8606110463834264</x:v>
      </x:c>
      <x:c r="K384" s="8" t="n">
        <x:f>IF(COUNT('Monthly data'!F382:F384)=3,'Monthly data'!F384-2*'Monthly data'!F383+'Monthly data'!F382,"")</x:f>
        <x:v>19.679999999999993</x:v>
      </x:c>
      <x:c r="L384" s="8" t="n">
        <x:f>IF(COUNT('Monthly data'!G382:G384)=3,'Monthly data'!G384-2*'Monthly data'!G383+'Monthly data'!G382,"")</x:f>
        <x:v>13.189799999999998</x:v>
      </x:c>
      <x:c r="M384" s="8" t="n">
        <x:f>IF(COUNT('Monthly data'!H382:H384)=3,'Monthly data'!H384-2*'Monthly data'!H383+'Monthly data'!H382,"")</x:f>
        <x:v>11.922899999999998</x:v>
      </x:c>
      <x:c r="N384" s="8" t="n">
        <x:f>IF(COUNT('Monthly data'!I382:I384)=3,'Monthly data'!I384-2*'Monthly data'!I383+'Monthly data'!I382,"")</x:f>
        <x:v>-9.3782</x:v>
      </x:c>
      <x:c r="O384" s="8" t="n">
        <x:f>IF(COUNT('Monthly data'!J382:J384)=3,'Monthly data'!J384-2*'Monthly data'!J383+'Monthly data'!J382,"")</x:f>
        <x:v>4.198</x:v>
      </x:c>
      <x:c r="P384" s="8" t="n">
        <x:f>IF(COUNT('Monthly data'!K382:K384)=3,'Monthly data'!K384-2*'Monthly data'!K383+'Monthly data'!K382,"")</x:f>
        <x:v>-3.4793</x:v>
      </x:c>
      <x:c r="Q384" s="8" t="n">
        <x:f>IF(COUNT('Monthly data'!L382:L384)=3,'Monthly data'!L384-2*'Monthly data'!L383+'Monthly data'!L382,"")</x:f>
        <x:v>-0.32889999999999997</x:v>
      </x:c>
      <x:c r="R384" s="8" t="n">
        <x:f>IF(COUNT('Monthly data'!M382:M384)=3,'Monthly data'!M384-2*'Monthly data'!M383+'Monthly data'!M382,"")</x:f>
        <x:v>2.1300999999999997</x:v>
      </x:c>
      <x:c r="S384" s="8" t="n">
        <x:f>IF(COUNT('Monthly data'!N382:N384)=3,'Monthly data'!N384-2*'Monthly data'!N383+'Monthly data'!N382,"")</x:f>
        <x:v>1.4258999999999986</x:v>
      </x:c>
      <x:c r="T384" s="8" t="n">
        <x:f>IF(COUNT('Monthly data'!E383:E384)=2,'Monthly data'!E384-'Monthly data'!E383,"")</x:f>
        <x:v>0.010959817299999841</x:v>
      </x:c>
    </x:row>
    <x:row r="385" ht="19" customHeight="1">
      <x:c r="A385" s="7" t="n">
        <x:f>'Monthly data'!A385</x:f>
        <x:v>44531</x:v>
      </x:c>
      <x:c r="B385" s="8" t="n">
        <x:f>IF(ISNUMBER('Monthly data'!F385),LN(1+'Monthly data'!F385),"")</x:f>
        <x:v>4.424367475163407</x:v>
      </x:c>
      <x:c r="C385" s="8" t="n">
        <x:f>IF(ISNUMBER('Monthly data'!G385),LN(1+'Monthly data'!G385),"")</x:f>
        <x:v>2.8564472174504965</x:v>
      </x:c>
      <x:c r="D385" s="8" t="n">
        <x:f>IF(ISNUMBER('Monthly data'!H385),LN(1+'Monthly data'!H385),"")</x:f>
        <x:v>3.59133001904787</x:v>
      </x:c>
      <x:c r="E385" s="8" t="n">
        <x:f>IF(ISNUMBER('Monthly data'!I385),LN(1+'Monthly data'!I385),"")</x:f>
        <x:v>1.5588601514651292</x:v>
      </x:c>
      <x:c r="F385" s="8" t="n">
        <x:f>IF(ISNUMBER('Monthly data'!J385),LN(1+'Monthly data'!J385),"")</x:f>
        <x:v>1.6404713550142733</x:v>
      </x:c>
      <x:c r="G385" s="8" t="n">
        <x:f>IF(ISNUMBER('Monthly data'!K385),LN(1+'Monthly data'!K385),"")</x:f>
        <x:v>1.2964517071181998</x:v>
      </x:c>
      <x:c r="H385" s="8" t="n">
        <x:f>IF(ISNUMBER('Monthly data'!L385),LN(1+'Monthly data'!L385),"")</x:f>
        <x:v>1.1613679714934988</x:v>
      </x:c>
      <x:c r="I385" s="8" t="n">
        <x:f>IF(ISNUMBER('Monthly data'!M385),LN(1+'Monthly data'!M385),"")</x:f>
        <x:v>1.5466471963283865</x:v>
      </x:c>
      <x:c r="J385" s="8" t="n">
        <x:f>IF(ISNUMBER('Monthly data'!N385),LN(1+'Monthly data'!N385),"")</x:f>
        <x:v>2.7292113822702126</x:v>
      </x:c>
      <x:c r="K385" s="8" t="n">
        <x:f>IF(COUNT('Monthly data'!F383:F385)=3,'Monthly data'!F385-2*'Monthly data'!F384+'Monthly data'!F383,"")</x:f>
        <x:v>0.6599999999999966</x:v>
      </x:c>
      <x:c r="L385" s="8" t="n">
        <x:f>IF(COUNT('Monthly data'!G383:G385)=3,'Monthly data'!G385-2*'Monthly data'!G384+'Monthly data'!G383,"")</x:f>
        <x:v>5.0165999999999995</x:v>
      </x:c>
      <x:c r="M385" s="8" t="n">
        <x:f>IF(COUNT('Monthly data'!H383:H385)=3,'Monthly data'!H385-2*'Monthly data'!H384+'Monthly data'!H383,"")</x:f>
        <x:v>-4.290599999999994</x:v>
      </x:c>
      <x:c r="N385" s="8" t="n">
        <x:f>IF(COUNT('Monthly data'!I383:I385)=3,'Monthly data'!I385-2*'Monthly data'!I384+'Monthly data'!I383,"")</x:f>
        <x:v>4.682300000000001</x:v>
      </x:c>
      <x:c r="O385" s="8" t="n">
        <x:f>IF(COUNT('Monthly data'!J383:J385)=3,'Monthly data'!J385-2*'Monthly data'!J384+'Monthly data'!J383,"")</x:f>
        <x:v>-7.4268</x:v>
      </x:c>
      <x:c r="P385" s="8" t="n">
        <x:f>IF(COUNT('Monthly data'!K383:K385)=3,'Monthly data'!K385-2*'Monthly data'!K384+'Monthly data'!K383,"")</x:f>
        <x:v>2.3680000000000003</x:v>
      </x:c>
      <x:c r="Q385" s="8" t="n">
        <x:f>IF(COUNT('Monthly data'!L383:L385)=3,'Monthly data'!L385-2*'Monthly data'!L384+'Monthly data'!L383,"")</x:f>
        <x:v>-0.04349999999999987</x:v>
      </x:c>
      <x:c r="R385" s="8" t="n">
        <x:f>IF(COUNT('Monthly data'!M383:M385)=3,'Monthly data'!M385-2*'Monthly data'!M384+'Monthly data'!M383,"")</x:f>
        <x:v>0.13190000000000035</x:v>
      </x:c>
      <x:c r="S385" s="8" t="n">
        <x:f>IF(COUNT('Monthly data'!N383:N385)=3,'Monthly data'!N385-2*'Monthly data'!N384+'Monthly data'!N383,"")</x:f>
        <x:v>0.22199999999999775</x:v>
      </x:c>
      <x:c r="T385" s="8" t="n">
        <x:f>IF(COUNT('Monthly data'!E384:E385)=2,'Monthly data'!E385-'Monthly data'!E384,"")</x:f>
        <x:v>-0.005868213199999417</x:v>
      </x:c>
    </x:row>
    <x:row r="386" ht="19" customHeight="1">
      <x:c r="A386" s="7" t="n">
        <x:f>'Monthly data'!A386</x:f>
        <x:v>44562</x:v>
      </x:c>
      <x:c r="B386" s="8" t="n">
        <x:f>IF(ISNUMBER('Monthly data'!F386),LN(1+'Monthly data'!F386),"")</x:f>
        <x:v>4.612939923252452</x:v>
      </x:c>
      <x:c r="C386" s="8" t="n">
        <x:f>IF(ISNUMBER('Monthly data'!G386),LN(1+'Monthly data'!G386),"")</x:f>
        <x:v>3.349230176036902</x:v>
      </x:c>
      <x:c r="D386" s="8" t="n">
        <x:f>IF(ISNUMBER('Monthly data'!H386),LN(1+'Monthly data'!H386),"")</x:f>
        <x:v>3.6149530039456406</x:v>
      </x:c>
      <x:c r="E386" s="8" t="n">
        <x:f>IF(ISNUMBER('Monthly data'!I386),LN(1+'Monthly data'!I386),"")</x:f>
        <x:v>2.186298437202666</x:v>
      </x:c>
      <x:c r="F386" s="8" t="n">
        <x:f>IF(ISNUMBER('Monthly data'!J386),LN(1+'Monthly data'!J386),"")</x:f>
        <x:v>1.8323414349437013</x:v>
      </x:c>
      <x:c r="G386" s="8" t="n">
        <x:f>IF(ISNUMBER('Monthly data'!K386),LN(1+'Monthly data'!K386),"")</x:f>
        <x:v>0.8317780487291668</x:v>
      </x:c>
      <x:c r="H386" s="8" t="n">
        <x:f>IF(ISNUMBER('Monthly data'!L386),LN(1+'Monthly data'!L386),"")</x:f>
        <x:v>1.7227308828176189</x:v>
      </x:c>
      <x:c r="I386" s="8" t="n">
        <x:f>IF(ISNUMBER('Monthly data'!M386),LN(1+'Monthly data'!M386),"")</x:f>
        <x:v>1.175851069008912</x:v>
      </x:c>
      <x:c r="J386" s="8" t="n">
        <x:f>IF(ISNUMBER('Monthly data'!N386),LN(1+'Monthly data'!N386),"")</x:f>
        <x:v>2.763856961128835</x:v>
      </x:c>
      <x:c r="K386" s="8" t="n">
        <x:f>IF(COUNT('Monthly data'!F384:F386)=3,'Monthly data'!F386-2*'Monthly data'!F385+'Monthly data'!F384,"")</x:f>
        <x:v>15.080000000000013</x:v>
      </x:c>
      <x:c r="L386" s="8" t="n">
        <x:f>IF(COUNT('Monthly data'!G384:G386)=3,'Monthly data'!G386-2*'Monthly data'!G385+'Monthly data'!G384,"")</x:f>
        <x:v>3.4825999999999997</x:v>
      </x:c>
      <x:c r="M386" s="8" t="n">
        <x:f>IF(COUNT('Monthly data'!H384:H386)=3,'Monthly data'!H386-2*'Monthly data'!H385+'Monthly data'!H384,"")</x:f>
        <x:v>0.31329999999999814</x:v>
      </x:c>
      <x:c r="N386" s="8" t="n">
        <x:f>IF(COUNT('Monthly data'!I384:I386)=3,'Monthly data'!I386-2*'Monthly data'!I385+'Monthly data'!I384,"")</x:f>
        <x:v>5.449999999999999</x:v>
      </x:c>
      <x:c r="O386" s="8" t="n">
        <x:f>IF(COUNT('Monthly data'!J384:J386)=3,'Monthly data'!J386-2*'Monthly data'!J385+'Monthly data'!J384,"")</x:f>
        <x:v>4.663899999999999</x:v>
      </x:c>
      <x:c r="P386" s="8" t="n">
        <x:f>IF(COUNT('Monthly data'!K384:K386)=3,'Monthly data'!K386-2*'Monthly data'!K385+'Monthly data'!K384,"")</x:f>
        <x:v>-1.6365000000000003</x:v>
      </x:c>
      <x:c r="Q386" s="8" t="n">
        <x:f>IF(COUNT('Monthly data'!L384:L386)=3,'Monthly data'!L386-2*'Monthly data'!L385+'Monthly data'!L384,"")</x:f>
        <x:v>2.6492999999999998</x:v>
      </x:c>
      <x:c r="R386" s="8" t="n">
        <x:f>IF(COUNT('Monthly data'!M384:M386)=3,'Monthly data'!M386-2*'Monthly data'!M385+'Monthly data'!M384,"")</x:f>
        <x:v>-2.5340000000000003</x:v>
      </x:c>
      <x:c r="S386" s="8" t="n">
        <x:f>IF(COUNT('Monthly data'!N384:N386)=3,'Monthly data'!N386-2*'Monthly data'!N385+'Monthly data'!N384,"")</x:f>
        <x:v>2.6915000000000013</x:v>
      </x:c>
      <x:c r="T386" s="8" t="n">
        <x:f>IF(COUNT('Monthly data'!E385:E386)=2,'Monthly data'!E386-'Monthly data'!E385,"")</x:f>
        <x:v>0.0027175565000003843</x:v>
      </x:c>
    </x:row>
    <x:row r="387" ht="19" customHeight="1">
      <x:c r="A387" s="7" t="n">
        <x:f>'Monthly data'!A387</x:f>
        <x:v>44593</x:v>
      </x:c>
      <x:c r="B387" s="8" t="n">
        <x:f>IF(ISNUMBER('Monthly data'!F387),LN(1+'Monthly data'!F387),"")</x:f>
        <x:v>5.238726585134399</x:v>
      </x:c>
      <x:c r="C387" s="8" t="n">
        <x:f>IF(ISNUMBER('Monthly data'!G387),LN(1+'Monthly data'!G387),"")</x:f>
        <x:v>4.718269380678423</x:v>
      </x:c>
      <x:c r="D387" s="8" t="n">
        <x:f>IF(ISNUMBER('Monthly data'!H387),LN(1+'Monthly data'!H387),"")</x:f>
        <x:v>3.7554463853860005</x:v>
      </x:c>
      <x:c r="E387" s="8" t="n">
        <x:f>IF(ISNUMBER('Monthly data'!I387),LN(1+'Monthly data'!I387),"")</x:f>
        <x:v>1.6307883608447507</x:v>
      </x:c>
      <x:c r="F387" s="8" t="n">
        <x:f>IF(ISNUMBER('Monthly data'!J387),LN(1+'Monthly data'!J387),"")</x:f>
        <x:v>1.0435927622473364</x:v>
      </x:c>
      <x:c r="G387" s="8" t="n">
        <x:f>IF(ISNUMBER('Monthly data'!K387),LN(1+'Monthly data'!K387),"")</x:f>
        <x:v>1.6307883608447507</x:v>
      </x:c>
      <x:c r="H387" s="8" t="n">
        <x:f>IF(ISNUMBER('Monthly data'!L387),LN(1+'Monthly data'!L387),"")</x:f>
        <x:v>1.021731244332152</x:v>
      </x:c>
      <x:c r="I387" s="8" t="n">
        <x:f>IF(ISNUMBER('Monthly data'!M387),LN(1+'Monthly data'!M387),"")</x:f>
        <x:v>2.4673280475137074</x:v>
      </x:c>
      <x:c r="J387" s="8" t="n">
        <x:f>IF(ISNUMBER('Monthly data'!N387),LN(1+'Monthly data'!N387),"")</x:f>
        <x:v>2.5709620143878213</x:v>
      </x:c>
      <x:c r="K387" s="8" t="n">
        <x:f>IF(COUNT('Monthly data'!F385:F387)=3,'Monthly data'!F387-2*'Monthly data'!F386+'Monthly data'!F385,"")</x:f>
        <x:v>70.33</x:v>
      </x:c>
      <x:c r="L387" s="8" t="n">
        <x:f>IF(COUNT('Monthly data'!G385:G387)=3,'Monthly data'!G387-2*'Monthly data'!G386+'Monthly data'!G385,"")</x:f>
        <x:v>72.4123</x:v>
      </x:c>
      <x:c r="M387" s="8" t="n">
        <x:f>IF(COUNT('Monthly data'!H385:H387)=3,'Monthly data'!H387-2*'Monthly data'!H386+'Monthly data'!H385,"")</x:f>
        <x:v>4.736400000000003</x:v>
      </x:c>
      <x:c r="N387" s="8" t="n">
        <x:f>IF(COUNT('Monthly data'!I385:I387)=3,'Monthly data'!I387-2*'Monthly data'!I386+'Monthly data'!I385,"")</x:f>
        <x:v>-7.9431</x:v>
      </x:c>
      <x:c r="O387" s="8" t="n">
        <x:f>IF(COUNT('Monthly data'!J385:J387)=3,'Monthly data'!J387-2*'Monthly data'!J386+'Monthly data'!J385,"")</x:f>
        <x:v>-4.5</x:v>
      </x:c>
      <x:c r="P387" s="8" t="n">
        <x:f>IF(COUNT('Monthly data'!K385:K387)=3,'Monthly data'!K387-2*'Monthly data'!K386+'Monthly data'!K385,"")</x:f>
        <x:v>4.1693999999999996</x:v>
      </x:c>
      <x:c r="Q387" s="8" t="n">
        <x:f>IF(COUNT('Monthly data'!L385:L387)=3,'Monthly data'!L387-2*'Monthly data'!L386+'Monthly data'!L385,"")</x:f>
        <x:v>-5.2273</x:v>
      </x:c>
      <x:c r="R387" s="8" t="n">
        <x:f>IF(COUNT('Monthly data'!M385:M387)=3,'Monthly data'!M387-2*'Monthly data'!M386+'Monthly data'!M385,"")</x:f>
        <x:v>10.004800000000001</x:v>
      </x:c>
      <x:c r="S387" s="8" t="n">
        <x:f>IF(COUNT('Monthly data'!N385:N387)=3,'Monthly data'!N387-2*'Monthly data'!N386+'Monthly data'!N385,"")</x:f>
        <x:v>-3.3225999999999996</x:v>
      </x:c>
      <x:c r="T387" s="8" t="n">
        <x:f>IF(COUNT('Monthly data'!E386:E387)=2,'Monthly data'!E387-'Monthly data'!E386,"")</x:f>
        <x:v>0.01588194470000026</x:v>
      </x:c>
    </x:row>
    <x:row r="388" ht="19" customHeight="1">
      <x:c r="A388" s="7" t="n">
        <x:f>'Monthly data'!A388</x:f>
        <x:v>44621</x:v>
      </x:c>
      <x:c r="B388" s="8" t="n">
        <x:f>IF(ISNUMBER('Monthly data'!F388),LN(1+'Monthly data'!F388),"")</x:f>
        <x:v>5.768102221864501</x:v>
      </x:c>
      <x:c r="C388" s="8" t="n">
        <x:f>IF(ISNUMBER('Monthly data'!G388),LN(1+'Monthly data'!G388),"")</x:f>
        <x:v>5.467144109892246</x:v>
      </x:c>
      <x:c r="D388" s="8" t="n">
        <x:f>IF(ISNUMBER('Monthly data'!H388),LN(1+'Monthly data'!H388),"")</x:f>
        <x:v>3.0756565126719435</x:v>
      </x:c>
      <x:c r="E388" s="8" t="n">
        <x:f>IF(ISNUMBER('Monthly data'!I388),LN(1+'Monthly data'!I388),"")</x:f>
        <x:v>1.7853389014251322</x:v>
      </x:c>
      <x:c r="F388" s="8" t="n">
        <x:f>IF(ISNUMBER('Monthly data'!J388),LN(1+'Monthly data'!J388),"")</x:f>
        <x:v>1.2073172055763257</x:v>
      </x:c>
      <x:c r="G388" s="8" t="n">
        <x:f>IF(ISNUMBER('Monthly data'!K388),LN(1+'Monthly data'!K388),"")</x:f>
        <x:v>2.30220502077575</x:v>
      </x:c>
      <x:c r="H388" s="8" t="n">
        <x:f>IF(ISNUMBER('Monthly data'!L388),LN(1+'Monthly data'!L388),"")</x:f>
        <x:v>0.43515335180998915</x:v>
      </x:c>
      <x:c r="I388" s="8" t="n">
        <x:f>IF(ISNUMBER('Monthly data'!M388),LN(1+'Monthly data'!M388),"")</x:f>
        <x:v>3.4999501139256806</x:v>
      </x:c>
      <x:c r="J388" s="8" t="n">
        <x:f>IF(ISNUMBER('Monthly data'!N388),LN(1+'Monthly data'!N388),"")</x:f>
        <x:v>2.675637196163331</x:v>
      </x:c>
      <x:c r="K388" s="8" t="n">
        <x:f>IF(COUNT('Monthly data'!F386:F388)=3,'Monthly data'!F388-2*'Monthly data'!F387+'Monthly data'!F386,"")</x:f>
        <x:v>43.849999999999994</x:v>
      </x:c>
      <x:c r="L388" s="8" t="n">
        <x:f>IF(COUNT('Monthly data'!G386:G388)=3,'Monthly data'!G388-2*'Monthly data'!G387+'Monthly data'!G386,"")</x:f>
        <x:v>41.31519999999999</x:v>
      </x:c>
      <x:c r="M388" s="8" t="n">
        <x:f>IF(COUNT('Monthly data'!H386:H388)=3,'Monthly data'!H388-2*'Monthly data'!H387+'Monthly data'!H386,"")</x:f>
        <x:v>-26.6929</x:v>
      </x:c>
      <x:c r="N388" s="8" t="n">
        <x:f>IF(COUNT('Monthly data'!I386:I388)=3,'Monthly data'!I388-2*'Monthly data'!I387+'Monthly data'!I386,"")</x:f>
        <x:v>4.648</x:v>
      </x:c>
      <x:c r="O388" s="8" t="n">
        <x:f>IF(COUNT('Monthly data'!J386:J388)=3,'Monthly data'!J388-2*'Monthly data'!J387+'Monthly data'!J386,"")</x:f>
        <x:v>3.9142</x:v>
      </x:c>
      <x:c r="P388" s="8" t="n">
        <x:f>IF(COUNT('Monthly data'!K386:K388)=3,'Monthly data'!K388-2*'Monthly data'!K387+'Monthly data'!K386,"")</x:f>
        <x:v>2.0778000000000003</x:v>
      </x:c>
      <x:c r="Q388" s="8" t="n">
        <x:f>IF(COUNT('Monthly data'!L386:L388)=3,'Monthly data'!L388-2*'Monthly data'!L387+'Monthly data'!L386,"")</x:f>
        <x:v>1.589</x:v>
      </x:c>
      <x:c r="R388" s="8" t="n">
        <x:f>IF(COUNT('Monthly data'!M386:M388)=3,'Monthly data'!M388-2*'Monthly data'!M387+'Monthly data'!M386,"")</x:f>
        <x:v>12.772899999999996</x:v>
      </x:c>
      <x:c r="S388" s="8" t="n">
        <x:f>IF(COUNT('Monthly data'!N386:N388)=3,'Monthly data'!N388-2*'Monthly data'!N387+'Monthly data'!N386,"")</x:f>
        <x:v>4.2257</x:v>
      </x:c>
      <x:c r="T388" s="8" t="n">
        <x:f>IF(COUNT('Monthly data'!E387:E388)=2,'Monthly data'!E388-'Monthly data'!E387,"")</x:f>
        <x:v>-0.0008862569000012144</x:v>
      </x:c>
    </x:row>
    <x:row r="389" ht="19" customHeight="1">
      <x:c r="A389" s="7" t="n">
        <x:f>'Monthly data'!A389</x:f>
        <x:v>44652</x:v>
      </x:c>
      <x:c r="B389" s="8" t="n">
        <x:f>IF(ISNUMBER('Monthly data'!F389),LN(1+'Monthly data'!F389),"")</x:f>
        <x:v>5.360822571899434</x:v>
      </x:c>
      <x:c r="C389" s="8" t="n">
        <x:f>IF(ISNUMBER('Monthly data'!G389),LN(1+'Monthly data'!G389),"")</x:f>
        <x:v>4.975581354538717</x:v>
      </x:c>
      <x:c r="D389" s="8" t="n">
        <x:f>IF(ISNUMBER('Monthly data'!H389),LN(1+'Monthly data'!H389),"")</x:f>
        <x:v>3.07489459380022</x:v>
      </x:c>
      <x:c r="E389" s="8" t="n">
        <x:f>IF(ISNUMBER('Monthly data'!I389),LN(1+'Monthly data'!I389),"")</x:f>
        <x:v>2.3008135246931776</x:v>
      </x:c>
      <x:c r="F389" s="8" t="n">
        <x:f>IF(ISNUMBER('Monthly data'!J389),LN(1+'Monthly data'!J389),"")</x:f>
        <x:v>1.3349221162474116</x:v>
      </x:c>
      <x:c r="G389" s="8" t="n">
        <x:f>IF(ISNUMBER('Monthly data'!K389),LN(1+'Monthly data'!K389),"")</x:f>
        <x:v>1.6143259465068762</x:v>
      </x:c>
      <x:c r="H389" s="8" t="n">
        <x:f>IF(ISNUMBER('Monthly data'!L389),LN(1+'Monthly data'!L389),"")</x:f>
        <x:v>1.22124281549089</x:v>
      </x:c>
      <x:c r="I389" s="8" t="n">
        <x:f>IF(ISNUMBER('Monthly data'!M389),LN(1+'Monthly data'!M389),"")</x:f>
        <x:v>2.6723124819436985</x:v>
      </x:c>
      <x:c r="J389" s="8" t="n">
        <x:f>IF(ISNUMBER('Monthly data'!N389),LN(1+'Monthly data'!N389),"")</x:f>
        <x:v>2.818284819001264</x:v>
      </x:c>
      <x:c r="K389" s="8" t="n">
        <x:f>IF(COUNT('Monthly data'!F387:F389)=3,'Monthly data'!F389-2*'Monthly data'!F388+'Monthly data'!F387,"")</x:f>
        <x:v>-238.53000000000003</x:v>
      </x:c>
      <x:c r="L389" s="8" t="n">
        <x:f>IF(COUNT('Monthly data'!G387:G389)=3,'Monthly data'!G389-2*'Monthly data'!G388+'Monthly data'!G387,"")</x:f>
        <x:v>-216.75869999999995</x:v>
      </x:c>
      <x:c r="M389" s="8" t="n">
        <x:f>IF(COUNT('Monthly data'!H387:H389)=3,'Monthly data'!H389-2*'Monthly data'!H388+'Monthly data'!H387,"")</x:f>
        <x:v>21.0727</x:v>
      </x:c>
      <x:c r="N389" s="8" t="n">
        <x:f>IF(COUNT('Monthly data'!I387:I389)=3,'Monthly data'!I389-2*'Monthly data'!I388+'Monthly data'!I387,"")</x:f>
        <x:v>3.1670000000000007</x:v>
      </x:c>
      <x:c r="O389" s="8" t="n">
        <x:f>IF(COUNT('Monthly data'!J387:J389)=3,'Monthly data'!J389-2*'Monthly data'!J388+'Monthly data'!J387,"")</x:f>
        <x:v>-0.049900000000000055</x:v>
      </x:c>
      <x:c r="P389" s="8" t="n">
        <x:f>IF(COUNT('Monthly data'!K387:K389)=3,'Monthly data'!K389-2*'Monthly data'!K388+'Monthly data'!K387,"")</x:f>
        <x:v>-9.86</x:v>
      </x:c>
      <x:c r="Q389" s="8" t="n">
        <x:f>IF(COUNT('Monthly data'!L387:L389)=3,'Monthly data'!L389-2*'Monthly data'!L388+'Monthly data'!L387,"")</x:f>
        <x:v>3.0789999999999997</x:v>
      </x:c>
      <x:c r="R389" s="8" t="n">
        <x:f>IF(COUNT('Monthly data'!M387:M389)=3,'Monthly data'!M389-2*'Monthly data'!M388+'Monthly data'!M387,"")</x:f>
        <x:v>-39.9633</x:v>
      </x:c>
      <x:c r="S389" s="8" t="n">
        <x:f>IF(COUNT('Monthly data'!N387:N389)=3,'Monthly data'!N389-2*'Monthly data'!N388+'Monthly data'!N387,"")</x:f>
        <x:v>0.7833000000000023</x:v>
      </x:c>
      <x:c r="T389" s="8" t="n">
        <x:f>IF(COUNT('Monthly data'!E388:E389)=2,'Monthly data'!E389-'Monthly data'!E388,"")</x:f>
        <x:v>-0.00926634999999898</x:v>
      </x:c>
    </x:row>
    <x:row r="390" ht="19" customHeight="1">
      <x:c r="A390" s="7" t="n">
        <x:f>'Monthly data'!A390</x:f>
        <x:v>44682</x:v>
      </x:c>
      <x:c r="B390" s="8" t="n">
        <x:f>IF(ISNUMBER('Monthly data'!F390),LN(1+'Monthly data'!F390),"")</x:f>
        <x:v>5.039805671396036</x:v>
      </x:c>
      <x:c r="C390" s="8" t="n">
        <x:f>IF(ISNUMBER('Monthly data'!G390),LN(1+'Monthly data'!G390),"")</x:f>
        <x:v>4.471995301235657</x:v>
      </x:c>
      <x:c r="D390" s="8" t="n">
        <x:f>IF(ISNUMBER('Monthly data'!H390),LN(1+'Monthly data'!H390),"")</x:f>
        <x:v>3.1416534695925065</x:v>
      </x:c>
      <x:c r="E390" s="8" t="n">
        <x:f>IF(ISNUMBER('Monthly data'!I390),LN(1+'Monthly data'!I390),"")</x:f>
        <x:v>2.3855282058077214</x:v>
      </x:c>
      <x:c r="F390" s="8" t="n">
        <x:f>IF(ISNUMBER('Monthly data'!J390),LN(1+'Monthly data'!J390),"")</x:f>
        <x:v>0.8033907546587047</x:v>
      </x:c>
      <x:c r="G390" s="8" t="n">
        <x:f>IF(ISNUMBER('Monthly data'!K390),LN(1+'Monthly data'!K390),"")</x:f>
        <x:v>1.4517074996681227</x:v>
      </x:c>
      <x:c r="H390" s="8" t="n">
        <x:f>IF(ISNUMBER('Monthly data'!L390),LN(1+'Monthly data'!L390),"")</x:f>
        <x:v>0.3569049174927874</x:v>
      </x:c>
      <x:c r="I390" s="8" t="n">
        <x:f>IF(ISNUMBER('Monthly data'!M390),LN(1+'Monthly data'!M390),"")</x:f>
        <x:v>2.540625138544344</x:v>
      </x:c>
      <x:c r="J390" s="8" t="n">
        <x:f>IF(ISNUMBER('Monthly data'!N390),LN(1+'Monthly data'!N390),"")</x:f>
        <x:v>2.959172018242189</x:v>
      </x:c>
      <x:c r="K390" s="8" t="n">
        <x:f>IF(COUNT('Monthly data'!F388:F390)=3,'Monthly data'!F390-2*'Monthly data'!F389+'Monthly data'!F388,"")</x:f>
        <x:v>48.56999999999999</x:v>
      </x:c>
      <x:c r="L390" s="8" t="n">
        <x:f>IF(COUNT('Monthly data'!G388:G390)=3,'Monthly data'!G390-2*'Monthly data'!G389+'Monthly data'!G388,"")</x:f>
        <x:v>34.6482</x:v>
      </x:c>
      <x:c r="M390" s="8" t="n">
        <x:f>IF(COUNT('Monthly data'!H388:H390)=3,'Monthly data'!H390-2*'Monthly data'!H389+'Monthly data'!H388,"")</x:f>
        <x:v>1.5109999999999992</x:v>
      </x:c>
      <x:c r="N390" s="8" t="n">
        <x:f>IF(COUNT('Monthly data'!I388:I390)=3,'Monthly data'!I390-2*'Monthly data'!I389+'Monthly data'!I388,"")</x:f>
        <x:v>-3.1382000000000003</x:v>
      </x:c>
      <x:c r="O390" s="8" t="n">
        <x:f>IF(COUNT('Monthly data'!J388:J390)=3,'Monthly data'!J390-2*'Monthly data'!J389+'Monthly data'!J388,"")</x:f>
        <x:v>-2.0218</x:v>
      </x:c>
      <x:c r="P390" s="8" t="n">
        <x:f>IF(COUNT('Monthly data'!K388:K390)=3,'Monthly data'!K390-2*'Monthly data'!K389+'Monthly data'!K388,"")</x:f>
        <x:v>4.217600000000001</x:v>
      </x:c>
      <x:c r="Q390" s="8" t="n">
        <x:f>IF(COUNT('Monthly data'!L388:L390)=3,'Monthly data'!L390-2*'Monthly data'!L389+'Monthly data'!L388,"")</x:f>
        <x:v>-3.8087000000000004</x:v>
      </x:c>
      <x:c r="R390" s="8" t="n">
        <x:f>IF(COUNT('Monthly data'!M388:M390)=3,'Monthly data'!M390-2*'Monthly data'!M389+'Monthly data'!M388,"")</x:f>
        <x:v>16.854599999999998</x:v>
      </x:c>
      <x:c r="S390" s="8" t="n">
        <x:f>IF(COUNT('Monthly data'!N388:N390)=3,'Monthly data'!N390-2*'Monthly data'!N389+'Monthly data'!N388,"")</x:f>
        <x:v>0.3073999999999977</x:v>
      </x:c>
      <x:c r="T390" s="8" t="n">
        <x:f>IF(COUNT('Monthly data'!E389:E390)=2,'Monthly data'!E390-'Monthly data'!E389,"")</x:f>
        <x:v>-0.006644392100000118</x:v>
      </x:c>
    </x:row>
    <x:row r="391" ht="19" customHeight="1">
      <x:c r="A391" s="7" t="n">
        <x:f>'Monthly data'!A391</x:f>
        <x:v>44713</x:v>
      </x:c>
      <x:c r="B391" s="8" t="n">
        <x:f>IF(ISNUMBER('Monthly data'!F391),LN(1+'Monthly data'!F391),"")</x:f>
        <x:v>4.963962885897825</x:v>
      </x:c>
      <x:c r="C391" s="8" t="n">
        <x:f>IF(ISNUMBER('Monthly data'!G391),LN(1+'Monthly data'!G391),"")</x:f>
        <x:v>4.3582678671644315</x:v>
      </x:c>
      <x:c r="D391" s="8" t="n">
        <x:f>IF(ISNUMBER('Monthly data'!H391),LN(1+'Monthly data'!H391),"")</x:f>
        <x:v>3.1986078092956944</x:v>
      </x:c>
      <x:c r="E391" s="8" t="n">
        <x:f>IF(ISNUMBER('Monthly data'!I391),LN(1+'Monthly data'!I391),"")</x:f>
        <x:v>1.97142472339412</x:v>
      </x:c>
      <x:c r="F391" s="8" t="n">
        <x:f>IF(ISNUMBER('Monthly data'!J391),LN(1+'Monthly data'!J391),"")</x:f>
        <x:v>1.1185129503744458</x:v>
      </x:c>
      <x:c r="G391" s="8" t="n">
        <x:f>IF(ISNUMBER('Monthly data'!K391),LN(1+'Monthly data'!K391),"")</x:f>
        <x:v>1.565799455404271</x:v>
      </x:c>
      <x:c r="H391" s="8" t="n">
        <x:f>IF(ISNUMBER('Monthly data'!L391),LN(1+'Monthly data'!L391),"")</x:f>
        <x:v>0.4777857696877905</x:v>
      </x:c>
      <x:c r="I391" s="8" t="n">
        <x:f>IF(ISNUMBER('Monthly data'!M391),LN(1+'Monthly data'!M391),"")</x:f>
        <x:v>2.259186866168575</x:v>
      </x:c>
      <x:c r="J391" s="8" t="n">
        <x:f>IF(ISNUMBER('Monthly data'!N391),LN(1+'Monthly data'!N391),"")</x:f>
        <x:v>3.0598566464440147</x:v>
      </x:c>
      <x:c r="K391" s="8" t="n">
        <x:f>IF(COUNT('Monthly data'!F389:F391)=3,'Monthly data'!F391-2*'Monthly data'!F390+'Monthly data'!F389,"")</x:f>
        <x:v>47.18000000000001</x:v>
      </x:c>
      <x:c r="L391" s="8" t="n">
        <x:f>IF(COUNT('Monthly data'!G389:G391)=3,'Monthly data'!G391-2*'Monthly data'!G390+'Monthly data'!G389,"")</x:f>
        <x:v>47.892300000000006</x:v>
      </x:c>
      <x:c r="M391" s="8" t="n">
        <x:f>IF(COUNT('Monthly data'!H389:H391)=3,'Monthly data'!H391-2*'Monthly data'!H390+'Monthly data'!H389,"")</x:f>
        <x:v>-0.13819999999999766</x:v>
      </x:c>
      <x:c r="N391" s="8" t="n">
        <x:f>IF(COUNT('Monthly data'!I389:I391)=3,'Monthly data'!I391-2*'Monthly data'!I390+'Monthly data'!I389,"")</x:f>
        <x:v>-4.5664</x:v>
      </x:c>
      <x:c r="O391" s="8" t="n">
        <x:f>IF(COUNT('Monthly data'!J389:J391)=3,'Monthly data'!J391-2*'Monthly data'!J390+'Monthly data'!J389,"")</x:f>
        <x:v>2.3937999999999997</x:v>
      </x:c>
      <x:c r="P391" s="8" t="n">
        <x:f>IF(COUNT('Monthly data'!K389:K391)=3,'Monthly data'!K391-2*'Monthly data'!K390+'Monthly data'!K389,"")</x:f>
        <x:v>1.2702</x:v>
      </x:c>
      <x:c r="Q391" s="8" t="n">
        <x:f>IF(COUNT('Monthly data'!L389:L391)=3,'Monthly data'!L391-2*'Monthly data'!L390+'Monthly data'!L389,"")</x:f>
        <x:v>2.1461</x:v>
      </x:c>
      <x:c r="R391" s="8" t="n">
        <x:f>IF(COUNT('Monthly data'!M389:M391)=3,'Monthly data'!M391-2*'Monthly data'!M390+'Monthly data'!M389,"")</x:f>
        <x:v>-1.3264999999999993</x:v>
      </x:c>
      <x:c r="S391" s="8" t="n">
        <x:f>IF(COUNT('Monthly data'!N389:N391)=3,'Monthly data'!N391-2*'Monthly data'!N390+'Monthly data'!N389,"")</x:f>
        <x:v>-0.4913999999999987</x:v>
      </x:c>
      <x:c r="T391" s="8" t="n">
        <x:f>IF(COUNT('Monthly data'!E390:E391)=2,'Monthly data'!E391-'Monthly data'!E390,"")</x:f>
        <x:v>0.0030623856999998367</x:v>
      </x:c>
    </x:row>
    <x:row r="392" ht="19" customHeight="1">
      <x:c r="A392" s="7" t="n">
        <x:f>'Monthly data'!A392</x:f>
        <x:v>44743</x:v>
      </x:c>
      <x:c r="B392" s="8" t="n">
        <x:f>IF(ISNUMBER('Monthly data'!F392),LN(1+'Monthly data'!F392),"")</x:f>
        <x:v>4.979282216438234</x:v>
      </x:c>
      <x:c r="C392" s="8" t="n">
        <x:f>IF(ISNUMBER('Monthly data'!G392),LN(1+'Monthly data'!G392),"")</x:f>
        <x:v>4.157108071457711</x:v>
      </x:c>
      <x:c r="D392" s="8" t="n">
        <x:f>IF(ISNUMBER('Monthly data'!H392),LN(1+'Monthly data'!H392),"")</x:f>
        <x:v>3.7396937588042354</x:v>
      </x:c>
      <x:c r="E392" s="8" t="n">
        <x:f>IF(ISNUMBER('Monthly data'!I392),LN(1+'Monthly data'!I392),"")</x:f>
        <x:v>1.8619072291301368</x:v>
      </x:c>
      <x:c r="F392" s="8" t="n">
        <x:f>IF(ISNUMBER('Monthly data'!J392),LN(1+'Monthly data'!J392),"")</x:f>
        <x:v>1.1369351629872688</x:v>
      </x:c>
      <x:c r="G392" s="8" t="n">
        <x:f>IF(ISNUMBER('Monthly data'!K392),LN(1+'Monthly data'!K392),"")</x:f>
        <x:v>1.1184149159642893</x:v>
      </x:c>
      <x:c r="H392" s="8" t="n">
        <x:f>IF(ISNUMBER('Monthly data'!L392),LN(1+'Monthly data'!L392),"")</x:f>
        <x:v>1.0202542722161818</x:v>
      </x:c>
      <x:c r="I392" s="8" t="n">
        <x:f>IF(ISNUMBER('Monthly data'!M392),LN(1+'Monthly data'!M392),"")</x:f>
        <x:v>1.8619072291301368</x:v>
      </x:c>
      <x:c r="J392" s="8" t="n">
        <x:f>IF(ISNUMBER('Monthly data'!N392),LN(1+'Monthly data'!N392),"")</x:f>
        <x:v>3.2017418734866947</x:v>
      </x:c>
      <x:c r="K392" s="8" t="n">
        <x:f>IF(COUNT('Monthly data'!F390:F392)=3,'Monthly data'!F392-2*'Monthly data'!F391+'Monthly data'!F390,"")</x:f>
        <x:v>13.490000000000009</x:v>
      </x:c>
      <x:c r="L392" s="8" t="n">
        <x:f>IF(COUNT('Monthly data'!G390:G392)=3,'Monthly data'!G392-2*'Monthly data'!G391+'Monthly data'!G390,"")</x:f>
        <x:v>-4.825700000000012</x:v>
      </x:c>
      <x:c r="M392" s="8" t="n">
        <x:f>IF(COUNT('Monthly data'!H390:H392)=3,'Monthly data'!H392-2*'Monthly data'!H391+'Monthly data'!H390,"")</x:f>
        <x:v>16.230399999999996</x:v>
      </x:c>
      <x:c r="N392" s="8" t="n">
        <x:f>IF(COUNT('Monthly data'!I390:I392)=3,'Monthly data'!I392-2*'Monthly data'!I391+'Monthly data'!I390,"")</x:f>
        <x:v>2.939</x:v>
      </x:c>
      <x:c r="O392" s="8" t="n">
        <x:f>IF(COUNT('Monthly data'!J390:J392)=3,'Monthly data'!J392-2*'Monthly data'!J391+'Monthly data'!J390,"")</x:f>
        <x:v>-0.7702999999999995</x:v>
      </x:c>
      <x:c r="P392" s="8" t="n">
        <x:f>IF(COUNT('Monthly data'!K390:K392)=3,'Monthly data'!K392-2*'Monthly data'!K391+'Monthly data'!K390,"")</x:f>
        <x:v>-2.2426</x:v>
      </x:c>
      <x:c r="Q392" s="8" t="n">
        <x:f>IF(COUNT('Monthly data'!L390:L392)=3,'Monthly data'!L392-2*'Monthly data'!L391+'Monthly data'!L390,"")</x:f>
        <x:v>0.9778</x:v>
      </x:c>
      <x:c r="R392" s="8" t="n">
        <x:f>IF(COUNT('Monthly data'!M390:M392)=3,'Monthly data'!M392-2*'Monthly data'!M391+'Monthly data'!M390,"")</x:f>
        <x:v>-0.027000000000001023</x:v>
      </x:c>
      <x:c r="S392" s="8" t="n">
        <x:f>IF(COUNT('Monthly data'!N390:N392)=3,'Monthly data'!N392-2*'Monthly data'!N391+'Monthly data'!N390,"")</x:f>
        <x:v>1.2082999999999977</x:v>
      </x:c>
      <x:c r="T392" s="8" t="n">
        <x:f>IF(COUNT('Monthly data'!E391:E392)=2,'Monthly data'!E392-'Monthly data'!E391,"")</x:f>
        <x:v>0.011303732900000085</x:v>
      </x:c>
    </x:row>
    <x:row r="393" ht="19" customHeight="1">
      <x:c r="A393" s="7" t="n">
        <x:f>'Monthly data'!A393</x:f>
        <x:v>44774</x:v>
      </x:c>
      <x:c r="B393" s="8" t="n">
        <x:f>IF(ISNUMBER('Monthly data'!F393),LN(1+'Monthly data'!F393),"")</x:f>
        <x:v>5.094915166142843</x:v>
      </x:c>
      <x:c r="C393" s="8" t="n">
        <x:f>IF(ISNUMBER('Monthly data'!G393),LN(1+'Monthly data'!G393),"")</x:f>
        <x:v>4.307323293015211</x:v>
      </x:c>
      <x:c r="D393" s="8" t="n">
        <x:f>IF(ISNUMBER('Monthly data'!H393),LN(1+'Monthly data'!H393),"")</x:f>
        <x:v>3.598856273466296</x:v>
      </x:c>
      <x:c r="E393" s="8" t="n">
        <x:f>IF(ISNUMBER('Monthly data'!I393),LN(1+'Monthly data'!I393),"")</x:f>
        <x:v>2.7106069298839</x:v>
      </x:c>
      <x:c r="F393" s="8" t="n">
        <x:f>IF(ISNUMBER('Monthly data'!J393),LN(1+'Monthly data'!J393),"")</x:f>
        <x:v>1.5314115039957072</x:v>
      </x:c>
      <x:c r="G393" s="8" t="n">
        <x:f>IF(ISNUMBER('Monthly data'!K393),LN(1+'Monthly data'!K393),"")</x:f>
        <x:v>2.5886959317043416</x:v>
      </x:c>
      <x:c r="H393" s="8" t="n">
        <x:f>IF(ISNUMBER('Monthly data'!L393),LN(1+'Monthly data'!L393),"")</x:f>
        <x:v>0.7657933705447992</x:v>
      </x:c>
      <x:c r="I393" s="8" t="n">
        <x:f>IF(ISNUMBER('Monthly data'!M393),LN(1+'Monthly data'!M393),"")</x:f>
        <x:v>1.5314115039957072</x:v>
      </x:c>
      <x:c r="J393" s="8" t="n">
        <x:f>IF(ISNUMBER('Monthly data'!N393),LN(1+'Monthly data'!N393),"")</x:f>
        <x:v>2.9776294008561375</x:v>
      </x:c>
      <x:c r="K393" s="8" t="n">
        <x:f>IF(COUNT('Monthly data'!F391:F393)=3,'Monthly data'!F393-2*'Monthly data'!F392+'Monthly data'!F391,"")</x:f>
        <x:v>15.609999999999985</x:v>
      </x:c>
      <x:c r="L393" s="8" t="n">
        <x:f>IF(COUNT('Monthly data'!G391:G393)=3,'Monthly data'!G393-2*'Monthly data'!G392+'Monthly data'!G391,"")</x:f>
        <x:v>24.59020000000001</x:v>
      </x:c>
      <x:c r="M393" s="8" t="n">
        <x:f>IF(COUNT('Monthly data'!H391:H393)=3,'Monthly data'!H393-2*'Monthly data'!H392+'Monthly data'!H391,"")</x:f>
        <x:v>-23.115399999999998</x:v>
      </x:c>
      <x:c r="N393" s="8" t="n">
        <x:f>IF(COUNT('Monthly data'!I391:I393)=3,'Monthly data'!I393-2*'Monthly data'!I392+'Monthly data'!I391,"")</x:f>
        <x:v>9.3473</x:v>
      </x:c>
      <x:c r="O393" s="8" t="n">
        <x:f>IF(COUNT('Monthly data'!J391:J393)=3,'Monthly data'!J393-2*'Monthly data'!J392+'Monthly data'!J391,"")</x:f>
        <x:v>1.4505999999999997</x:v>
      </x:c>
      <x:c r="P393" s="8" t="n">
        <x:f>IF(COUNT('Monthly data'!K391:K393)=3,'Monthly data'!K393-2*'Monthly data'!K392+'Monthly data'!K391,"")</x:f>
        <x:v>11.9789</x:v>
      </x:c>
      <x:c r="Q393" s="8" t="n">
        <x:f>IF(COUNT('Monthly data'!L391:L393)=3,'Monthly data'!L393-2*'Monthly data'!L392+'Monthly data'!L391,"")</x:f>
        <x:v>-1.7846</x:v>
      </x:c>
      <x:c r="R393" s="8" t="n">
        <x:f>IF(COUNT('Monthly data'!M391:M393)=3,'Monthly data'!M393-2*'Monthly data'!M392+'Monthly data'!M391,"")</x:f>
        <x:v>1.3280000000000003</x:v>
      </x:c>
      <x:c r="S393" s="8" t="n">
        <x:f>IF(COUNT('Monthly data'!N391:N393)=3,'Monthly data'!N393-2*'Monthly data'!N392+'Monthly data'!N391,"")</x:f>
        <x:v>-8.184899999999995</x:v>
      </x:c>
      <x:c r="T393" s="8" t="n">
        <x:f>IF(COUNT('Monthly data'!E392:E393)=2,'Monthly data'!E393-'Monthly data'!E392,"")</x:f>
        <x:v>0.011996776300000178</x:v>
      </x:c>
    </x:row>
    <x:row r="394" ht="19" customHeight="1">
      <x:c r="A394" s="7" t="n">
        <x:f>'Monthly data'!A394</x:f>
        <x:v>44805</x:v>
      </x:c>
      <x:c r="B394" s="8" t="n">
        <x:f>IF(ISNUMBER('Monthly data'!F394),LN(1+'Monthly data'!F394),"")</x:f>
        <x:v>4.9559678927539474</x:v>
      </x:c>
      <x:c r="C394" s="8" t="n">
        <x:f>IF(ISNUMBER('Monthly data'!G394),LN(1+'Monthly data'!G394),"")</x:f>
        <x:v>4.242294629350605</x:v>
      </x:c>
      <x:c r="D394" s="8" t="n">
        <x:f>IF(ISNUMBER('Monthly data'!H394),LN(1+'Monthly data'!H394),"")</x:f>
        <x:v>3.2414158784624405</x:v>
      </x:c>
      <x:c r="E394" s="8" t="n">
        <x:f>IF(ISNUMBER('Monthly data'!I394),LN(1+'Monthly data'!I394),"")</x:f>
        <x:v>1.851772139134226</x:v>
      </x:c>
      <x:c r="F394" s="8" t="n">
        <x:f>IF(ISNUMBER('Monthly data'!J394),LN(1+'Monthly data'!J394),"")</x:f>
        <x:v>1.5505580176958114</x:v>
      </x:c>
      <x:c r="G394" s="8" t="n">
        <x:f>IF(ISNUMBER('Monthly data'!K394),LN(1+'Monthly data'!K394),"")</x:f>
        <x:v>2.316714796899853</x:v>
      </x:c>
      <x:c r="H394" s="8" t="n">
        <x:f>IF(ISNUMBER('Monthly data'!L394),LN(1+'Monthly data'!L394),"")</x:f>
        <x:v>0.814080803455574</x:v>
      </x:c>
      <x:c r="I394" s="8" t="n">
        <x:f>IF(ISNUMBER('Monthly data'!M394),LN(1+'Monthly data'!M394),"")</x:f>
        <x:v>2.1714508249692446</x:v>
      </x:c>
      <x:c r="J394" s="8" t="n">
        <x:f>IF(ISNUMBER('Monthly data'!N394),LN(1+'Monthly data'!N394),"")</x:f>
        <x:v>3.0739564055437945</x:v>
      </x:c>
      <x:c r="K394" s="8" t="n">
        <x:f>IF(COUNT('Monthly data'!F392:F394)=3,'Monthly data'!F394-2*'Monthly data'!F393+'Monthly data'!F392,"")</x:f>
        <x:v>-38.98999999999998</x:v>
      </x:c>
      <x:c r="L394" s="8" t="n">
        <x:f>IF(COUNT('Monthly data'!G392:G394)=3,'Monthly data'!G394-2*'Monthly data'!G393+'Monthly data'!G392,"")</x:f>
        <x:v>-15.029200000000003</x:v>
      </x:c>
      <x:c r="M394" s="8" t="n">
        <x:f>IF(COUNT('Monthly data'!H392:H394)=3,'Monthly data'!H394-2*'Monthly data'!H393+'Monthly data'!H392,"")</x:f>
        <x:v>-5.457799999999992</x:v>
      </x:c>
      <x:c r="N394" s="8" t="n">
        <x:f>IF(COUNT('Monthly data'!I392:I394)=3,'Monthly data'!I394-2*'Monthly data'!I393+'Monthly data'!I392,"")</x:f>
        <x:v>-17.2697</x:v>
      </x:c>
      <x:c r="O394" s="8" t="n">
        <x:f>IF(COUNT('Monthly data'!J392:J394)=3,'Monthly data'!J394-2*'Monthly data'!J393+'Monthly data'!J392,"")</x:f>
        <x:v>-1.4180999999999995</x:v>
      </x:c>
      <x:c r="P394" s="8" t="n">
        <x:f>IF(COUNT('Monthly data'!K392:K394)=3,'Monthly data'!K394-2*'Monthly data'!K393+'Monthly data'!K392,"")</x:f>
        <x:v>-13.4225</x:v>
      </x:c>
      <x:c r="Q394" s="8" t="n">
        <x:f>IF(COUNT('Monthly data'!L392:L394)=3,'Monthly data'!L394-2*'Monthly data'!L393+'Monthly data'!L392,"")</x:f>
        <x:v>0.7296</x:v>
      </x:c>
      <x:c r="R394" s="8" t="n">
        <x:f>IF(COUNT('Monthly data'!M392:M394)=3,'Monthly data'!M394-2*'Monthly data'!M393+'Monthly data'!M392,"")</x:f>
        <x:v>5.9576</x:v>
      </x:c>
      <x:c r="S394" s="8" t="n">
        <x:f>IF(COUNT('Monthly data'!N392:N394)=3,'Monthly data'!N394-2*'Monthly data'!N393+'Monthly data'!N392,"")</x:f>
        <x:v>6.920199999999998</x:v>
      </x:c>
      <x:c r="T394" s="8" t="n">
        <x:f>IF(COUNT('Monthly data'!E393:E394)=2,'Monthly data'!E394-'Monthly data'!E393,"")</x:f>
        <x:v>0.006630168299999184</x:v>
      </x:c>
    </x:row>
    <x:row r="395" ht="19" customHeight="1">
      <x:c r="A395" s="7" t="n">
        <x:f>'Monthly data'!A395</x:f>
        <x:v>44835</x:v>
      </x:c>
      <x:c r="B395" s="8" t="n">
        <x:f>IF(ISNUMBER('Monthly data'!F395),LN(1+'Monthly data'!F395),"")</x:f>
        <x:v>5.0399999027261595</x:v>
      </x:c>
      <x:c r="C395" s="8" t="n">
        <x:f>IF(ISNUMBER('Monthly data'!G395),LN(1+'Monthly data'!G395),"")</x:f>
        <x:v>4.289052973083666</x:v>
      </x:c>
      <x:c r="D395" s="8" t="n">
        <x:f>IF(ISNUMBER('Monthly data'!H395),LN(1+'Monthly data'!H395),"")</x:f>
        <x:v>3.3946224809628696</x:v>
      </x:c>
      <x:c r="E395" s="8" t="n">
        <x:f>IF(ISNUMBER('Monthly data'!I395),LN(1+'Monthly data'!I395),"")</x:f>
        <x:v>1.962430083281148</x:v>
      </x:c>
      <x:c r="F395" s="8" t="n">
        <x:f>IF(ISNUMBER('Monthly data'!J395),LN(1+'Monthly data'!J395),"")</x:f>
        <x:v>2.1666622717535793</x:v>
      </x:c>
      <x:c r="G395" s="8" t="n">
        <x:f>IF(ISNUMBER('Monthly data'!K395),LN(1+'Monthly data'!K395),"")</x:f>
        <x:v>2.2343919016776583</x:v>
      </x:c>
      <x:c r="H395" s="8" t="n">
        <x:f>IF(ISNUMBER('Monthly data'!L395),LN(1+'Monthly data'!L395),"")</x:f>
        <x:v>0.9814040877625686</x:v>
      </x:c>
      <x:c r="I395" s="8" t="n">
        <x:f>IF(ISNUMBER('Monthly data'!M395),LN(1+'Monthly data'!M395),"")</x:f>
        <x:v>1.7643197534692734</x:v>
      </x:c>
      <x:c r="J395" s="8" t="n">
        <x:f>IF(ISNUMBER('Monthly data'!N395),LN(1+'Monthly data'!N395),"")</x:f>
        <x:v>3.221951091385129</x:v>
      </x:c>
      <x:c r="K395" s="8" t="n">
        <x:f>IF(COUNT('Monthly data'!F393:F395)=3,'Monthly data'!F395-2*'Monthly data'!F394+'Monthly data'!F393,"")</x:f>
        <x:v>33.619999999999976</x:v>
      </x:c>
      <x:c r="L395" s="8" t="n">
        <x:f>IF(COUNT('Monthly data'!G393:G395)=3,'Monthly data'!G395-2*'Monthly data'!G394+'Monthly data'!G393,"")</x:f>
        <x:v>8.0043</x:v>
      </x:c>
      <x:c r="M395" s="8" t="n">
        <x:f>IF(COUNT('Monthly data'!H393:H395)=3,'Monthly data'!H395-2*'Monthly data'!H394+'Monthly data'!H393,"")</x:f>
        <x:v>15.219999999999995</x:v>
      </x:c>
      <x:c r="N395" s="8" t="n">
        <x:f>IF(COUNT('Monthly data'!I393:I395)=3,'Monthly data'!I395-2*'Monthly data'!I394+'Monthly data'!I393,"")</x:f>
        <x:v>9.412799999999999</x:v>
      </x:c>
      <x:c r="O395" s="8" t="n">
        <x:f>IF(COUNT('Monthly data'!J393:J395)=3,'Monthly data'!J395-2*'Monthly data'!J394+'Monthly data'!J393,"")</x:f>
        <x:v>3.9255999999999993</x:v>
      </x:c>
      <x:c r="P395" s="8" t="n">
        <x:f>IF(COUNT('Monthly data'!K393:K395)=3,'Monthly data'!K395-2*'Monthly data'!K394+'Monthly data'!K393,"")</x:f>
        <x:v>2.368599999999999</x:v>
      </x:c>
      <x:c r="Q395" s="8" t="n">
        <x:f>IF(COUNT('Monthly data'!L393:L395)=3,'Monthly data'!L395-2*'Monthly data'!L394+'Monthly data'!L393,"")</x:f>
        <x:v>0.30469999999999975</x:v>
      </x:c>
      <x:c r="R395" s="8" t="n">
        <x:f>IF(COUNT('Monthly data'!M393:M395)=3,'Monthly data'!M395-2*'Monthly data'!M394+'Monthly data'!M393,"")</x:f>
        <x:v>-7.0797</x:v>
      </x:c>
      <x:c r="S395" s="8" t="n">
        <x:f>IF(COUNT('Monthly data'!N393:N395)=3,'Monthly data'!N395-2*'Monthly data'!N394+'Monthly data'!N393,"")</x:f>
        <x:v>1.4635999999999996</x:v>
      </x:c>
      <x:c r="T395" s="8" t="n">
        <x:f>IF(COUNT('Monthly data'!E394:E395)=2,'Monthly data'!E395-'Monthly data'!E394,"")</x:f>
        <x:v>0.00107870919999975</x:v>
      </x:c>
    </x:row>
    <x:row r="396" ht="19" customHeight="1">
      <x:c r="A396" s="7" t="n">
        <x:f>'Monthly data'!A396</x:f>
        <x:v>44866</x:v>
      </x:c>
      <x:c r="B396" s="8" t="n">
        <x:f>IF(ISNUMBER('Monthly data'!F396),LN(1+'Monthly data'!F396),"")</x:f>
        <x:v>4.927543498229802</x:v>
      </x:c>
      <x:c r="C396" s="8" t="n">
        <x:f>IF(ISNUMBER('Monthly data'!G396),LN(1+'Monthly data'!G396),"")</x:f>
        <x:v>4.141692416921842</x:v>
      </x:c>
      <x:c r="D396" s="8" t="n">
        <x:f>IF(ISNUMBER('Monthly data'!H396),LN(1+'Monthly data'!H396),"")</x:f>
        <x:v>3.436403637396775</x:v>
      </x:c>
      <x:c r="E396" s="8" t="n">
        <x:f>IF(ISNUMBER('Monthly data'!I396),LN(1+'Monthly data'!I396),"")</x:f>
        <x:v>2.4470836260782636</x:v>
      </x:c>
      <x:c r="F396" s="8" t="n">
        <x:f>IF(ISNUMBER('Monthly data'!J396),LN(1+'Monthly data'!J396),"")</x:f>
        <x:v>1.9561150443924538</x:v>
      </x:c>
      <x:c r="G396" s="8" t="n">
        <x:f>IF(ISNUMBER('Monthly data'!K396),LN(1+'Monthly data'!K396),"")</x:f>
        <x:v>1.89829429511365</x:v>
      </x:c>
      <x:c r="H396" s="8" t="n">
        <x:f>IF(ISNUMBER('Monthly data'!L396),LN(1+'Monthly data'!L396),"")</x:f>
        <x:v>0.4850153868661735</x:v>
      </x:c>
      <x:c r="I396" s="8" t="n">
        <x:f>IF(ISNUMBER('Monthly data'!M396),LN(1+'Monthly data'!M396),"")</x:f>
        <x:v>1.2679330332848129</x:v>
      </x:c>
      <x:c r="J396" s="8" t="n">
        <x:f>IF(ISNUMBER('Monthly data'!N396),LN(1+'Monthly data'!N396),"")</x:f>
        <x:v>3.024178806968402</x:v>
      </x:c>
      <x:c r="K396" s="8" t="n">
        <x:f>IF(COUNT('Monthly data'!F394:F396)=3,'Monthly data'!F396-2*'Monthly data'!F395+'Monthly data'!F394,"")</x:f>
        <x:v>-28.879999999999995</x:v>
      </x:c>
      <x:c r="L396" s="8" t="n">
        <x:f>IF(COUNT('Monthly data'!G394:G396)=3,'Monthly data'!G396-2*'Monthly data'!G395+'Monthly data'!G394,"")</x:f>
        <x:v>-13.318300000000008</x:v>
      </x:c>
      <x:c r="M396" s="8" t="n">
        <x:f>IF(COUNT('Monthly data'!H394:H396)=3,'Monthly data'!H396-2*'Monthly data'!H395+'Monthly data'!H394,"")</x:f>
        <x:v>-2.9619</x:v>
      </x:c>
      <x:c r="N396" s="8" t="n">
        <x:f>IF(COUNT('Monthly data'!I394:I396)=3,'Monthly data'!I396-2*'Monthly data'!I395+'Monthly data'!I394,"")</x:f>
        <x:v>3.692500000000001</x:v>
      </x:c>
      <x:c r="O396" s="8" t="n">
        <x:f>IF(COUNT('Monthly data'!J394:J396)=3,'Monthly data'!J396-2*'Monthly data'!J395+'Monthly data'!J394,"")</x:f>
        <x:v>-5.6723</x:v>
      </x:c>
      <x:c r="P396" s="8" t="n">
        <x:f>IF(COUNT('Monthly data'!K394:K396)=3,'Monthly data'!K396-2*'Monthly data'!K395+'Monthly data'!K394,"")</x:f>
        <x:v>-1.864799999999999</x:v>
      </x:c>
      <x:c r="Q396" s="8" t="n">
        <x:f>IF(COUNT('Monthly data'!L394:L396)=3,'Monthly data'!L396-2*'Monthly data'!L395+'Monthly data'!L394,"")</x:f>
        <x:v>-1.4550999999999996</x:v>
      </x:c>
      <x:c r="R396" s="8" t="n">
        <x:f>IF(COUNT('Monthly data'!M394:M396)=3,'Monthly data'!M396-2*'Monthly data'!M395+'Monthly data'!M394,"")</x:f>
        <x:v>0.6492999999999993</x:v>
      </x:c>
      <x:c r="S396" s="8" t="n">
        <x:f>IF(COUNT('Monthly data'!N394:N396)=3,'Monthly data'!N396-2*'Monthly data'!N395+'Monthly data'!N394,"")</x:f>
        <x:v>-7.9496</x:v>
      </x:c>
      <x:c r="T396" s="8" t="n">
        <x:f>IF(COUNT('Monthly data'!E395:E396)=2,'Monthly data'!E396-'Monthly data'!E395,"")</x:f>
        <x:v>0.003860555500001084</x:v>
      </x:c>
    </x:row>
    <x:row r="397" ht="19" customHeight="1">
      <x:c r="A397" s="7" t="n">
        <x:f>'Monthly data'!A397</x:f>
        <x:v>44896</x:v>
      </x:c>
      <x:c r="B397" s="8" t="n">
        <x:f>IF(ISNUMBER('Monthly data'!F397),LN(1+'Monthly data'!F397),"")</x:f>
        <x:v>4.9807944520852345</x:v>
      </x:c>
      <x:c r="C397" s="8" t="n">
        <x:f>IF(ISNUMBER('Monthly data'!G397),LN(1+'Monthly data'!G397),"")</x:f>
        <x:v>4.242518847498554</x:v>
      </x:c>
      <x:c r="D397" s="8" t="n">
        <x:f>IF(ISNUMBER('Monthly data'!H397),LN(1+'Monthly data'!H397),"")</x:f>
        <x:v>3.4534671990958365</x:v>
      </x:c>
      <x:c r="E397" s="8" t="n">
        <x:f>IF(ISNUMBER('Monthly data'!I397),LN(1+'Monthly data'!I397),"")</x:f>
        <x:v>2.4071072573335885</x:v>
      </x:c>
      <x:c r="F397" s="8" t="n">
        <x:f>IF(ISNUMBER('Monthly data'!J397),LN(1+'Monthly data'!J397),"")</x:f>
        <x:v>1.8299379728028926</x:v>
      </x:c>
      <x:c r="G397" s="8" t="n">
        <x:f>IF(ISNUMBER('Monthly data'!K397),LN(1+'Monthly data'!K397),"")</x:f>
        <x:v>1.1410010551598964</x:v>
      </x:c>
      <x:c r="H397" s="8" t="n">
        <x:f>IF(ISNUMBER('Monthly data'!L397),LN(1+'Monthly data'!L397),"")</x:f>
        <x:v>1.3348168392371813</x:v>
      </x:c>
      <x:c r="I397" s="8" t="n">
        <x:f>IF(ISNUMBER('Monthly data'!M397),LN(1+'Monthly data'!M397),"")</x:f>
        <x:v>1.6829671457222157</x:v>
      </x:c>
      <x:c r="J397" s="8" t="n">
        <x:f>IF(ISNUMBER('Monthly data'!N397),LN(1+'Monthly data'!N397),"")</x:f>
        <x:v>3.0796735258634733</x:v>
      </x:c>
      <x:c r="K397" s="8" t="n">
        <x:f>IF(COUNT('Monthly data'!F395:F397)=3,'Monthly data'!F397-2*'Monthly data'!F396+'Monthly data'!F395,"")</x:f>
        <x:v>23.980000000000018</x:v>
      </x:c>
      <x:c r="L397" s="8" t="n">
        <x:f>IF(COUNT('Monthly data'!G395:G397)=3,'Monthly data'!G397-2*'Monthly data'!G396+'Monthly data'!G395,"")</x:f>
        <x:v>16.661900000000003</x:v>
      </x:c>
      <x:c r="M397" s="8" t="n">
        <x:f>IF(COUNT('Monthly data'!H395:H397)=3,'Monthly data'!H397-2*'Monthly data'!H396+'Monthly data'!H395,"")</x:f>
        <x:v>-0.7367999999999988</x:v>
      </x:c>
      <x:c r="N397" s="8" t="n">
        <x:f>IF(COUNT('Monthly data'!I395:I397)=3,'Monthly data'!I397-2*'Monthly data'!I396+'Monthly data'!I395,"")</x:f>
        <x:v>-4.8908000000000005</x:v>
      </x:c>
      <x:c r="O397" s="8" t="n">
        <x:f>IF(COUNT('Monthly data'!J395:J397)=3,'Monthly data'!J397-2*'Monthly data'!J396+'Monthly data'!J395,"")</x:f>
        <x:v>0.8190000000000008</x:v>
      </x:c>
      <x:c r="P397" s="8" t="n">
        <x:f>IF(COUNT('Monthly data'!K395:K397)=3,'Monthly data'!K397-2*'Monthly data'!K396+'Monthly data'!K395,"")</x:f>
        <x:v>-0.8783000000000012</x:v>
      </x:c>
      <x:c r="Q397" s="8" t="n">
        <x:f>IF(COUNT('Monthly data'!L395:L397)=3,'Monthly data'!L397-2*'Monthly data'!L396+'Monthly data'!L395,"")</x:f>
        <x:v>3.2191</x:v>
      </x:c>
      <x:c r="R397" s="8" t="n">
        <x:f>IF(COUNT('Monthly data'!M395:M397)=3,'Monthly data'!M397-2*'Monthly data'!M396+'Monthly data'!M395,"")</x:f>
        <x:v>4.1121</x:v>
      </x:c>
      <x:c r="S397" s="8" t="n">
        <x:f>IF(COUNT('Monthly data'!N395:N397)=3,'Monthly data'!N397-2*'Monthly data'!N396+'Monthly data'!N395,"")</x:f>
        <x:v>5.674099999999999</x:v>
      </x:c>
      <x:c r="T397" s="8" t="n">
        <x:f>IF(COUNT('Monthly data'!E396:E397)=2,'Monthly data'!E397-'Monthly data'!E396,"")</x:f>
        <x:v>-0.0074996487999996475</x:v>
      </x:c>
    </x:row>
    <x:row r="398" ht="19" customHeight="1">
      <x:c r="A398" s="7" t="n">
        <x:f>'Monthly data'!A398</x:f>
        <x:v>44927</x:v>
      </x:c>
      <x:c r="B398" s="8" t="n">
        <x:f>IF(ISNUMBER('Monthly data'!F398),LN(1+'Monthly data'!F398),"")</x:f>
        <x:v>4.795294554845067</x:v>
      </x:c>
      <x:c r="C398" s="8" t="n">
        <x:f>IF(ISNUMBER('Monthly data'!G398),LN(1+'Monthly data'!G398),"")</x:f>
        <x:v>4.129906346060457</x:v>
      </x:c>
      <x:c r="D398" s="8" t="n">
        <x:f>IF(ISNUMBER('Monthly data'!H398),LN(1+'Monthly data'!H398),"")</x:f>
        <x:v>3.1209939410660583</x:v>
      </x:c>
      <x:c r="E398" s="8" t="n">
        <x:f>IF(ISNUMBER('Monthly data'!I398),LN(1+'Monthly data'!I398),"")</x:f>
        <x:v>2.4127749286913303</x:v>
      </x:c>
      <x:c r="F398" s="8" t="n">
        <x:f>IF(ISNUMBER('Monthly data'!J398),LN(1+'Monthly data'!J398),"")</x:f>
        <x:v>1.7381476997794059</x:v>
      </x:c>
      <x:c r="G398" s="8" t="n">
        <x:f>IF(ISNUMBER('Monthly data'!K398),LN(1+'Monthly data'!K398),"")</x:f>
        <x:v>1.1793009415202862</x:v>
      </x:c>
      <x:c r="H398" s="8" t="n">
        <x:f>IF(ISNUMBER('Monthly data'!L398),LN(1+'Monthly data'!L398),"")</x:f>
        <x:v>1.0810591294205205</x:v>
      </x:c>
      <x:c r="I398" s="8" t="n">
        <x:f>IF(ISNUMBER('Monthly data'!M398),LN(1+'Monthly data'!M398),"")</x:f>
        <x:v>1.1978541233177589</x:v>
      </x:c>
      <x:c r="J398" s="8" t="n">
        <x:f>IF(ISNUMBER('Monthly data'!N398),LN(1+'Monthly data'!N398),"")</x:f>
        <x:v>2.8174605052853163</x:v>
      </x:c>
      <x:c r="K398" s="8" t="n">
        <x:f>IF(COUNT('Monthly data'!F396:F398)=3,'Monthly data'!F398-2*'Monthly data'!F397+'Monthly data'!F396,"")</x:f>
        <x:v>-32.20000000000002</x:v>
      </x:c>
      <x:c r="L398" s="8" t="n">
        <x:f>IF(COUNT('Monthly data'!G396:G398)=3,'Monthly data'!G398-2*'Monthly data'!G397+'Monthly data'!G396,"")</x:f>
        <x:v>-14.084499999999991</x:v>
      </x:c>
      <x:c r="M398" s="8" t="n">
        <x:f>IF(COUNT('Monthly data'!H396:H398)=3,'Monthly data'!H398-2*'Monthly data'!H397+'Monthly data'!H396,"")</x:f>
        <x:v>-9.4757</x:v>
      </x:c>
      <x:c r="N398" s="8" t="n">
        <x:f>IF(COUNT('Monthly data'!I396:I398)=3,'Monthly data'!I398-2*'Monthly data'!I397+'Monthly data'!I396,"")</x:f>
        <x:v>0.5158999999999985</x:v>
      </x:c>
      <x:c r="O398" s="8" t="n">
        <x:f>IF(COUNT('Monthly data'!J396:J398)=3,'Monthly data'!J398-2*'Monthly data'!J397+'Monthly data'!J396,"")</x:f>
        <x:v>0.29159999999999897</x:v>
      </x:c>
      <x:c r="P398" s="8" t="n">
        <x:f>IF(COUNT('Monthly data'!K396:K398)=3,'Monthly data'!K398-2*'Monthly data'!K397+'Monthly data'!K396,"")</x:f>
        <x:v>3.6668</x:v>
      </x:c>
      <x:c r="Q398" s="8" t="n">
        <x:f>IF(COUNT('Monthly data'!L396:L398)=3,'Monthly data'!L398-2*'Monthly data'!L397+'Monthly data'!L396,"")</x:f>
        <x:v>-3.0266</x:v>
      </x:c>
      <x:c r="R398" s="8" t="n">
        <x:f>IF(COUNT('Monthly data'!M396:M398)=3,'Monthly data'!M398-2*'Monthly data'!M397+'Monthly data'!M396,"")</x:f>
        <x:v>-3.896499999999999</x:v>
      </x:c>
      <x:c r="S398" s="8" t="n">
        <x:f>IF(COUNT('Monthly data'!N396:N398)=3,'Monthly data'!N398-2*'Monthly data'!N397+'Monthly data'!N396,"")</x:f>
        <x:v>-6.191200000000002</x:v>
      </x:c>
      <x:c r="T398" s="8" t="n">
        <x:f>IF(COUNT('Monthly data'!E397:E398)=2,'Monthly data'!E398-'Monthly data'!E397,"")</x:f>
        <x:v>0.0019961560999988137</x:v>
      </x:c>
    </x:row>
    <x:row r="399" ht="19" customHeight="1">
      <x:c r="A399" s="7" t="n">
        <x:f>'Monthly data'!A399</x:f>
        <x:v>44958</x:v>
      </x:c>
      <x:c r="B399" s="8" t="n">
        <x:f>IF(ISNUMBER('Monthly data'!F399),LN(1+'Monthly data'!F399),"")</x:f>
        <x:v>5.06487092223793</x:v>
      </x:c>
      <x:c r="C399" s="8" t="n">
        <x:f>IF(ISNUMBER('Monthly data'!G399),LN(1+'Monthly data'!G399),"")</x:f>
        <x:v>4.364490013046517</x:v>
      </x:c>
      <x:c r="D399" s="8" t="n">
        <x:f>IF(ISNUMBER('Monthly data'!H399),LN(1+'Monthly data'!H399),"")</x:f>
        <x:v>3.7097329995903454</x:v>
      </x:c>
      <x:c r="E399" s="8" t="n">
        <x:f>IF(ISNUMBER('Monthly data'!I399),LN(1+'Monthly data'!I399),"")</x:f>
        <x:v>2.0641248375679426</x:v>
      </x:c>
      <x:c r="F399" s="8" t="n">
        <x:f>IF(ISNUMBER('Monthly data'!J399),LN(1+'Monthly data'!J399),"")</x:f>
        <x:v>1.5610246772180243</x:v>
      </x:c>
      <x:c r="G399" s="8" t="n">
        <x:f>IF(ISNUMBER('Monthly data'!K399),LN(1+'Monthly data'!K399),"")</x:f>
        <x:v>1.5192943625811344</x:v>
      </x:c>
      <x:c r="H399" s="8" t="n">
        <x:f>IF(ISNUMBER('Monthly data'!L399),LN(1+'Monthly data'!L399),"")</x:f>
        <x:v>0.8033011890518376</x:v>
      </x:c>
      <x:c r="I399" s="8" t="n">
        <x:f>IF(ISNUMBER('Monthly data'!M399),LN(1+'Monthly data'!M399),"")</x:f>
        <x:v>1.6395790693460872</x:v>
      </x:c>
      <x:c r="J399" s="8" t="n">
        <x:f>IF(ISNUMBER('Monthly data'!N399),LN(1+'Monthly data'!N399),"")</x:f>
        <x:v>3.0592139864664127</x:v>
      </x:c>
      <x:c r="K399" s="8" t="n">
        <x:f>IF(COUNT('Monthly data'!F397:F399)=3,'Monthly data'!F399-2*'Monthly data'!F398+'Monthly data'!F397,"")</x:f>
        <x:v>62.07000000000002</x:v>
      </x:c>
      <x:c r="L399" s="8" t="n">
        <x:f>IF(COUNT('Monthly data'!G397:G399)=3,'Monthly data'!G399-2*'Monthly data'!G398+'Monthly data'!G397,"")</x:f>
        <x:v>23.848</x:v>
      </x:c>
      <x:c r="M399" s="8" t="n">
        <x:f>IF(COUNT('Monthly data'!H397:H399)=3,'Monthly data'!H399-2*'Monthly data'!H398+'Monthly data'!H397,"")</x:f>
        <x:v>27.1149</x:v>
      </x:c>
      <x:c r="N399" s="8" t="n">
        <x:f>IF(COUNT('Monthly data'!I397:I399)=3,'Monthly data'!I399-2*'Monthly data'!I398+'Monthly data'!I397,"")</x:f>
        <x:v>-3.349599999999999</x:v>
      </x:c>
      <x:c r="O399" s="8" t="n">
        <x:f>IF(COUNT('Monthly data'!J397:J399)=3,'Monthly data'!J399-2*'Monthly data'!J398+'Monthly data'!J397,"")</x:f>
        <x:v>-0.3763999999999994</x:v>
      </x:c>
      <x:c r="P399" s="8" t="n">
        <x:f>IF(COUNT('Monthly data'!K397:K399)=3,'Monthly data'!K399-2*'Monthly data'!K398+'Monthly data'!K397,"")</x:f>
        <x:v>1.1947</x:v>
      </x:c>
      <x:c r="Q399" s="8" t="n">
        <x:f>IF(COUNT('Monthly data'!L397:L399)=3,'Monthly data'!L399-2*'Monthly data'!L398+'Monthly data'!L397,"")</x:f>
        <x:v>0.13660000000000005</x:v>
      </x:c>
      <x:c r="R399" s="8" t="n">
        <x:f>IF(COUNT('Monthly data'!M397:M399)=3,'Monthly data'!M399-2*'Monthly data'!M398+'Monthly data'!M397,"")</x:f>
        <x:v>3.908499999999999</x:v>
      </x:c>
      <x:c r="S399" s="8" t="n">
        <x:f>IF(COUNT('Monthly data'!N397:N399)=3,'Monthly data'!N399-2*'Monthly data'!N398+'Monthly data'!N397,"")</x:f>
        <x:v>9.593500000000002</x:v>
      </x:c>
      <x:c r="T399" s="8" t="n">
        <x:f>IF(COUNT('Monthly data'!E398:E399)=2,'Monthly data'!E399-'Monthly data'!E398,"")</x:f>
        <x:v>0.007887475600000471</x:v>
      </x:c>
    </x:row>
    <x:row r="400" ht="19" customHeight="1">
      <x:c r="A400" s="7" t="n">
        <x:f>'Monthly data'!A400</x:f>
        <x:v>44986</x:v>
      </x:c>
      <x:c r="B400" s="8" t="n">
        <x:f>IF(ISNUMBER('Monthly data'!F400),LN(1+'Monthly data'!F400),"")</x:f>
        <x:v>4.89507478679297</x:v>
      </x:c>
      <x:c r="C400" s="8" t="n">
        <x:f>IF(ISNUMBER('Monthly data'!G400),LN(1+'Monthly data'!G400),"")</x:f>
        <x:v>4.034960732804299</x:v>
      </x:c>
      <x:c r="D400" s="8" t="n">
        <x:f>IF(ISNUMBER('Monthly data'!H400),LN(1+'Monthly data'!H400),"")</x:f>
        <x:v>3.78777184649027</x:v>
      </x:c>
      <x:c r="E400" s="8" t="n">
        <x:f>IF(ISNUMBER('Monthly data'!I400),LN(1+'Monthly data'!I400),"")</x:f>
        <x:v>2.077001066140476</x:v>
      </x:c>
      <x:c r="F400" s="8" t="n">
        <x:f>IF(ISNUMBER('Monthly data'!J400),LN(1+'Monthly data'!J400),"")</x:f>
        <x:v>1.332946325617966</x:v>
      </x:c>
      <x:c r="G400" s="8" t="n">
        <x:f>IF(ISNUMBER('Monthly data'!K400),LN(1+'Monthly data'!K400),"")</x:f>
        <x:v>1.6809023936424048</x:v>
      </x:c>
      <x:c r="H400" s="8" t="n">
        <x:f>IF(ISNUMBER('Monthly data'!L400),LN(1+'Monthly data'!L400),"")</x:f>
        <x:v>0.26505295439141946</x:v>
      </x:c>
      <x:c r="I400" s="8" t="n">
        <x:f>IF(ISNUMBER('Monthly data'!M400),LN(1+'Monthly data'!M400),"")</x:f>
        <x:v>1.2319770007355333</x:v>
      </x:c>
      <x:c r="J400" s="8" t="n">
        <x:f>IF(ISNUMBER('Monthly data'!N400),LN(1+'Monthly data'!N400),"")</x:f>
        <x:v>2.8935223451354095</x:v>
      </x:c>
      <x:c r="K400" s="8" t="n">
        <x:f>IF(COUNT('Monthly data'!F398:F400)=3,'Monthly data'!F400-2*'Monthly data'!F399+'Monthly data'!F398,"")</x:f>
        <x:v>-62.150000000000034</x:v>
      </x:c>
      <x:c r="L400" s="8" t="n">
        <x:f>IF(COUNT('Monthly data'!G398:G400)=3,'Monthly data'!G400-2*'Monthly data'!G399+'Monthly data'!G398,"")</x:f>
        <x:v>-38.50580000000001</x:v>
      </x:c>
      <x:c r="M400" s="8" t="n">
        <x:f>IF(COUNT('Monthly data'!H398:H400)=3,'Monthly data'!H400-2*'Monthly data'!H399+'Monthly data'!H398,"")</x:f>
        <x:v>-14.859000000000002</x:v>
      </x:c>
      <x:c r="N400" s="8" t="n">
        <x:f>IF(COUNT('Monthly data'!I398:I400)=3,'Monthly data'!I400-2*'Monthly data'!I399+'Monthly data'!I398,"")</x:f>
        <x:v>3.3885999999999994</x:v>
      </x:c>
      <x:c r="O400" s="8" t="n">
        <x:f>IF(COUNT('Monthly data'!J398:J400)=3,'Monthly data'!J400-2*'Monthly data'!J399+'Monthly data'!J398,"")</x:f>
        <x:v>-0.04840000000000089</x:v>
      </x:c>
      <x:c r="P400" s="8" t="n">
        <x:f>IF(COUNT('Monthly data'!K398:K400)=3,'Monthly data'!K400-2*'Monthly data'!K399+'Monthly data'!K398,"")</x:f>
        <x:v>-0.5154999999999998</x:v>
      </x:c>
      <x:c r="Q400" s="8" t="n">
        <x:f>IF(COUNT('Monthly data'!L398:L400)=3,'Monthly data'!L400-2*'Monthly data'!L399+'Monthly data'!L398,"")</x:f>
        <x:v>-0.21450000000000014</x:v>
      </x:c>
      <x:c r="R400" s="8" t="n">
        <x:f>IF(COUNT('Monthly data'!M398:M400)=3,'Monthly data'!M400-2*'Monthly data'!M399+'Monthly data'!M398,"")</x:f>
        <x:v>-3.564999999999999</x:v>
      </x:c>
      <x:c r="S400" s="8" t="n">
        <x:f>IF(COUNT('Monthly data'!N398:N400)=3,'Monthly data'!N400-2*'Monthly data'!N399+'Monthly data'!N398,"")</x:f>
        <x:v>-7.8305000000000025</x:v>
      </x:c>
      <x:c r="T400" s="8" t="n">
        <x:f>IF(COUNT('Monthly data'!E399:E400)=2,'Monthly data'!E400-'Monthly data'!E399,"")</x:f>
        <x:v>-0.0005083182999996438</x:v>
      </x:c>
    </x:row>
    <x:row r="401" ht="19" customHeight="1">
      <x:c r="A401" s="7" t="n">
        <x:f>'Monthly data'!A401</x:f>
        <x:v>45017</x:v>
      </x:c>
      <x:c r="B401" s="8" t="n">
        <x:f>IF(ISNUMBER('Monthly data'!F401),LN(1+'Monthly data'!F401),"")</x:f>
        <x:v>4.907346704590325</x:v>
      </x:c>
      <x:c r="C401" s="8" t="n">
        <x:f>IF(ISNUMBER('Monthly data'!G401),LN(1+'Monthly data'!G401),"")</x:f>
        <x:v>3.763574039890524</x:v>
      </x:c>
      <x:c r="D401" s="8" t="n">
        <x:f>IF(ISNUMBER('Monthly data'!H401),LN(1+'Monthly data'!H401),"")</x:f>
        <x:v>3.8037783345904566</x:v>
      </x:c>
      <x:c r="E401" s="8" t="n">
        <x:f>IF(ISNUMBER('Monthly data'!I401),LN(1+'Monthly data'!I401),"")</x:f>
        <x:v>2.0548542360444926</x:v>
      </x:c>
      <x:c r="F401" s="8" t="n">
        <x:f>IF(ISNUMBER('Monthly data'!J401),LN(1+'Monthly data'!J401),"")</x:f>
        <x:v>2.717690252800677</x:v>
      </x:c>
      <x:c r="G401" s="8" t="n">
        <x:f>IF(ISNUMBER('Monthly data'!K401),LN(1+'Monthly data'!K401),"")</x:f>
        <x:v>1.6233605412744567</x:v>
      </x:c>
      <x:c r="H401" s="8" t="n">
        <x:f>IF(ISNUMBER('Monthly data'!L401),LN(1+'Monthly data'!L401),"")</x:f>
        <x:v>0.6245470890676884</x:v>
      </x:c>
      <x:c r="I401" s="8" t="n">
        <x:f>IF(ISNUMBER('Monthly data'!M401),LN(1+'Monthly data'!M401),"")</x:f>
        <x:v>1.4822634147282825</x:v>
      </x:c>
      <x:c r="J401" s="8" t="n">
        <x:f>IF(ISNUMBER('Monthly data'!N401),LN(1+'Monthly data'!N401),"")</x:f>
        <x:v>2.9965319537245554</x:v>
      </x:c>
      <x:c r="K401" s="8" t="n">
        <x:f>IF(COUNT('Monthly data'!F399:F401)=3,'Monthly data'!F401-2*'Monthly data'!F400+'Monthly data'!F399,"")</x:f>
        <x:v>26.380000000000024</x:v>
      </x:c>
      <x:c r="L401" s="8" t="n">
        <x:f>IF(COUNT('Monthly data'!G399:G401)=3,'Monthly data'!G401-2*'Monthly data'!G400+'Monthly data'!G399,"")</x:f>
        <x:v>8.630100000000013</x:v>
      </x:c>
      <x:c r="M401" s="8" t="n">
        <x:f>IF(COUNT('Monthly data'!H399:H401)=3,'Monthly data'!H401-2*'Monthly data'!H400+'Monthly data'!H399,"")</x:f>
        <x:v>-2.602499999999999</x:v>
      </x:c>
      <x:c r="N401" s="8" t="n">
        <x:f>IF(COUNT('Monthly data'!I399:I401)=3,'Monthly data'!I401-2*'Monthly data'!I400+'Monthly data'!I399,"")</x:f>
        <x:v>-0.27690000000000037</x:v>
      </x:c>
      <x:c r="O401" s="8" t="n">
        <x:f>IF(COUNT('Monthly data'!J399:J401)=3,'Monthly data'!J401-2*'Monthly data'!J400+'Monthly data'!J399,"")</x:f>
        <x:v>12.3246</x:v>
      </x:c>
      <x:c r="P401" s="8" t="n">
        <x:f>IF(COUNT('Monthly data'!K399:K401)=3,'Monthly data'!K401-2*'Monthly data'!K400+'Monthly data'!K399,"")</x:f>
        <x:v>-1.1017000000000001</x:v>
      </x:c>
      <x:c r="Q401" s="8" t="n">
        <x:f>IF(COUNT('Monthly data'!L399:L401)=3,'Monthly data'!L401-2*'Monthly data'!L400+'Monthly data'!L399,"")</x:f>
        <x:v>1.4933</x:v>
      </x:c>
      <x:c r="R401" s="8" t="n">
        <x:f>IF(COUNT('Monthly data'!M399:M401)=3,'Monthly data'!M401-2*'Monthly data'!M400+'Monthly data'!M399,"")</x:f>
        <x:v>2.6998999999999995</x:v>
      </x:c>
      <x:c r="S401" s="8" t="n">
        <x:f>IF(COUNT('Monthly data'!N399:N401)=3,'Monthly data'!N401-2*'Monthly data'!N400+'Monthly data'!N399,"")</x:f>
        <x:v>5.2132000000000005</x:v>
      </x:c>
      <x:c r="T401" s="8" t="n">
        <x:f>IF(COUNT('Monthly data'!E400:E401)=2,'Monthly data'!E401-'Monthly data'!E400,"")</x:f>
        <x:v>-0.007096408800000731</x:v>
      </x:c>
    </x:row>
    <x:row r="402" ht="19" customHeight="1">
      <x:c r="A402" s="7" t="n">
        <x:f>'Monthly data'!A402</x:f>
        <x:v>45047</x:v>
      </x:c>
      <x:c r="B402" s="8" t="n">
        <x:f>IF(ISNUMBER('Monthly data'!F402),LN(1+'Monthly data'!F402),"")</x:f>
        <x:v>4.793722292532682</x:v>
      </x:c>
      <x:c r="C402" s="8" t="n">
        <x:f>IF(ISNUMBER('Monthly data'!G402),LN(1+'Monthly data'!G402),"")</x:f>
        <x:v>3.9728226707471026</x:v>
      </x:c>
      <x:c r="D402" s="8" t="n">
        <x:f>IF(ISNUMBER('Monthly data'!H402),LN(1+'Monthly data'!H402),"")</x:f>
        <x:v>3.373630893444349</x:v>
      </x:c>
      <x:c r="E402" s="8" t="n">
        <x:f>IF(ISNUMBER('Monthly data'!I402),LN(1+'Monthly data'!I402),"")</x:f>
        <x:v>1.860212194862497</x:v>
      </x:c>
      <x:c r="F402" s="8" t="n">
        <x:f>IF(ISNUMBER('Monthly data'!J402),LN(1+'Monthly data'!J402),"")</x:f>
        <x:v>2.4497629476524194</x:v>
      </x:c>
      <x:c r="G402" s="8" t="n">
        <x:f>IF(ISNUMBER('Monthly data'!K402),LN(1+'Monthly data'!K402),"")</x:f>
        <x:v>1.2184081121221917</x:v>
      </x:c>
      <x:c r="H402" s="8" t="n">
        <x:f>IF(ISNUMBER('Monthly data'!L402),LN(1+'Monthly data'!L402),"")</x:f>
        <x:v>0.42481011437194066</x:v>
      </x:c>
      <x:c r="I402" s="8" t="n">
        <x:f>IF(ISNUMBER('Monthly data'!M402),LN(1+'Monthly data'!M402),"")</x:f>
        <x:v>1.1154694057345327</x:v>
      </x:c>
      <x:c r="J402" s="8" t="n">
        <x:f>IF(ISNUMBER('Monthly data'!N402),LN(1+'Monthly data'!N402),"")</x:f>
        <x:v>2.968294270826495</x:v>
      </x:c>
      <x:c r="K402" s="8" t="n">
        <x:f>IF(COUNT('Monthly data'!F400:F402)=3,'Monthly data'!F402-2*'Monthly data'!F401+'Monthly data'!F400,"")</x:f>
        <x:v>-16.180000000000007</x:v>
      </x:c>
      <x:c r="L402" s="8" t="n">
        <x:f>IF(COUNT('Monthly data'!G400:G402)=3,'Monthly data'!G402-2*'Monthly data'!G401+'Monthly data'!G400,"")</x:f>
        <x:v>23.470599999999997</x:v>
      </x:c>
      <x:c r="M402" s="8" t="n">
        <x:f>IF(COUNT('Monthly data'!H400:H402)=3,'Monthly data'!H402-2*'Monthly data'!H401+'Monthly data'!H400,"")</x:f>
        <x:v>-16.398599999999995</x:v>
      </x:c>
      <x:c r="N402" s="8" t="n">
        <x:f>IF(COUNT('Monthly data'!I400:I402)=3,'Monthly data'!I402-2*'Monthly data'!I401+'Monthly data'!I400,"")</x:f>
        <x:v>-1.205799999999999</x:v>
      </x:c>
      <x:c r="O402" s="8" t="n">
        <x:f>IF(COUNT('Monthly data'!J400:J402)=3,'Monthly data'!J402-2*'Monthly data'!J401+'Monthly data'!J400,"")</x:f>
        <x:v>-14.912800000000002</x:v>
      </x:c>
      <x:c r="P402" s="8" t="n">
        <x:f>IF(COUNT('Monthly data'!K400:K402)=3,'Monthly data'!K402-2*'Monthly data'!K401+'Monthly data'!K400,"")</x:f>
        <x:v>-1.388</x:v>
      </x:c>
      <x:c r="Q402" s="8" t="n">
        <x:f>IF(COUNT('Monthly data'!L400:L402)=3,'Monthly data'!L402-2*'Monthly data'!L401+'Monthly data'!L400,"")</x:f>
        <x:v>-0.9019999999999998</x:v>
      </x:c>
      <x:c r="R402" s="8" t="n">
        <x:f>IF(COUNT('Monthly data'!M400:M402)=3,'Monthly data'!M402-2*'Monthly data'!M401+'Monthly data'!M400,"")</x:f>
        <x:v>-2.3267999999999995</x:v>
      </x:c>
      <x:c r="S402" s="8" t="n">
        <x:f>IF(COUNT('Monthly data'!N400:N402)=3,'Monthly data'!N402-2*'Monthly data'!N401+'Monthly data'!N400,"")</x:f>
        <x:v>-2.516499999999997</x:v>
      </x:c>
      <x:c r="T402" s="8" t="n">
        <x:f>IF(COUNT('Monthly data'!E401:E402)=2,'Monthly data'!E402-'Monthly data'!E401,"")</x:f>
        <x:v>-0.00940112560000017</x:v>
      </x:c>
    </x:row>
    <x:row r="403" ht="19" customHeight="1">
      <x:c r="A403" s="7" t="n">
        <x:f>'Monthly data'!A403</x:f>
        <x:v>45078</x:v>
      </x:c>
      <x:c r="B403" s="8" t="n">
        <x:f>IF(ISNUMBER('Monthly data'!F403),LN(1+'Monthly data'!F403),"")</x:f>
        <x:v>4.825028346310772</x:v>
      </x:c>
      <x:c r="C403" s="8" t="n">
        <x:f>IF(ISNUMBER('Monthly data'!G403),LN(1+'Monthly data'!G403),"")</x:f>
        <x:v>3.848993744783758</x:v>
      </x:c>
      <x:c r="D403" s="8" t="n">
        <x:f>IF(ISNUMBER('Monthly data'!H403),LN(1+'Monthly data'!H403),"")</x:f>
        <x:v>3.5996137197873996</x:v>
      </x:c>
      <x:c r="E403" s="8" t="n">
        <x:f>IF(ISNUMBER('Monthly data'!I403),LN(1+'Monthly data'!I403),"")</x:f>
        <x:v>1.8958191391528332</x:v>
      </x:c>
      <x:c r="F403" s="8" t="n">
        <x:f>IF(ISNUMBER('Monthly data'!J403),LN(1+'Monthly data'!J403),"")</x:f>
        <x:v>2.1869048449293644</x:v>
      </x:c>
      <x:c r="G403" s="8" t="n">
        <x:f>IF(ISNUMBER('Monthly data'!K403),LN(1+'Monthly data'!K403),"")</x:f>
        <x:v>1.3336580600392807</x:v>
      </x:c>
      <x:c r="H403" s="8" t="n">
        <x:f>IF(ISNUMBER('Monthly data'!L403),LN(1+'Monthly data'!L403),"")</x:f>
        <x:v>2.224450563589811</x:v>
      </x:c>
      <x:c r="I403" s="8" t="n">
        <x:f>IF(ISNUMBER('Monthly data'!M403),LN(1+'Monthly data'!M403),"")</x:f>
        <x:v>0.916170724673579</x:v>
      </x:c>
      <x:c r="J403" s="8" t="n">
        <x:f>IF(ISNUMBER('Monthly data'!N403),LN(1+'Monthly data'!N403),"")</x:f>
        <x:v>2.830356325486178</x:v>
      </x:c>
      <x:c r="K403" s="8" t="n">
        <x:f>IF(COUNT('Monthly data'!F401:F403)=3,'Monthly data'!F403-2*'Monthly data'!F402+'Monthly data'!F401,"")</x:f>
        <x:v>18.370000000000005</x:v>
      </x:c>
      <x:c r="L403" s="8" t="n">
        <x:f>IF(COUNT('Monthly data'!G401:G403)=3,'Monthly data'!G403-2*'Monthly data'!G402+'Monthly data'!G401,"")</x:f>
        <x:v>-16.220600000000005</x:v>
      </x:c>
      <x:c r="M403" s="8" t="n">
        <x:f>IF(COUNT('Monthly data'!H401:H403)=3,'Monthly data'!H403-2*'Monthly data'!H402+'Monthly data'!H401,"")</x:f>
        <x:v>23.085899999999995</x:v>
      </x:c>
      <x:c r="N403" s="8" t="n">
        <x:f>IF(COUNT('Monthly data'!I401:I403)=3,'Monthly data'!I403-2*'Monthly data'!I402+'Monthly data'!I401,"")</x:f>
        <x:v>1.613500000000001</x:v>
      </x:c>
      <x:c r="O403" s="8" t="n">
        <x:f>IF(COUNT('Monthly data'!J401:J403)=3,'Monthly data'!J403-2*'Monthly data'!J402+'Monthly data'!J401,"")</x:f>
        <x:v>0.8817000000000021</x:v>
      </x:c>
      <x:c r="P403" s="8" t="n">
        <x:f>IF(COUNT('Monthly data'!K401:K403)=3,'Monthly data'!K403-2*'Monthly data'!K402+'Monthly data'!K401,"")</x:f>
        <x:v>2.1014</x:v>
      </x:c>
      <x:c r="Q403" s="8" t="n">
        <x:f>IF(COUNT('Monthly data'!L401:L403)=3,'Monthly data'!L403-2*'Monthly data'!L402+'Monthly data'!L401,"")</x:f>
        <x:v>8.0572</x:v>
      </x:c>
      <x:c r="R403" s="8" t="n">
        <x:f>IF(COUNT('Monthly data'!M401:M403)=3,'Monthly data'!M403-2*'Monthly data'!M402+'Monthly data'!M401,"")</x:f>
        <x:v>0.8005999999999993</x:v>
      </x:c>
      <x:c r="S403" s="8" t="n">
        <x:f>IF(COUNT('Monthly data'!N401:N403)=3,'Monthly data'!N403-2*'Monthly data'!N402+'Monthly data'!N401,"")</x:f>
        <x:v>-1.949900000000003</x:v>
      </x:c>
      <x:c r="T403" s="8" t="n">
        <x:f>IF(COUNT('Monthly data'!E402:E403)=2,'Monthly data'!E403-'Monthly data'!E402,"")</x:f>
        <x:v>0.007275838600000029</x:v>
      </x:c>
    </x:row>
    <x:row r="404" ht="19" customHeight="1">
      <x:c r="A404" s="7" t="n">
        <x:f>'Monthly data'!A404</x:f>
        <x:v>45108</x:v>
      </x:c>
      <x:c r="B404" s="8" t="n">
        <x:f>IF(ISNUMBER('Monthly data'!F404),LN(1+'Monthly data'!F404),"")</x:f>
        <x:v>4.831827556602097</x:v>
      </x:c>
      <x:c r="C404" s="8" t="n">
        <x:f>IF(ISNUMBER('Monthly data'!G404),LN(1+'Monthly data'!G404),"")</x:f>
        <x:v>3.938197446397609</x:v>
      </x:c>
      <x:c r="D404" s="8" t="n">
        <x:f>IF(ISNUMBER('Monthly data'!H404),LN(1+'Monthly data'!H404),"")</x:f>
        <x:v>3.7239038751358082</x:v>
      </x:c>
      <x:c r="E404" s="8" t="n">
        <x:f>IF(ISNUMBER('Monthly data'!I404),LN(1+'Monthly data'!I404),"")</x:f>
        <x:v>1.5355329965861284</x:v>
      </x:c>
      <x:c r="F404" s="8" t="n">
        <x:f>IF(ISNUMBER('Monthly data'!J404),LN(1+'Monthly data'!J404),"")</x:f>
        <x:v>1.593064598316155</x:v>
      </x:c>
      <x:c r="G404" s="8" t="n">
        <x:f>IF(ISNUMBER('Monthly data'!K404),LN(1+'Monthly data'!K404),"")</x:f>
        <x:v>1.265199597741832</x:v>
      </x:c>
      <x:c r="H404" s="8" t="n">
        <x:f>IF(ISNUMBER('Monthly data'!L404),LN(1+'Monthly data'!L404),"")</x:f>
        <x:v>1.8395809103685552</x:v>
      </x:c>
      <x:c r="I404" s="8" t="n">
        <x:f>IF(ISNUMBER('Monthly data'!M404),LN(1+'Monthly data'!M404),"")</x:f>
        <x:v>1.0732944806838198</x:v>
      </x:c>
      <x:c r="J404" s="8" t="n">
        <x:f>IF(ISNUMBER('Monthly data'!N404),LN(1+'Monthly data'!N404),"")</x:f>
        <x:v>2.8543299865488994</x:v>
      </x:c>
      <x:c r="K404" s="8" t="n">
        <x:f>IF(COUNT('Monthly data'!F402:F404)=3,'Monthly data'!F404-2*'Monthly data'!F403+'Monthly data'!F402,"")</x:f>
        <x:v>-2.990000000000009</x:v>
      </x:c>
      <x:c r="L404" s="8" t="n">
        <x:f>IF(COUNT('Monthly data'!G402:G404)=3,'Monthly data'!G404-2*'Monthly data'!G403+'Monthly data'!G402,"")</x:f>
        <x:v>10.568700000000007</x:v>
      </x:c>
      <x:c r="M404" s="8" t="n">
        <x:f>IF(COUNT('Monthly data'!H402:H404)=3,'Monthly data'!H404-2*'Monthly data'!H403+'Monthly data'!H402,"")</x:f>
        <x:v>-2.558099999999996</x:v>
      </x:c>
      <x:c r="N404" s="8" t="n">
        <x:f>IF(COUNT('Monthly data'!I402:I404)=3,'Monthly data'!I404-2*'Monthly data'!I403+'Monthly data'!I402,"")</x:f>
        <x:v>-2.2471000000000005</x:v>
      </x:c>
      <x:c r="O404" s="8" t="n">
        <x:f>IF(COUNT('Monthly data'!J402:J404)=3,'Monthly data'!J404-2*'Monthly data'!J403+'Monthly data'!J402,"")</x:f>
        <x:v>-1.3108000000000004</x:v>
      </x:c>
      <x:c r="P404" s="8" t="n">
        <x:f>IF(COUNT('Monthly data'!K402:K404)=3,'Monthly data'!K404-2*'Monthly data'!K403+'Monthly data'!K402,"")</x:f>
        <x:v>-0.6642000000000001</x:v>
      </x:c>
      <x:c r="Q404" s="8" t="n">
        <x:f>IF(COUNT('Monthly data'!L402:L404)=3,'Monthly data'!L404-2*'Monthly data'!L403+'Monthly data'!L402,"")</x:f>
        <x:v>-10.6736</x:v>
      </x:c>
      <x:c r="R404" s="8" t="n">
        <x:f>IF(COUNT('Monthly data'!M402:M404)=3,'Monthly data'!M404-2*'Monthly data'!M403+'Monthly data'!M402,"")</x:f>
        <x:v>0.9766000000000001</x:v>
      </x:c>
      <x:c r="S404" s="8" t="n">
        <x:f>IF(COUNT('Monthly data'!N402:N404)=3,'Monthly data'!N404-2*'Monthly data'!N403+'Monthly data'!N402,"")</x:f>
        <x:v>2.9185000000000016</x:v>
      </x:c>
      <x:c r="T404" s="8" t="n">
        <x:f>IF(COUNT('Monthly data'!E403:E404)=2,'Monthly data'!E404-'Monthly data'!E403,"")</x:f>
        <x:v>-0.008943333099999506</x:v>
      </x:c>
    </x:row>
    <x:row r="405" ht="19" customHeight="1">
      <x:c r="A405" s="7" t="n">
        <x:f>'Monthly data'!A405</x:f>
        <x:v>45139</x:v>
      </x:c>
      <x:c r="B405" s="8" t="n">
        <x:f>IF(ISNUMBER('Monthly data'!F405),LN(1+'Monthly data'!F405),"")</x:f>
        <x:v>4.734354644368917</x:v>
      </x:c>
      <x:c r="C405" s="8" t="n">
        <x:f>IF(ISNUMBER('Monthly data'!G405),LN(1+'Monthly data'!G405),"")</x:f>
        <x:v>3.7722872627097734</x:v>
      </x:c>
      <x:c r="D405" s="8" t="n">
        <x:f>IF(ISNUMBER('Monthly data'!H405),LN(1+'Monthly data'!H405),"")</x:f>
        <x:v>3.2887190014099894</x:v>
      </x:c>
      <x:c r="E405" s="8" t="n">
        <x:f>IF(ISNUMBER('Monthly data'!I405),LN(1+'Monthly data'!I405),"")</x:f>
        <x:v>2.0936895549450374</x:v>
      </x:c>
      <x:c r="F405" s="8" t="n">
        <x:f>IF(ISNUMBER('Monthly data'!J405),LN(1+'Monthly data'!J405),"")</x:f>
        <x:v>1.2948915376465466</x:v>
      </x:c>
      <x:c r="G405" s="8" t="n">
        <x:f>IF(ISNUMBER('Monthly data'!K405),LN(1+'Monthly data'!K405),"")</x:f>
        <x:v>1.0093438209099275</x:v>
      </x:c>
      <x:c r="H405" s="8" t="n">
        <x:f>IF(ISNUMBER('Monthly data'!L405),LN(1+'Monthly data'!L405),"")</x:f>
        <x:v>2.1601916913649446</x:v>
      </x:c>
      <x:c r="I405" s="8" t="n">
        <x:f>IF(ISNUMBER('Monthly data'!M405),LN(1+'Monthly data'!M405),"")</x:f>
        <x:v>1.5167522854758682</x:v>
      </x:c>
      <x:c r="J405" s="8" t="n">
        <x:f>IF(ISNUMBER('Monthly data'!N405),LN(1+'Monthly data'!N405),"")</x:f>
        <x:v>3.1251276245385404</x:v>
      </x:c>
      <x:c r="K405" s="8" t="n">
        <x:f>IF(COUNT('Monthly data'!F403:F405)=3,'Monthly data'!F405-2*'Monthly data'!F404+'Monthly data'!F403,"")</x:f>
        <x:v>-12.499999999999972</x:v>
      </x:c>
      <x:c r="L405" s="8" t="n">
        <x:f>IF(COUNT('Monthly data'!G403:G405)=3,'Monthly data'!G405-2*'Monthly data'!G404+'Monthly data'!G403,"")</x:f>
        <x:v>-12.226800000000004</x:v>
      </x:c>
      <x:c r="M405" s="8" t="n">
        <x:f>IF(COUNT('Monthly data'!H403:H405)=3,'Monthly data'!H405-2*'Monthly data'!H404+'Monthly data'!H403,"")</x:f>
        <x:v>-19.45900000000001</x:v>
      </x:c>
      <x:c r="N405" s="8" t="n">
        <x:f>IF(COUNT('Monthly data'!I403:I405)=3,'Monthly data'!I405-2*'Monthly data'!I404+'Monthly data'!I403,"")</x:f>
        <x:v>5.4852</x:v>
      </x:c>
      <x:c r="O405" s="8" t="n">
        <x:f>IF(COUNT('Monthly data'!J403:J405)=3,'Monthly data'!J405-2*'Monthly data'!J404+'Monthly data'!J403,"")</x:f>
        <x:v>2.7206</x:v>
      </x:c>
      <x:c r="P405" s="8" t="n">
        <x:f>IF(COUNT('Monthly data'!K403:K405)=3,'Monthly data'!K405-2*'Monthly data'!K404+'Monthly data'!K403,"")</x:f>
        <x:v>-0.5488999999999997</x:v>
      </x:c>
      <x:c r="Q405" s="8" t="n">
        <x:f>IF(COUNT('Monthly data'!L403:L405)=3,'Monthly data'!L405-2*'Monthly data'!L404+'Monthly data'!L403,"")</x:f>
        <x:v>5.3334</x:v>
      </x:c>
      <x:c r="R405" s="8" t="n">
        <x:f>IF(COUNT('Monthly data'!M403:M405)=3,'Monthly data'!M405-2*'Monthly data'!M404+'Monthly data'!M403,"")</x:f>
        <x:v>1.2070999999999998</x:v>
      </x:c>
      <x:c r="S405" s="8" t="n">
        <x:f>IF(COUNT('Monthly data'!N403:N405)=3,'Monthly data'!N405-2*'Monthly data'!N404+'Monthly data'!N403,"")</x:f>
        <x:v>4.988699999999998</x:v>
      </x:c>
      <x:c r="T405" s="8" t="n">
        <x:f>IF(COUNT('Monthly data'!E404:E405)=2,'Monthly data'!E405-'Monthly data'!E404,"")</x:f>
        <x:v>-0.005534694799999684</x:v>
      </x:c>
    </x:row>
    <x:row r="406" ht="19" customHeight="1">
      <x:c r="A406" s="7" t="n">
        <x:f>'Monthly data'!A406</x:f>
        <x:v>45170</x:v>
      </x:c>
      <x:c r="B406" s="8" t="n">
        <x:f>IF(ISNUMBER('Monthly data'!F406),LN(1+'Monthly data'!F406),"")</x:f>
        <x:v>4.7736463359599925</x:v>
      </x:c>
      <x:c r="C406" s="8" t="n">
        <x:f>IF(ISNUMBER('Monthly data'!G406),LN(1+'Monthly data'!G406),"")</x:f>
        <x:v>3.819738842612822</x:v>
      </x:c>
      <x:c r="D406" s="8" t="n">
        <x:f>IF(ISNUMBER('Monthly data'!H406),LN(1+'Monthly data'!H406),"")</x:f>
        <x:v>3.7657478983705133</x:v>
      </x:c>
      <x:c r="E406" s="8" t="n">
        <x:f>IF(ISNUMBER('Monthly data'!I406),LN(1+'Monthly data'!I406),"")</x:f>
        <x:v>1.1702195175205445</x:v>
      </x:c>
      <x:c r="F406" s="8" t="n">
        <x:f>IF(ISNUMBER('Monthly data'!J406),LN(1+'Monthly data'!J406),"")</x:f>
        <x:v>1.4823996792633771</x:v>
      </x:c>
      <x:c r="G406" s="8" t="n">
        <x:f>IF(ISNUMBER('Monthly data'!K406),LN(1+'Monthly data'!K406),"")</x:f>
        <x:v>0.6792510753678339</x:v>
      </x:c>
      <x:c r="H406" s="8" t="n">
        <x:f>IF(ISNUMBER('Monthly data'!L406),LN(1+'Monthly data'!L406),"")</x:f>
        <x:v>1.1702195175205445</x:v>
      </x:c>
      <x:c r="I406" s="8" t="n">
        <x:f>IF(ISNUMBER('Monthly data'!M406),LN(1+'Monthly data'!M406),"")</x:f>
        <x:v>1.0066797316018357</x:v>
      </x:c>
      <x:c r="J406" s="8" t="n">
        <x:f>IF(ISNUMBER('Monthly data'!N406),LN(1+'Monthly data'!N406),"")</x:f>
        <x:v>3.044712895775613</x:v>
      </x:c>
      <x:c r="K406" s="8" t="n">
        <x:f>IF(COUNT('Monthly data'!F404:F406)=3,'Monthly data'!F406-2*'Monthly data'!F405+'Monthly data'!F404,"")</x:f>
        <x:v>16.20999999999998</x:v>
      </x:c>
      <x:c r="L406" s="8" t="n">
        <x:f>IF(COUNT('Monthly data'!G404:G406)=3,'Monthly data'!G406-2*'Monthly data'!G405+'Monthly data'!G404,"")</x:f>
        <x:v>9.959500000000006</x:v>
      </x:c>
      <x:c r="M406" s="8" t="n">
        <x:f>IF(COUNT('Monthly data'!H404:H406)=3,'Monthly data'!H406-2*'Monthly data'!H405+'Monthly data'!H404,"")</x:f>
        <x:v>31.004800000000003</x:v>
      </x:c>
      <x:c r="N406" s="8" t="n">
        <x:f>IF(COUNT('Monthly data'!I404:I406)=3,'Monthly data'!I406-2*'Monthly data'!I405+'Monthly data'!I404,"")</x:f>
        <x:v>-8.3631</x:v>
      </x:c>
      <x:c r="O406" s="8" t="n">
        <x:f>IF(COUNT('Monthly data'!J404:J406)=3,'Monthly data'!J406-2*'Monthly data'!J405+'Monthly data'!J404,"")</x:f>
        <x:v>2.0211000000000006</x:v>
      </x:c>
      <x:c r="P406" s="8" t="n">
        <x:f>IF(COUNT('Monthly data'!K404:K406)=3,'Monthly data'!K406-2*'Monthly data'!K405+'Monthly data'!K404,"")</x:f>
        <x:v>0.02859999999999996</x:v>
      </x:c>
      <x:c r="Q406" s="8" t="n">
        <x:f>IF(COUNT('Monthly data'!L404:L406)=3,'Monthly data'!L406-2*'Monthly data'!L405+'Monthly data'!L404,"")</x:f>
        <x:v>-7.829</x:v>
      </x:c>
      <x:c r="R406" s="8" t="n">
        <x:f>IF(COUNT('Monthly data'!M404:M406)=3,'Monthly data'!M406-2*'Monthly data'!M405+'Monthly data'!M404,"")</x:f>
        <x:v>-3.4532999999999996</x:v>
      </x:c>
      <x:c r="S406" s="8" t="n">
        <x:f>IF(COUNT('Monthly data'!N404:N406)=3,'Monthly data'!N406-2*'Monthly data'!N405+'Monthly data'!N404,"")</x:f>
        <x:v>-7.158799999999996</x:v>
      </x:c>
      <x:c r="T406" s="8" t="n">
        <x:f>IF(COUNT('Monthly data'!E405:E406)=2,'Monthly data'!E406-'Monthly data'!E405,"")</x:f>
        <x:v>0.01183662239999883</x:v>
      </x:c>
    </x:row>
    <x:row r="407" ht="19" customHeight="1">
      <x:c r="A407" s="7" t="n">
        <x:f>'Monthly data'!A407</x:f>
        <x:v>45200</x:v>
      </x:c>
      <x:c r="B407" s="8" t="n">
        <x:f>IF(ISNUMBER('Monthly data'!F407),LN(1+'Monthly data'!F407),"")</x:f>
        <x:v>5.493843030825574</x:v>
      </x:c>
      <x:c r="C407" s="8" t="n">
        <x:f>IF(ISNUMBER('Monthly data'!G407),LN(1+'Monthly data'!G407),"")</x:f>
        <x:v>5.175858729784647</x:v>
      </x:c>
      <x:c r="D407" s="8" t="n">
        <x:f>IF(ISNUMBER('Monthly data'!H407),LN(1+'Monthly data'!H407),"")</x:f>
        <x:v>3.3485347290788496</x:v>
      </x:c>
      <x:c r="E407" s="8" t="n">
        <x:f>IF(ISNUMBER('Monthly data'!I407),LN(1+'Monthly data'!I407),"")</x:f>
        <x:v>2.884454284132127</x:v>
      </x:c>
      <x:c r="F407" s="8" t="n">
        <x:f>IF(ISNUMBER('Monthly data'!J407),LN(1+'Monthly data'!J407),"")</x:f>
        <x:v>0.47970640470712084</x:v>
      </x:c>
      <x:c r="G407" s="8" t="n">
        <x:f>IF(ISNUMBER('Monthly data'!K407),LN(1+'Monthly data'!K407),"")</x:f>
        <x:v>0.8904804949743379</x:v>
      </x:c>
      <x:c r="H407" s="8" t="n">
        <x:f>IF(ISNUMBER('Monthly data'!L407),LN(1+'Monthly data'!L407),"")</x:f>
        <x:v>0.7060140462667689</x:v>
      </x:c>
      <x:c r="I407" s="8" t="n">
        <x:f>IF(ISNUMBER('Monthly data'!M407),LN(1+'Monthly data'!M407),"")</x:f>
        <x:v>1.6028160361252135</x:v>
      </x:c>
      <x:c r="J407" s="8" t="n">
        <x:f>IF(ISNUMBER('Monthly data'!N407),LN(1+'Monthly data'!N407),"")</x:f>
        <x:v>2.762658328687864</x:v>
      </x:c>
      <x:c r="K407" s="8" t="n">
        <x:f>IF(COUNT('Monthly data'!F405:F407)=3,'Monthly data'!F407-2*'Monthly data'!F406+'Monthly data'!F405,"")</x:f>
        <x:v>120.28000000000002</x:v>
      </x:c>
      <x:c r="L407" s="8" t="n">
        <x:f>IF(COUNT('Monthly data'!G405:G407)=3,'Monthly data'!G407-2*'Monthly data'!G406+'Monthly data'!G405,"")</x:f>
        <x:v>129.24329999999998</x:v>
      </x:c>
      <x:c r="M407" s="8" t="n">
        <x:f>IF(COUNT('Monthly data'!H405:H407)=3,'Monthly data'!H407-2*'Monthly data'!H406+'Monthly data'!H405,"")</x:f>
        <x:v>-31.1225</x:v>
      </x:c>
      <x:c r="N407" s="8" t="n">
        <x:f>IF(COUNT('Monthly data'!I405:I407)=3,'Monthly data'!I407-2*'Monthly data'!I406+'Monthly data'!I405,"")</x:f>
        <x:v>19.5632</x:v>
      </x:c>
      <x:c r="O407" s="8" t="n">
        <x:f>IF(COUNT('Monthly data'!J405:J407)=3,'Monthly data'!J407-2*'Monthly data'!J406+'Monthly data'!J405,"")</x:f>
        <x:v>-3.540800000000001</x:v>
      </x:c>
      <x:c r="P407" s="8" t="n">
        <x:f>IF(COUNT('Monthly data'!K405:K407)=3,'Monthly data'!K407-2*'Monthly data'!K406+'Monthly data'!K405,"")</x:f>
        <x:v>1.2352999999999998</x:v>
      </x:c>
      <x:c r="Q407" s="8" t="n">
        <x:f>IF(COUNT('Monthly data'!L405:L407)=3,'Monthly data'!L407-2*'Monthly data'!L406+'Monthly data'!L405,"")</x:f>
        <x:v>4.253299999999999</x:v>
      </x:c>
      <x:c r="R407" s="8" t="n">
        <x:f>IF(COUNT('Monthly data'!M405:M407)=3,'Monthly data'!M407-2*'Monthly data'!M406+'Monthly data'!M405,"")</x:f>
        <x:v>4.0514</x:v>
      </x:c>
      <x:c r="S407" s="8" t="n">
        <x:f>IF(COUNT('Monthly data'!N405:N407)=3,'Monthly data'!N407-2*'Monthly data'!N406+'Monthly data'!N405,"")</x:f>
        <x:v>-3.4033000000000015</x:v>
      </x:c>
      <x:c r="T407" s="8" t="n">
        <x:f>IF(COUNT('Monthly data'!E406:E407)=2,'Monthly data'!E407-'Monthly data'!E406,"")</x:f>
        <x:v>0.0043214887000004865</x:v>
      </x:c>
    </x:row>
    <x:row r="408" ht="19" customHeight="1">
      <x:c r="A408" s="7" t="n">
        <x:f>'Monthly data'!A408</x:f>
        <x:v>45231</x:v>
      </x:c>
      <x:c r="B408" s="8" t="n">
        <x:f>IF(ISNUMBER('Monthly data'!F408),LN(1+'Monthly data'!F408),"")</x:f>
        <x:v>5.271459912378154</x:v>
      </x:c>
      <x:c r="C408" s="8" t="n">
        <x:f>IF(ISNUMBER('Monthly data'!G408),LN(1+'Monthly data'!G408),"")</x:f>
        <x:v>4.914701319772578</x:v>
      </x:c>
      <x:c r="D408" s="8" t="n">
        <x:f>IF(ISNUMBER('Monthly data'!H408),LN(1+'Monthly data'!H408),"")</x:f>
        <x:v>3.436239504860993</x:v>
      </x:c>
      <x:c r="E408" s="8" t="n">
        <x:f>IF(ISNUMBER('Monthly data'!I408),LN(1+'Monthly data'!I408),"")</x:f>
        <x:v>2.2756865491253446</x:v>
      </x:c>
      <x:c r="F408" s="8" t="n">
        <x:f>IF(ISNUMBER('Monthly data'!J408),LN(1+'Monthly data'!J408),"")</x:f>
        <x:v>1.0513459628670199</x:v>
      </x:c>
      <x:c r="G408" s="8" t="n">
        <x:f>IF(ISNUMBER('Monthly data'!K408),LN(1+'Monthly data'!K408),"")</x:f>
        <x:v>0.6942965198164668</x:v>
      </x:c>
      <x:c r="H408" s="8" t="n">
        <x:f>IF(ISNUMBER('Monthly data'!L408),LN(1+'Monthly data'!L408),"")</x:f>
        <x:v>0.6200924996540345</x:v>
      </x:c>
      <x:c r="I408" s="8" t="n">
        <x:f>IF(ISNUMBER('Monthly data'!M408),LN(1+'Monthly data'!M408),"")</x:f>
        <x:v>0.6578826314596339</x:v>
      </x:c>
      <x:c r="J408" s="8" t="n">
        <x:f>IF(ISNUMBER('Monthly data'!N408),LN(1+'Monthly data'!N408),"")</x:f>
        <x:v>2.770292337565623</x:v>
      </x:c>
      <x:c r="K408" s="8" t="n">
        <x:f>IF(COUNT('Monthly data'!F406:F408)=3,'Monthly data'!F408-2*'Monthly data'!F407+'Monthly data'!F406,"")</x:f>
        <x:v>-173.33</x:v>
      </x:c>
      <x:c r="L408" s="8" t="n">
        <x:f>IF(COUNT('Monthly data'!G406:G408)=3,'Monthly data'!G408-2*'Monthly data'!G407+'Monthly data'!G406,"")</x:f>
        <x:v>-172.02609999999999</x:v>
      </x:c>
      <x:c r="M408" s="8" t="n">
        <x:f>IF(COUNT('Monthly data'!H406:H408)=3,'Monthly data'!H408-2*'Monthly data'!H407+'Monthly data'!H406,"")</x:f>
        <x:v>17.3439</x:v>
      </x:c>
      <x:c r="N408" s="8" t="n">
        <x:f>IF(COUNT('Monthly data'!I406:I408)=3,'Monthly data'!I408-2*'Monthly data'!I407+'Monthly data'!I406,"")</x:f>
        <x:v>-22.830299999999998</x:v>
      </x:c>
      <x:c r="O408" s="8" t="n">
        <x:f>IF(COUNT('Monthly data'!J406:J408)=3,'Monthly data'!J408-2*'Monthly data'!J407+'Monthly data'!J406,"")</x:f>
        <x:v>4.0338</x:v>
      </x:c>
      <x:c r="P408" s="8" t="n">
        <x:f>IF(COUNT('Monthly data'!K406:K408)=3,'Monthly data'!K408-2*'Monthly data'!K407+'Monthly data'!K406,"")</x:f>
        <x:v>-0.8978999999999998</x:v>
      </x:c>
      <x:c r="Q408" s="8" t="n">
        <x:f>IF(COUNT('Monthly data'!L406:L408)=3,'Monthly data'!L408-2*'Monthly data'!L407+'Monthly data'!L406,"")</x:f>
        <x:v>1.03</x:v>
      </x:c>
      <x:c r="R408" s="8" t="n">
        <x:f>IF(COUNT('Monthly data'!M406:M408)=3,'Monthly data'!M408-2*'Monthly data'!M407+'Monthly data'!M406,"")</x:f>
        <x:v>-5.2668</x:v>
      </x:c>
      <x:c r="S408" s="8" t="n">
        <x:f>IF(COUNT('Monthly data'!N406:N408)=3,'Monthly data'!N408-2*'Monthly data'!N407+'Monthly data'!N406,"")</x:f>
        <x:v>5.2835</x:v>
      </x:c>
      <x:c r="T408" s="8" t="n">
        <x:f>IF(COUNT('Monthly data'!E407:E408)=2,'Monthly data'!E408-'Monthly data'!E407,"")</x:f>
        <x:v>0.009885713200000978</x:v>
      </x:c>
    </x:row>
    <x:row r="409" ht="19" customHeight="1">
      <x:c r="A409" s="7" t="n">
        <x:f>'Monthly data'!A409</x:f>
        <x:v>45261</x:v>
      </x:c>
      <x:c r="B409" s="8" t="n">
        <x:f>IF(ISNUMBER('Monthly data'!F409),LN(1+'Monthly data'!F409),"")</x:f>
        <x:v>5.163985653752745</x:v>
      </x:c>
      <x:c r="C409" s="8" t="n">
        <x:f>IF(ISNUMBER('Monthly data'!G409),LN(1+'Monthly data'!G409),"")</x:f>
        <x:v>4.659103293002294</x:v>
      </x:c>
      <x:c r="D409" s="8" t="n">
        <x:f>IF(ISNUMBER('Monthly data'!H409),LN(1+'Monthly data'!H409),"")</x:f>
        <x:v>3.6278494376361885</x:v>
      </x:c>
      <x:c r="E409" s="8" t="n">
        <x:f>IF(ISNUMBER('Monthly data'!I409),LN(1+'Monthly data'!I409),"")</x:f>
        <x:v>2.144491650684016</x:v>
      </x:c>
      <x:c r="F409" s="8" t="n">
        <x:f>IF(ISNUMBER('Monthly data'!J409),LN(1+'Monthly data'!J409),"")</x:f>
        <x:v>1.1128110080679225</x:v>
      </x:c>
      <x:c r="G409" s="8" t="n">
        <x:f>IF(ISNUMBER('Monthly data'!K409),LN(1+'Monthly data'!K409),"")</x:f>
        <x:v>0.8791702117707139</x:v>
      </x:c>
      <x:c r="H409" s="8" t="n">
        <x:f>IF(ISNUMBER('Monthly data'!L409),LN(1+'Monthly data'!L409),"")</x:f>
        <x:v>0.4910309964378111</x:v>
      </x:c>
      <x:c r="I409" s="8" t="n">
        <x:f>IF(ISNUMBER('Monthly data'!M409),LN(1+'Monthly data'!M409),"")</x:f>
        <x:v>1.584017535087189</x:v>
      </x:c>
      <x:c r="J409" s="8" t="n">
        <x:f>IF(ISNUMBER('Monthly data'!N409),LN(1+'Monthly data'!N409),"")</x:f>
        <x:v>2.9008060200405352</x:v>
      </x:c>
      <x:c r="K409" s="8" t="n">
        <x:f>IF(COUNT('Monthly data'!F407:F409)=3,'Monthly data'!F409-2*'Monthly data'!F408+'Monthly data'!F407,"")</x:f>
        <x:v>28.650000000000034</x:v>
      </x:c>
      <x:c r="L409" s="8" t="n">
        <x:f>IF(COUNT('Monthly data'!G407:G409)=3,'Monthly data'!G409-2*'Monthly data'!G408+'Monthly data'!G407,"")</x:f>
        <x:v>9.932699999999983</x:v>
      </x:c>
      <x:c r="M409" s="8" t="n">
        <x:f>IF(COUNT('Monthly data'!H407:H409)=3,'Monthly data'!H409-2*'Monthly data'!H408+'Monthly data'!H407,"")</x:f>
        <x:v>3.952999999999996</x:v>
      </x:c>
      <x:c r="N409" s="8" t="n">
        <x:f>IF(COUNT('Monthly data'!I407:I409)=3,'Monthly data'!I409-2*'Monthly data'!I408+'Monthly data'!I407,"")</x:f>
        <x:v>6.962299999999999</x:v>
      </x:c>
      <x:c r="O409" s="8" t="n">
        <x:f>IF(COUNT('Monthly data'!J407:J409)=3,'Monthly data'!J409-2*'Monthly data'!J408+'Monthly data'!J407,"")</x:f>
        <x:v>-1.0644999999999998</x:v>
      </x:c>
      <x:c r="P409" s="8" t="n">
        <x:f>IF(COUNT('Monthly data'!K407:K409)=3,'Monthly data'!K409-2*'Monthly data'!K408+'Monthly data'!K407,"")</x:f>
        <x:v>0.8406</x:v>
      </x:c>
      <x:c r="Q409" s="8" t="n">
        <x:f>IF(COUNT('Monthly data'!L407:L409)=3,'Monthly data'!L409-2*'Monthly data'!L408+'Monthly data'!L407,"")</x:f>
        <x:v>-0.05830000000000002</x:v>
      </x:c>
      <x:c r="R409" s="8" t="n">
        <x:f>IF(COUNT('Monthly data'!M407:M409)=3,'Monthly data'!M409-2*'Monthly data'!M408+'Monthly data'!M407,"")</x:f>
        <x:v>5.9801</x:v>
      </x:c>
      <x:c r="S409" s="8" t="n">
        <x:f>IF(COUNT('Monthly data'!N407:N409)=3,'Monthly data'!N409-2*'Monthly data'!N408+'Monthly data'!N407,"")</x:f>
        <x:v>2.1041000000000007</x:v>
      </x:c>
      <x:c r="T409" s="8" t="n">
        <x:f>IF(COUNT('Monthly data'!E408:E409)=2,'Monthly data'!E409-'Monthly data'!E408,"")</x:f>
        <x:v>0.0036853444999991325</x:v>
      </x:c>
    </x:row>
    <x:row r="410" ht="19" customHeight="1">
      <x:c r="A410" s="7" t="n">
        <x:f>'Monthly data'!A410</x:f>
        <x:v>45292</x:v>
      </x:c>
      <x:c r="B410" s="8" t="n">
        <x:f>IF(ISNUMBER('Monthly data'!F410),LN(1+'Monthly data'!F410),"")</x:f>
        <x:v>5.093382034882496</x:v>
      </x:c>
      <x:c r="C410" s="8" t="n">
        <x:f>IF(ISNUMBER('Monthly data'!G410),LN(1+'Monthly data'!G410),"")</x:f>
        <x:v>4.597386975232964</x:v>
      </x:c>
      <x:c r="D410" s="8" t="n">
        <x:f>IF(ISNUMBER('Monthly data'!H410),LN(1+'Monthly data'!H410),"")</x:f>
        <x:v>3.571842702418392</x:v>
      </x:c>
      <x:c r="E410" s="8" t="n">
        <x:f>IF(ISNUMBER('Monthly data'!I410),LN(1+'Monthly data'!I410),"")</x:f>
        <x:v>2.303464706021053</x:v>
      </x:c>
      <x:c r="F410" s="8" t="n">
        <x:f>IF(ISNUMBER('Monthly data'!J410),LN(1+'Monthly data'!J410),"")</x:f>
        <x:v>1.179331690409485</x:v>
      </x:c>
      <x:c r="G410" s="8" t="n">
        <x:f>IF(ISNUMBER('Monthly data'!K410),LN(1+'Monthly data'!K410),"")</x:f>
        <x:v>0.7712187159801007</x:v>
      </x:c>
      <x:c r="H410" s="8" t="n">
        <x:f>IF(ISNUMBER('Monthly data'!L410),LN(1+'Monthly data'!L410),"")</x:f>
        <x:v>0.5873421216629688</x:v>
      </x:c>
      <x:c r="I410" s="8" t="n">
        <x:f>IF(ISNUMBER('Monthly data'!M410),LN(1+'Monthly data'!M410),"")</x:f>
        <x:v>1.1099477983318553</x:v>
      </x:c>
      <x:c r="J410" s="8" t="n">
        <x:f>IF(ISNUMBER('Monthly data'!N410),LN(1+'Monthly data'!N410),"")</x:f>
        <x:v>2.6997760646499644</x:v>
      </x:c>
      <x:c r="K410" s="8" t="n">
        <x:f>IF(COUNT('Monthly data'!F408:F410)=3,'Monthly data'!F410-2*'Monthly data'!F409+'Monthly data'!F408,"")</x:f>
        <x:v>7.919999999999959</x:v>
      </x:c>
      <x:c r="L410" s="8" t="n">
        <x:f>IF(COUNT('Monthly data'!G408:G410)=3,'Monthly data'!G410-2*'Monthly data'!G409+'Monthly data'!G408,"")</x:f>
        <x:v>24.42050000000002</x:v>
      </x:c>
      <x:c r="M410" s="8" t="n">
        <x:f>IF(COUNT('Monthly data'!H408:H410)=3,'Monthly data'!H410-2*'Monthly data'!H409+'Monthly data'!H408,"")</x:f>
        <x:v>-8.6116</x:v>
      </x:c>
      <x:c r="N410" s="8" t="n">
        <x:f>IF(COUNT('Monthly data'!I408:I410)=3,'Monthly data'!I410-2*'Monthly data'!I409+'Monthly data'!I408,"")</x:f>
        <x:v>2.668000000000001</x:v>
      </x:c>
      <x:c r="O410" s="8" t="n">
        <x:f>IF(COUNT('Monthly data'!J408:J410)=3,'Monthly data'!J410-2*'Monthly data'!J409+'Monthly data'!J408,"")</x:f>
        <x:v>0.027900000000000258</x:v>
      </x:c>
      <x:c r="P410" s="8" t="n">
        <x:f>IF(COUNT('Monthly data'!K408:K410)=3,'Monthly data'!K410-2*'Monthly data'!K409+'Monthly data'!K408,"")</x:f>
        <x:v>-0.6531</x:v>
      </x:c>
      <x:c r="Q410" s="8" t="n">
        <x:f>IF(COUNT('Monthly data'!L408:L410)=3,'Monthly data'!L410-2*'Monthly data'!L409+'Monthly data'!L408,"")</x:f>
        <x:v>0.3903</x:v>
      </x:c>
      <x:c r="R410" s="8" t="n">
        <x:f>IF(COUNT('Monthly data'!M408:M410)=3,'Monthly data'!M410-2*'Monthly data'!M409+'Monthly data'!M408,"")</x:f>
        <x:v>-4.7841000000000005</x:v>
      </x:c>
      <x:c r="S410" s="8" t="n">
        <x:f>IF(COUNT('Monthly data'!N408:N410)=3,'Monthly data'!N410-2*'Monthly data'!N409+'Monthly data'!N408,"")</x:f>
        <x:v>-5.5379000000000005</x:v>
      </x:c>
      <x:c r="T410" s="8" t="n">
        <x:f>IF(COUNT('Monthly data'!E409:E410)=2,'Monthly data'!E410-'Monthly data'!E409,"")</x:f>
        <x:v>-0.017203045800000538</x:v>
      </x:c>
    </x:row>
    <x:row r="411" ht="19" customHeight="1">
      <x:c r="A411" s="7" t="n">
        <x:f>'Monthly data'!A411</x:f>
        <x:v>45323</x:v>
      </x:c>
      <x:c r="B411" s="8" t="n">
        <x:f>IF(ISNUMBER('Monthly data'!F411),LN(1+'Monthly data'!F411),"")</x:f>
        <x:v>5.16775299652692</x:v>
      </x:c>
      <x:c r="C411" s="8" t="n">
        <x:f>IF(ISNUMBER('Monthly data'!G411),LN(1+'Monthly data'!G411),"")</x:f>
        <x:v>4.564561710337727</x:v>
      </x:c>
      <x:c r="D411" s="8" t="n">
        <x:f>IF(ISNUMBER('Monthly data'!H411),LN(1+'Monthly data'!H411),"")</x:f>
        <x:v>3.813395328811504</x:v>
      </x:c>
      <x:c r="E411" s="8" t="n">
        <x:f>IF(ISNUMBER('Monthly data'!I411),LN(1+'Monthly data'!I411),"")</x:f>
        <x:v>1.453742707107856</x:v>
      </x:c>
      <x:c r="F411" s="8" t="n">
        <x:f>IF(ISNUMBER('Monthly data'!J411),LN(1+'Monthly data'!J411),"")</x:f>
        <x:v>1.2035126984934794</x:v>
      </x:c>
      <x:c r="G411" s="8" t="n">
        <x:f>IF(ISNUMBER('Monthly data'!K411),LN(1+'Monthly data'!K411),"")</x:f>
        <x:v>1.5035661550033552</x:v>
      </x:c>
      <x:c r="H411" s="8" t="n">
        <x:f>IF(ISNUMBER('Monthly data'!L411),LN(1+'Monthly data'!L411),"")</x:f>
        <x:v>0.31064147658669145</x:v>
      </x:c>
      <x:c r="I411" s="8" t="n">
        <x:f>IF(ISNUMBER('Monthly data'!M411),LN(1+'Monthly data'!M411),"")</x:f>
        <x:v>1.9318546893933342</x:v>
      </x:c>
      <x:c r="J411" s="8" t="n">
        <x:f>IF(ISNUMBER('Monthly data'!N411),LN(1+'Monthly data'!N411),"")</x:f>
        <x:v>3.0359236692886187</x:v>
      </x:c>
      <x:c r="K411" s="8" t="n">
        <x:f>IF(COUNT('Monthly data'!F409:F411)=3,'Monthly data'!F411-2*'Monthly data'!F410+'Monthly data'!F409,"")</x:f>
        <x:v>24.50000000000003</x:v>
      </x:c>
      <x:c r="L411" s="8" t="n">
        <x:f>IF(COUNT('Monthly data'!G409:G411)=3,'Monthly data'!G411-2*'Monthly data'!G410+'Monthly data'!G409,"")</x:f>
        <x:v>3.112499999999997</x:v>
      </x:c>
      <x:c r="M411" s="8" t="n">
        <x:f>IF(COUNT('Monthly data'!H409:H411)=3,'Monthly data'!H411-2*'Monthly data'!H410+'Monthly data'!H409,"")</x:f>
        <x:v>11.771600000000007</x:v>
      </x:c>
      <x:c r="N411" s="8" t="n">
        <x:f>IF(COUNT('Monthly data'!I409:I411)=3,'Monthly data'!I411-2*'Monthly data'!I410+'Monthly data'!I409,"")</x:f>
        <x:v>-7.200800000000002</x:v>
      </x:c>
      <x:c r="O411" s="8" t="n">
        <x:f>IF(COUNT('Monthly data'!J409:J411)=3,'Monthly data'!J411-2*'Monthly data'!J410+'Monthly data'!J409,"")</x:f>
        <x:v>-0.1297000000000006</x:v>
      </x:c>
      <x:c r="P411" s="8" t="n">
        <x:f>IF(COUNT('Monthly data'!K409:K411)=3,'Monthly data'!K411-2*'Monthly data'!K410+'Monthly data'!K409,"")</x:f>
        <x:v>2.5818</x:v>
      </x:c>
      <x:c r="Q411" s="8" t="n">
        <x:f>IF(COUNT('Monthly data'!L409:L411)=3,'Monthly data'!L411-2*'Monthly data'!L410+'Monthly data'!L409,"")</x:f>
        <x:v>-0.6001</x:v>
      </x:c>
      <x:c r="R411" s="8" t="n">
        <x:f>IF(COUNT('Monthly data'!M409:M411)=3,'Monthly data'!M411-2*'Monthly data'!M410+'Monthly data'!M409,"")</x:f>
        <x:v>5.708400000000001</x:v>
      </x:c>
      <x:c r="S411" s="8" t="n">
        <x:f>IF(COUNT('Monthly data'!N409:N411)=3,'Monthly data'!N411-2*'Monthly data'!N410+'Monthly data'!N409,"")</x:f>
        <x:v>9.2562</x:v>
      </x:c>
      <x:c r="T411" s="8" t="n">
        <x:f>IF(COUNT('Monthly data'!E410:E411)=2,'Monthly data'!E411-'Monthly data'!E410,"")</x:f>
        <x:v>0.008443365500001576</x:v>
      </x:c>
    </x:row>
    <x:row r="412" ht="19" customHeight="1">
      <x:c r="A412" s="7" t="n">
        <x:f>'Monthly data'!A412</x:f>
        <x:v>45352</x:v>
      </x:c>
      <x:c r="B412" s="8" t="n">
        <x:f>IF(ISNUMBER('Monthly data'!F412),LN(1+'Monthly data'!F412),"")</x:f>
        <x:v>4.965707660741121</x:v>
      </x:c>
      <x:c r="C412" s="8" t="n">
        <x:f>IF(ISNUMBER('Monthly data'!G412),LN(1+'Monthly data'!G412),"")</x:f>
        <x:v>4.222614638362637</x:v>
      </x:c>
      <x:c r="D412" s="8" t="n">
        <x:f>IF(ISNUMBER('Monthly data'!H412),LN(1+'Monthly data'!H412),"")</x:f>
        <x:v>3.611150318068424</x:v>
      </x:c>
      <x:c r="E412" s="8" t="n">
        <x:f>IF(ISNUMBER('Monthly data'!I412),LN(1+'Monthly data'!I412),"")</x:f>
        <x:v>2.3808785793639524</x:v>
      </x:c>
      <x:c r="F412" s="8" t="n">
        <x:f>IF(ISNUMBER('Monthly data'!J412),LN(1+'Monthly data'!J412),"")</x:f>
        <x:v>1.5666139152431722</x:v>
      </x:c>
      <x:c r="G412" s="8" t="n">
        <x:f>IF(ISNUMBER('Monthly data'!K412),LN(1+'Monthly data'!K412),"")</x:f>
        <x:v>1.5232916157000784</x:v>
      </x:c>
      <x:c r="H412" s="8" t="n">
        <x:f>IF(ISNUMBER('Monthly data'!L412),LN(1+'Monthly data'!L412),"")</x:f>
        <x:v>0.8559885580657731</x:v>
      </x:c>
      <x:c r="I412" s="8" t="n">
        <x:f>IF(ISNUMBER('Monthly data'!M412),LN(1+'Monthly data'!M412),"")</x:f>
        <x:v>1.5084234943529542</x:v>
      </x:c>
      <x:c r="J412" s="8" t="n">
        <x:f>IF(ISNUMBER('Monthly data'!N412),LN(1+'Monthly data'!N412),"")</x:f>
        <x:v>2.8972590967445315</x:v>
      </x:c>
      <x:c r="K412" s="8" t="n">
        <x:f>IF(COUNT('Monthly data'!F410:F412)=3,'Monthly data'!F412-2*'Monthly data'!F411+'Monthly data'!F410,"")</x:f>
        <x:v>-44.690000000000026</x:v>
      </x:c>
      <x:c r="L412" s="8" t="n">
        <x:f>IF(COUNT('Monthly data'!G410:G412)=3,'Monthly data'!G412-2*'Monthly data'!G411+'Monthly data'!G410,"")</x:f>
        <x:v>-24.604699999999994</x:v>
      </x:c>
      <x:c r="M412" s="8" t="n">
        <x:f>IF(COUNT('Monthly data'!H410:H412)=3,'Monthly data'!H412-2*'Monthly data'!H411+'Monthly data'!H410,"")</x:f>
        <x:v>-18.017300000000006</x:v>
      </x:c>
      <x:c r="N412" s="8" t="n">
        <x:f>IF(COUNT('Monthly data'!I410:I412)=3,'Monthly data'!I412-2*'Monthly data'!I411+'Monthly data'!I410,"")</x:f>
        <x:v>12.265</x:v>
      </x:c>
      <x:c r="O412" s="8" t="n">
        <x:f>IF(COUNT('Monthly data'!J410:J412)=3,'Monthly data'!J412-2*'Monthly data'!J411+'Monthly data'!J410,"")</x:f>
        <x:v>1.3790000000000004</x:v>
      </x:c>
      <x:c r="P412" s="8" t="n">
        <x:f>IF(COUNT('Monthly data'!K410:K412)=3,'Monthly data'!K412-2*'Monthly data'!K411+'Monthly data'!K410,"")</x:f>
        <x:v>-2.2457000000000003</x:v>
      </x:c>
      <x:c r="Q412" s="8" t="n">
        <x:f>IF(COUNT('Monthly data'!L410:L412)=3,'Monthly data'!L412-2*'Monthly data'!L411+'Monthly data'!L410,"")</x:f>
        <x:v>1.4243</x:v>
      </x:c>
      <x:c r="R412" s="8" t="n">
        <x:f>IF(COUNT('Monthly data'!M410:M412)=3,'Monthly data'!M412-2*'Monthly data'!M411+'Monthly data'!M410,"")</x:f>
        <x:v>-6.2508</x:v>
      </x:c>
      <x:c r="S412" s="8" t="n">
        <x:f>IF(COUNT('Monthly data'!N410:N412)=3,'Monthly data'!N412-2*'Monthly data'!N411+'Monthly data'!N410,"")</x:f>
        <x:v>-8.639599999999998</x:v>
      </x:c>
      <x:c r="T412" s="8" t="n">
        <x:f>IF(COUNT('Monthly data'!E411:E412)=2,'Monthly data'!E412-'Monthly data'!E411,"")</x:f>
        <x:v>0.004967933099999655</x:v>
      </x:c>
    </x:row>
    <x:row r="413" ht="19" customHeight="1">
      <x:c r="A413" s="7" t="n">
        <x:f>'Monthly data'!A413</x:f>
        <x:v>45383</x:v>
      </x:c>
      <x:c r="B413" s="8" t="n">
        <x:f>IF(ISNUMBER('Monthly data'!F413),LN(1+'Monthly data'!F413),"")</x:f>
        <x:v>5.158652919420062</x:v>
      </x:c>
      <x:c r="C413" s="8" t="n">
        <x:f>IF(ISNUMBER('Monthly data'!G413),LN(1+'Monthly data'!G413),"")</x:f>
        <x:v>4.655942194529781</x:v>
      </x:c>
      <x:c r="D413" s="8" t="n">
        <x:f>IF(ISNUMBER('Monthly data'!H413),LN(1+'Monthly data'!H413),"")</x:f>
        <x:v>3.579156659760862</x:v>
      </x:c>
      <x:c r="E413" s="8" t="n">
        <x:f>IF(ISNUMBER('Monthly data'!I413),LN(1+'Monthly data'!I413),"")</x:f>
        <x:v>2.1977799786279193</x:v>
      </x:c>
      <x:c r="F413" s="8" t="n">
        <x:f>IF(ISNUMBER('Monthly data'!J413),LN(1+'Monthly data'!J413),"")</x:f>
        <x:v>1.6921969276018651</x:v>
      </x:c>
      <x:c r="G413" s="8" t="n">
        <x:f>IF(ISNUMBER('Monthly data'!K413),LN(1+'Monthly data'!K413),"")</x:f>
        <x:v>0.9989392721840438</x:v>
      </x:c>
      <x:c r="H413" s="8" t="n">
        <x:f>IF(ISNUMBER('Monthly data'!L413),LN(1+'Monthly data'!L413),"")</x:f>
        <x:v>0.5800904582676487</x:v>
      </x:c>
      <x:c r="I413" s="8" t="n">
        <x:f>IF(ISNUMBER('Monthly data'!M413),LN(1+'Monthly data'!M413),"")</x:f>
        <x:v>1.3317061708354876</x:v>
      </x:c>
      <x:c r="J413" s="8" t="n">
        <x:f>IF(ISNUMBER('Monthly data'!N413),LN(1+'Monthly data'!N413),"")</x:f>
        <x:v>2.842173085427688</x:v>
      </x:c>
      <x:c r="K413" s="8" t="n">
        <x:f>IF(COUNT('Monthly data'!F411:F413)=3,'Monthly data'!F413-2*'Monthly data'!F412+'Monthly data'!F411,"")</x:f>
        <x:v>62.630000000000024</x:v>
      </x:c>
      <x:c r="L413" s="8" t="n">
        <x:f>IF(COUNT('Monthly data'!G411:G413)=3,'Monthly data'!G413-2*'Monthly data'!G412+'Monthly data'!G411,"")</x:f>
        <x:v>64.80559999999998</x:v>
      </x:c>
      <x:c r="M413" s="8" t="n">
        <x:f>IF(COUNT('Monthly data'!H411:H413)=3,'Monthly data'!H413-2*'Monthly data'!H412+'Monthly data'!H411,"")</x:f>
        <x:v>7.130099999999999</x:v>
      </x:c>
      <x:c r="N413" s="8" t="n">
        <x:f>IF(COUNT('Monthly data'!I411:I413)=3,'Monthly data'!I413-2*'Monthly data'!I412+'Monthly data'!I411,"")</x:f>
        <x:v>-8.344699999999998</x:v>
      </x:c>
      <x:c r="O413" s="8" t="n">
        <x:f>IF(COUNT('Monthly data'!J411:J413)=3,'Monthly data'!J413-2*'Monthly data'!J412+'Monthly data'!J411,"")</x:f>
        <x:v>-0.8176000000000001</x:v>
      </x:c>
      <x:c r="P413" s="8" t="n">
        <x:f>IF(COUNT('Monthly data'!K411:K413)=3,'Monthly data'!K413-2*'Monthly data'!K412+'Monthly data'!K411,"")</x:f>
        <x:v>-1.9615</x:v>
      </x:c>
      <x:c r="Q413" s="8" t="n">
        <x:f>IF(COUNT('Monthly data'!L411:L413)=3,'Monthly data'!L413-2*'Monthly data'!L412+'Monthly data'!L411,"")</x:f>
        <x:v>-1.5568999999999997</x:v>
      </x:c>
      <x:c r="R413" s="8" t="n">
        <x:f>IF(COUNT('Monthly data'!M411:M413)=3,'Monthly data'!M413-2*'Monthly data'!M412+'Monthly data'!M411,"")</x:f>
        <x:v>1.6506000000000007</x:v>
      </x:c>
      <x:c r="S413" s="8" t="n">
        <x:f>IF(COUNT('Monthly data'!N411:N413)=3,'Monthly data'!N413-2*'Monthly data'!N412+'Monthly data'!N411,"")</x:f>
        <x:v>1.7243999999999957</x:v>
      </x:c>
      <x:c r="T413" s="8" t="n">
        <x:f>IF(COUNT('Monthly data'!E412:E413)=2,'Monthly data'!E413-'Monthly data'!E412,"")</x:f>
        <x:v>-0.0064618794999997675</x:v>
      </x:c>
    </x:row>
    <x:row r="414" ht="19" customHeight="1">
      <x:c r="A414" s="7" t="n">
        <x:f>'Monthly data'!A414</x:f>
        <x:v>45413</x:v>
      </x:c>
      <x:c r="B414" s="8" t="n">
        <x:f>IF(ISNUMBER('Monthly data'!F414),LN(1+'Monthly data'!F414),"")</x:f>
        <x:v>5.1670690799380825</x:v>
      </x:c>
      <x:c r="C414" s="8" t="n">
        <x:f>IF(ISNUMBER('Monthly data'!G414),LN(1+'Monthly data'!G414),"")</x:f>
        <x:v>4.534871104637497</x:v>
      </x:c>
      <x:c r="D414" s="8" t="n">
        <x:f>IF(ISNUMBER('Monthly data'!H414),LN(1+'Monthly data'!H414),"")</x:f>
        <x:v>3.7521523309114992</x:v>
      </x:c>
      <x:c r="E414" s="8" t="n">
        <x:f>IF(ISNUMBER('Monthly data'!I414),LN(1+'Monthly data'!I414),"")</x:f>
        <x:v>2.2587794852565706</x:v>
      </x:c>
      <x:c r="F414" s="8" t="n">
        <x:f>IF(ISNUMBER('Monthly data'!J414),LN(1+'Monthly data'!J414),"")</x:f>
        <x:v>1.5397876820769993</x:v>
      </x:c>
      <x:c r="G414" s="8" t="n">
        <x:f>IF(ISNUMBER('Monthly data'!K414),LN(1+'Monthly data'!K414),"")</x:f>
        <x:v>1.5544958641698083</x:v>
      </x:c>
      <x:c r="H414" s="8" t="n">
        <x:f>IF(ISNUMBER('Monthly data'!L414),LN(1+'Monthly data'!L414),"")</x:f>
        <x:v>0.8083491102486289</x:v>
      </x:c>
      <x:c r="I414" s="8" t="n">
        <x:f>IF(ISNUMBER('Monthly data'!M414),LN(1+'Monthly data'!M414),"")</x:f>
        <x:v>1.8107774750638168</x:v>
      </x:c>
      <x:c r="J414" s="8" t="n">
        <x:f>IF(ISNUMBER('Monthly data'!N414),LN(1+'Monthly data'!N414),"")</x:f>
        <x:v>2.9574487211283826</x:v>
      </x:c>
      <x:c r="K414" s="8" t="n">
        <x:f>IF(COUNT('Monthly data'!F412:F414)=3,'Monthly data'!F414-2*'Monthly data'!F413+'Monthly data'!F412,"")</x:f>
        <x:v>-29.05000000000001</x:v>
      </x:c>
      <x:c r="L414" s="8" t="n">
        <x:f>IF(COUNT('Monthly data'!G412:G414)=3,'Monthly data'!G414-2*'Monthly data'!G413+'Monthly data'!G412,"")</x:f>
        <x:v>-48.99349999999998</x:v>
      </x:c>
      <x:c r="M414" s="8" t="n">
        <x:f>IF(COUNT('Monthly data'!H412:H414)=3,'Monthly data'!H414-2*'Monthly data'!H413+'Monthly data'!H412,"")</x:f>
        <x:v>7.934699999999999</x:v>
      </x:c>
      <x:c r="N414" s="8" t="n">
        <x:f>IF(COUNT('Monthly data'!I412:I414)=3,'Monthly data'!I414-2*'Monthly data'!I413+'Monthly data'!I412,"")</x:f>
        <x:v>2.375799999999998</x:v>
      </x:c>
      <x:c r="O414" s="8" t="n">
        <x:f>IF(COUNT('Monthly data'!J412:J414)=3,'Monthly data'!J414-2*'Monthly data'!J413+'Monthly data'!J412,"")</x:f>
        <x:v>-1.4087999999999994</x:v>
      </x:c>
      <x:c r="P414" s="8" t="n">
        <x:f>IF(COUNT('Monthly data'!K412:K414)=3,'Monthly data'!K414-2*'Monthly data'!K413+'Monthly data'!K412,"")</x:f>
        <x:v>3.8891999999999998</x:v>
      </x:c>
      <x:c r="Q414" s="8" t="n">
        <x:f>IF(COUNT('Monthly data'!L412:L414)=3,'Monthly data'!L414-2*'Monthly data'!L413+'Monthly data'!L412,"")</x:f>
        <x:v>1.0254999999999999</x:v>
      </x:c>
      <x:c r="R414" s="8" t="n">
        <x:f>IF(COUNT('Monthly data'!M412:M414)=3,'Monthly data'!M414-2*'Monthly data'!M413+'Monthly data'!M412,"")</x:f>
        <x:v>3.0597999999999996</x:v>
      </x:c>
      <x:c r="S414" s="8" t="n">
        <x:f>IF(COUNT('Monthly data'!N412:N414)=3,'Monthly data'!N414-2*'Monthly data'!N413+'Monthly data'!N412,"")</x:f>
        <x:v>3.0672000000000033</x:v>
      </x:c>
      <x:c r="T414" s="8" t="n">
        <x:f>IF(COUNT('Monthly data'!E413:E414)=2,'Monthly data'!E414-'Monthly data'!E413,"")</x:f>
        <x:v>-0.008666936400000935</x:v>
      </x:c>
    </x:row>
    <x:row r="415" ht="19" customHeight="1">
      <x:c r="A415" s="7" t="n">
        <x:f>'Monthly data'!A415</x:f>
        <x:v>45444</x:v>
      </x:c>
      <x:c r="B415" s="8" t="n">
        <x:f>IF(ISNUMBER('Monthly data'!F415),LN(1+'Monthly data'!F415),"")</x:f>
        <x:v>4.861980594772786</x:v>
      </x:c>
      <x:c r="C415" s="8" t="n">
        <x:f>IF(ISNUMBER('Monthly data'!G415),LN(1+'Monthly data'!G415),"")</x:f>
        <x:v>4.186209419774592</x:v>
      </x:c>
      <x:c r="D415" s="8" t="n">
        <x:f>IF(ISNUMBER('Monthly data'!H415),LN(1+'Monthly data'!H415),"")</x:f>
        <x:v>3.439491383499835</x:v>
      </x:c>
      <x:c r="E415" s="8" t="n">
        <x:f>IF(ISNUMBER('Monthly data'!I415),LN(1+'Monthly data'!I415),"")</x:f>
        <x:v>1.8695997533463913</x:v>
      </x:c>
      <x:c r="F415" s="8" t="n">
        <x:f>IF(ISNUMBER('Monthly data'!J415),LN(1+'Monthly data'!J415),"")</x:f>
        <x:v>1.597041392097549</x:v>
      </x:c>
      <x:c r="G415" s="8" t="n">
        <x:f>IF(ISNUMBER('Monthly data'!K415),LN(1+'Monthly data'!K415),"")</x:f>
        <x:v>1.5533753684975602</x:v>
      </x:c>
      <x:c r="H415" s="8" t="n">
        <x:f>IF(ISNUMBER('Monthly data'!L415),LN(1+'Monthly data'!L415),"")</x:f>
        <x:v>0.4904188139883281</x:v>
      </x:c>
      <x:c r="I415" s="8" t="n">
        <x:f>IF(ISNUMBER('Monthly data'!M415),LN(1+'Monthly data'!M415),"")</x:f>
        <x:v>1.338468731637286</x:v>
      </x:c>
      <x:c r="J415" s="8" t="n">
        <x:f>IF(ISNUMBER('Monthly data'!N415),LN(1+'Monthly data'!N415),"")</x:f>
        <x:v>2.875726143653725</x:v>
      </x:c>
      <x:c r="K415" s="8" t="n">
        <x:f>IF(COUNT('Monthly data'!F413:F415)=3,'Monthly data'!F415-2*'Monthly data'!F414+'Monthly data'!F413,"")</x:f>
        <x:v>-47.59</x:v>
      </x:c>
      <x:c r="L415" s="8" t="n">
        <x:f>IF(COUNT('Monthly data'!G413:G415)=3,'Monthly data'!G415-2*'Monthly data'!G414+'Monthly data'!G413,"")</x:f>
        <x:v>-15.441700000000012</x:v>
      </x:c>
      <x:c r="M415" s="8" t="n">
        <x:f>IF(COUNT('Monthly data'!H413:H415)=3,'Monthly data'!H415-2*'Monthly data'!H414+'Monthly data'!H413,"")</x:f>
        <x:v>-18.211</x:v>
      </x:c>
      <x:c r="N415" s="8" t="n">
        <x:f>IF(COUNT('Monthly data'!I413:I415)=3,'Monthly data'!I415-2*'Monthly data'!I414+'Monthly data'!I413,"")</x:f>
        <x:v>-3.652100000000001</x:v>
      </x:c>
      <x:c r="O415" s="8" t="n">
        <x:f>IF(COUNT('Monthly data'!J413:J415)=3,'Monthly data'!J415-2*'Monthly data'!J414+'Monthly data'!J413,"")</x:f>
        <x:v>1.0425999999999997</x:v>
      </x:c>
      <x:c r="P415" s="8" t="n">
        <x:f>IF(COUNT('Monthly data'!K413:K415)=3,'Monthly data'!K415-2*'Monthly data'!K414+'Monthly data'!K413,"")</x:f>
        <x:v>-2.0225999999999997</x:v>
      </x:c>
      <x:c r="Q415" s="8" t="n">
        <x:f>IF(COUNT('Monthly data'!L413:L415)=3,'Monthly data'!L415-2*'Monthly data'!L414+'Monthly data'!L413,"")</x:f>
        <x:v>-1.0692</x:v>
      </x:c>
      <x:c r="R415" s="8" t="n">
        <x:f>IF(COUNT('Monthly data'!M413:M415)=3,'Monthly data'!M415-2*'Monthly data'!M414+'Monthly data'!M413,"")</x:f>
        <x:v>-4.6297</x:v>
      </x:c>
      <x:c r="S415" s="8" t="n">
        <x:f>IF(COUNT('Monthly data'!N413:N415)=3,'Monthly data'!N415-2*'Monthly data'!N414+'Monthly data'!N413,"")</x:f>
        <x:v>-3.606300000000001</x:v>
      </x:c>
      <x:c r="T415" s="8" t="n">
        <x:f>IF(COUNT('Monthly data'!E414:E415)=2,'Monthly data'!E415-'Monthly data'!E414,"")</x:f>
        <x:v>-0.003745111500000675</x:v>
      </x:c>
    </x:row>
    <x:row r="416" ht="19" customHeight="1">
      <x:c r="A416" s="7" t="n">
        <x:f>'Monthly data'!A416</x:f>
        <x:v>45474</x:v>
      </x:c>
      <x:c r="B416" s="8" t="n">
        <x:f>IF(ISNUMBER('Monthly data'!F416),LN(1+'Monthly data'!F416),"")</x:f>
        <x:v>4.940713419791212</x:v>
      </x:c>
      <x:c r="C416" s="8" t="n">
        <x:f>IF(ISNUMBER('Monthly data'!G416),LN(1+'Monthly data'!G416),"")</x:f>
        <x:v>4.026235228871779</x:v>
      </x:c>
      <x:c r="D416" s="8" t="n">
        <x:f>IF(ISNUMBER('Monthly data'!H416),LN(1+'Monthly data'!H416),"")</x:f>
        <x:v>3.5000799607217425</x:v>
      </x:c>
      <x:c r="E416" s="8" t="n">
        <x:f>IF(ISNUMBER('Monthly data'!I416),LN(1+'Monthly data'!I416),"")</x:f>
        <x:v>3.1722076077758237</x:v>
      </x:c>
      <x:c r="F416" s="8" t="n">
        <x:f>IF(ISNUMBER('Monthly data'!J416),LN(1+'Monthly data'!J416),"")</x:f>
        <x:v>1.9433497311239614</x:v>
      </x:c>
      <x:c r="G416" s="8" t="n">
        <x:f>IF(ISNUMBER('Monthly data'!K416),LN(1+'Monthly data'!K416),"")</x:f>
        <x:v>0.4044646077745808</x:v>
      </x:c>
      <x:c r="H416" s="8" t="n">
        <x:f>IF(ISNUMBER('Monthly data'!L416),LN(1+'Monthly data'!L416),"")</x:f>
        <x:v>0.4508845182990243</x:v>
      </x:c>
      <x:c r="I416" s="8" t="n">
        <x:f>IF(ISNUMBER('Monthly data'!M416),LN(1+'Monthly data'!M416),"")</x:f>
        <x:v>1.0725420609349257</x:v>
      </x:c>
      <x:c r="J416" s="8" t="n">
        <x:f>IF(ISNUMBER('Monthly data'!N416),LN(1+'Monthly data'!N416),"")</x:f>
        <x:v>3.038269596057657</x:v>
      </x:c>
      <x:c r="K416" s="8" t="n">
        <x:f>IF(COUNT('Monthly data'!F414:F416)=3,'Monthly data'!F416-2*'Monthly data'!F415+'Monthly data'!F414,"")</x:f>
        <x:v>56.71000000000001</x:v>
      </x:c>
      <x:c r="L416" s="8" t="n">
        <x:f>IF(COUNT('Monthly data'!G414:G416)=3,'Monthly data'!G416-2*'Monthly data'!G415+'Monthly data'!G414,"")</x:f>
        <x:v>17.715000000000003</x:v>
      </x:c>
      <x:c r="M416" s="8" t="n">
        <x:f>IF(COUNT('Monthly data'!H414:H416)=3,'Monthly data'!H416-2*'Monthly data'!H415+'Monthly data'!H414,"")</x:f>
        <x:v>13.388599999999997</x:v>
      </x:c>
      <x:c r="N416" s="8" t="n">
        <x:f>IF(COUNT('Monthly data'!I414:I416)=3,'Monthly data'!I416-2*'Monthly data'!I415+'Monthly data'!I414,"")</x:f>
        <x:v>20.4601</x:v>
      </x:c>
      <x:c r="O416" s="8" t="n">
        <x:f>IF(COUNT('Monthly data'!J414:J416)=3,'Monthly data'!J416-2*'Monthly data'!J415+'Monthly data'!J414,"")</x:f>
        <x:v>1.7689</x:v>
      </x:c>
      <x:c r="P416" s="8" t="n">
        <x:f>IF(COUNT('Monthly data'!K414:K416)=3,'Monthly data'!K416-2*'Monthly data'!K415+'Monthly data'!K414,"")</x:f>
        <x:v>-3.2236</x:v>
      </x:c>
      <x:c r="Q416" s="8" t="n">
        <x:f>IF(COUNT('Monthly data'!L414:L416)=3,'Monthly data'!L416-2*'Monthly data'!L415+'Monthly data'!L414,"")</x:f>
        <x:v>0.5478999999999999</x:v>
      </x:c>
      <x:c r="R416" s="8" t="n">
        <x:f>IF(COUNT('Monthly data'!M414:M416)=3,'Monthly data'!M416-2*'Monthly data'!M415+'Monthly data'!M414,"")</x:f>
        <x:v>1.4115999999999995</x:v>
      </x:c>
      <x:c r="S416" s="8" t="n">
        <x:f>IF(COUNT('Monthly data'!N414:N416)=3,'Monthly data'!N416-2*'Monthly data'!N415+'Monthly data'!N414,"")</x:f>
        <x:v>4.641300000000001</x:v>
      </x:c>
      <x:c r="T416" s="8" t="n">
        <x:f>IF(COUNT('Monthly data'!E415:E416)=2,'Monthly data'!E416-'Monthly data'!E415,"")</x:f>
        <x:v>0.0036895426000000953</x:v>
      </x:c>
    </x:row>
    <x:row r="417" ht="19" customHeight="1">
      <x:c r="A417" s="7" t="n">
        <x:f>'Monthly data'!A417</x:f>
        <x:v>45505</x:v>
      </x:c>
      <x:c r="B417" s="8" t="n">
        <x:f>IF(ISNUMBER('Monthly data'!F417),LN(1+'Monthly data'!F417),"")</x:f>
        <x:v>5.102059144015209</x:v>
      </x:c>
      <x:c r="C417" s="8" t="n">
        <x:f>IF(ISNUMBER('Monthly data'!G417),LN(1+'Monthly data'!G417),"")</x:f>
        <x:v>4.380162398064131</x:v>
      </x:c>
      <x:c r="D417" s="8" t="n">
        <x:f>IF(ISNUMBER('Monthly data'!H417),LN(1+'Monthly data'!H417),"")</x:f>
        <x:v>3.7109833530208625</x:v>
      </x:c>
      <x:c r="E417" s="8" t="n">
        <x:f>IF(ISNUMBER('Monthly data'!I417),LN(1+'Monthly data'!I417),"")</x:f>
        <x:v>2.7855049475063276</x:v>
      </x:c>
      <x:c r="F417" s="8" t="n">
        <x:f>IF(ISNUMBER('Monthly data'!J417),LN(1+'Monthly data'!J417),"")</x:f>
        <x:v>2.013141469922604</x:v>
      </x:c>
      <x:c r="G417" s="8" t="n">
        <x:f>IF(ISNUMBER('Monthly data'!K417),LN(1+'Monthly data'!K417),"")</x:f>
        <x:v>1.104627494322897</x:v>
      </x:c>
      <x:c r="H417" s="8" t="n">
        <x:f>IF(ISNUMBER('Monthly data'!L417),LN(1+'Monthly data'!L417),"")</x:f>
        <x:v>1.3566080507495302</x:v>
      </x:c>
      <x:c r="I417" s="8" t="n">
        <x:f>IF(ISNUMBER('Monthly data'!M417),LN(1+'Monthly data'!M417),"")</x:f>
        <x:v>1.2993193471054834</x:v>
      </x:c>
      <x:c r="J417" s="8" t="n">
        <x:f>IF(ISNUMBER('Monthly data'!N417),LN(1+'Monthly data'!N417),"")</x:f>
        <x:v>2.794362444866262</x:v>
      </x:c>
      <x:c r="K417" s="8" t="n">
        <x:f>IF(COUNT('Monthly data'!F415:F417)=3,'Monthly data'!F417-2*'Monthly data'!F416+'Monthly data'!F415,"")</x:f>
        <x:v>13.900000000000006</x:v>
      </x:c>
      <x:c r="L417" s="8" t="n">
        <x:f>IF(COUNT('Monthly data'!G415:G417)=3,'Monthly data'!G417-2*'Monthly data'!G416+'Monthly data'!G415,"")</x:f>
        <x:v>33.52499999999999</x:v>
      </x:c>
      <x:c r="M417" s="8" t="n">
        <x:f>IF(COUNT('Monthly data'!H415:H417)=3,'Monthly data'!H417-2*'Monthly data'!H416+'Monthly data'!H415,"")</x:f>
        <x:v>5.828900000000001</x:v>
      </x:c>
      <x:c r="N417" s="8" t="n">
        <x:f>IF(COUNT('Monthly data'!I415:I417)=3,'Monthly data'!I417-2*'Monthly data'!I416+'Monthly data'!I415,"")</x:f>
        <x:v>-25.0265</x:v>
      </x:c>
      <x:c r="O417" s="8" t="n">
        <x:f>IF(COUNT('Monthly data'!J415:J417)=3,'Monthly data'!J417-2*'Monthly data'!J416+'Monthly data'!J415,"")</x:f>
        <x:v>-1.5390000000000001</x:v>
      </x:c>
      <x:c r="P417" s="8" t="n">
        <x:f>IF(COUNT('Monthly data'!K415:K417)=3,'Monthly data'!K417-2*'Monthly data'!K416+'Monthly data'!K415,"")</x:f>
        <x:v>4.7485</x:v>
      </x:c>
      <x:c r="Q417" s="8" t="n">
        <x:f>IF(COUNT('Monthly data'!L415:L417)=3,'Monthly data'!L417-2*'Monthly data'!L416+'Monthly data'!L415,"")</x:f>
        <x:v>2.3766</x:v>
      </x:c>
      <x:c r="R417" s="8" t="n">
        <x:f>IF(COUNT('Monthly data'!M415:M417)=3,'Monthly data'!M417-2*'Monthly data'!M416+'Monthly data'!M415,"")</x:f>
        <x:v>1.6343999999999999</x:v>
      </x:c>
      <x:c r="S417" s="8" t="n">
        <x:f>IF(COUNT('Monthly data'!N415:N417)=3,'Monthly data'!N417-2*'Monthly data'!N416+'Monthly data'!N415,"")</x:f>
        <x:v>-7.6477</x:v>
      </x:c>
      <x:c r="T417" s="8" t="n">
        <x:f>IF(COUNT('Monthly data'!E416:E417)=2,'Monthly data'!E417-'Monthly data'!E416,"")</x:f>
        <x:v>0.0026808116000012205</x:v>
      </x:c>
    </x:row>
    <x:row r="418" ht="19" customHeight="1">
      <x:c r="A418" s="7" t="n">
        <x:f>'Monthly data'!A418</x:f>
        <x:v>45536</x:v>
      </x:c>
      <x:c r="B418" s="8" t="n">
        <x:f>IF(ISNUMBER('Monthly data'!F418),LN(1+'Monthly data'!F418),"")</x:f>
        <x:v>5.1002322145746035</x:v>
      </x:c>
      <x:c r="C418" s="8" t="n">
        <x:f>IF(ISNUMBER('Monthly data'!G418),LN(1+'Monthly data'!G418),"")</x:f>
        <x:v>4.43022257470807</x:v>
      </x:c>
      <x:c r="D418" s="8" t="n">
        <x:f>IF(ISNUMBER('Monthly data'!H418),LN(1+'Monthly data'!H418),"")</x:f>
        <x:v>3.4800486105759294</x:v>
      </x:c>
      <x:c r="E418" s="8" t="n">
        <x:f>IF(ISNUMBER('Monthly data'!I418),LN(1+'Monthly data'!I418),"")</x:f>
        <x:v>2.9514668572559755</x:v>
      </x:c>
      <x:c r="F418" s="8" t="n">
        <x:f>IF(ISNUMBER('Monthly data'!J418),LN(1+'Monthly data'!J418),"")</x:f>
        <x:v>1.6249765599147419</x:v>
      </x:c>
      <x:c r="G418" s="8" t="n">
        <x:f>IF(ISNUMBER('Monthly data'!K418),LN(1+'Monthly data'!K418),"")</x:f>
        <x:v>1.4532985899003645</x:v>
      </x:c>
      <x:c r="H418" s="8" t="n">
        <x:f>IF(ISNUMBER('Monthly data'!L418),LN(1+'Monthly data'!L418),"")</x:f>
        <x:v>0.5471382664243101</x:v>
      </x:c>
      <x:c r="I418" s="8" t="n">
        <x:f>IF(ISNUMBER('Monthly data'!M418),LN(1+'Monthly data'!M418),"")</x:f>
        <x:v>2.0124466728555577</x:v>
      </x:c>
      <x:c r="J418" s="8" t="n">
        <x:f>IF(ISNUMBER('Monthly data'!N418),LN(1+'Monthly data'!N418),"")</x:f>
        <x:v>2.8302147350716127</x:v>
      </x:c>
      <x:c r="K418" s="8" t="n">
        <x:f>IF(COUNT('Monthly data'!F416:F418)=3,'Monthly data'!F418-2*'Monthly data'!F417+'Monthly data'!F416,"")</x:f>
        <x:v>-24.79000000000002</x:v>
      </x:c>
      <x:c r="L418" s="8" t="n">
        <x:f>IF(COUNT('Monthly data'!G416:G418)=3,'Monthly data'!G418-2*'Monthly data'!G417+'Monthly data'!G416,"")</x:f>
        <x:v>-19.70239999999999</x:v>
      </x:c>
      <x:c r="M418" s="8" t="n">
        <x:f>IF(COUNT('Monthly data'!H416:H418)=3,'Monthly data'!H418-2*'Monthly data'!H417+'Monthly data'!H416,"")</x:f>
        <x:v>-16.208599999999997</x:v>
      </x:c>
      <x:c r="N418" s="8" t="n">
        <x:f>IF(COUNT('Monthly data'!I416:I418)=3,'Monthly data'!I418-2*'Monthly data'!I417+'Monthly data'!I416,"")</x:f>
        <x:v>10.5781</x:v>
      </x:c>
      <x:c r="O418" s="8" t="n">
        <x:f>IF(COUNT('Monthly data'!J416:J418)=3,'Monthly data'!J418-2*'Monthly data'!J417+'Monthly data'!J416,"")</x:f>
        <x:v>-2.913199999999999</x:v>
      </x:c>
      <x:c r="P418" s="8" t="n">
        <x:f>IF(COUNT('Monthly data'!K416:K418)=3,'Monthly data'!K418-2*'Monthly data'!K417+'Monthly data'!K416,"")</x:f>
        <x:v>-0.2604999999999999</x:v>
      </x:c>
      <x:c r="Q418" s="8" t="n">
        <x:f>IF(COUNT('Monthly data'!L416:L418)=3,'Monthly data'!L418-2*'Monthly data'!L417+'Monthly data'!L416,"")</x:f>
        <x:v>-4.468</x:v>
      </x:c>
      <x:c r="R418" s="8" t="n">
        <x:f>IF(COUNT('Monthly data'!M416:M418)=3,'Monthly data'!M418-2*'Monthly data'!M417+'Monthly data'!M416,"")</x:f>
        <x:v>3.0708000000000006</x:v>
      </x:c>
      <x:c r="S418" s="8" t="n">
        <x:f>IF(COUNT('Monthly data'!N416:N418)=3,'Monthly data'!N418-2*'Monthly data'!N417+'Monthly data'!N416,"")</x:f>
        <x:v>5.1137999999999995</x:v>
      </x:c>
      <x:c r="T418" s="8" t="n">
        <x:f>IF(COUNT('Monthly data'!E417:E418)=2,'Monthly data'!E418-'Monthly data'!E417,"")</x:f>
        <x:v>-0.013271360900001028</x:v>
      </x:c>
    </x:row>
    <x:row r="419" ht="19" customHeight="1">
      <x:c r="A419" s="7" t="n">
        <x:f>'Monthly data'!A419</x:f>
        <x:v>45566</x:v>
      </x:c>
      <x:c r="B419" s="8" t="n">
        <x:f>IF(ISNUMBER('Monthly data'!F419),LN(1+'Monthly data'!F419),"")</x:f>
        <x:v>5.104611250887444</x:v>
      </x:c>
      <x:c r="C419" s="8" t="n">
        <x:f>IF(ISNUMBER('Monthly data'!G419),LN(1+'Monthly data'!G419),"")</x:f>
        <x:v>4.677906575094541</x:v>
      </x:c>
      <x:c r="D419" s="8" t="n">
        <x:f>IF(ISNUMBER('Monthly data'!H419),LN(1+'Monthly data'!H419),"")</x:f>
        <x:v>3.327339121917438</x:v>
      </x:c>
      <x:c r="E419" s="8" t="n">
        <x:f>IF(ISNUMBER('Monthly data'!I419),LN(1+'Monthly data'!I419),"")</x:f>
        <x:v>2.3073935139863506</x:v>
      </x:c>
      <x:c r="F419" s="8" t="n">
        <x:f>IF(ISNUMBER('Monthly data'!J419),LN(1+'Monthly data'!J419),"")</x:f>
        <x:v>1.012872829720399</x:v>
      </x:c>
      <x:c r="G419" s="8" t="n">
        <x:f>IF(ISNUMBER('Monthly data'!K419),LN(1+'Monthly data'!K419),"")</x:f>
        <x:v>1.6502919064423665</x:v>
      </x:c>
      <x:c r="H419" s="8" t="n">
        <x:f>IF(ISNUMBER('Monthly data'!L419),LN(1+'Monthly data'!L419),"")</x:f>
        <x:v>0.39944703578260143</x:v>
      </x:c>
      <x:c r="I419" s="8" t="n">
        <x:f>IF(ISNUMBER('Monthly data'!M419),LN(1+'Monthly data'!M419),"")</x:f>
        <x:v>1.3178816784337188</x:v>
      </x:c>
      <x:c r="J419" s="8" t="n">
        <x:f>IF(ISNUMBER('Monthly data'!N419),LN(1+'Monthly data'!N419),"")</x:f>
        <x:v>2.5752347426118645</x:v>
      </x:c>
      <x:c r="K419" s="8" t="n">
        <x:f>IF(COUNT('Monthly data'!F417:F419)=3,'Monthly data'!F419-2*'Monthly data'!F418+'Monthly data'!F417,"")</x:f>
        <x:v>1.0200000000000102</x:v>
      </x:c>
      <x:c r="L419" s="8" t="n">
        <x:f>IF(COUNT('Monthly data'!G417:G419)=3,'Monthly data'!G419-2*'Monthly data'!G418+'Monthly data'!G417,"")</x:f>
        <x:v>19.495499999999993</x:v>
      </x:c>
      <x:c r="M419" s="8" t="n">
        <x:f>IF(COUNT('Monthly data'!H417:H419)=3,'Monthly data'!H419-2*'Monthly data'!H418+'Monthly data'!H417,"")</x:f>
        <x:v>3.835499999999996</x:v>
      </x:c>
      <x:c r="N419" s="8" t="n">
        <x:f>IF(COUNT('Monthly data'!I417:I419)=3,'Monthly data'!I419-2*'Monthly data'!I418+'Monthly data'!I417,"")</x:f>
        <x:v>-12.0118</x:v>
      </x:c>
      <x:c r="O419" s="8" t="n">
        <x:f>IF(COUNT('Monthly data'!J417:J419)=3,'Monthly data'!J419-2*'Monthly data'!J418+'Monthly data'!J417,"")</x:f>
        <x:v>0.08370000000000033</x:v>
      </x:c>
      <x:c r="P419" s="8" t="n">
        <x:f>IF(COUNT('Monthly data'!K417:K419)=3,'Monthly data'!K419-2*'Monthly data'!K418+'Monthly data'!K417,"")</x:f>
        <x:v>-0.3278000000000003</x:v>
      </x:c>
      <x:c r="Q419" s="8" t="n">
        <x:f>IF(COUNT('Monthly data'!L417:L419)=3,'Monthly data'!L419-2*'Monthly data'!L418+'Monthly data'!L417,"")</x:f>
        <x:v>1.9174000000000002</x:v>
      </x:c>
      <x:c r="R419" s="8" t="n">
        <x:f>IF(COUNT('Monthly data'!M417:M419)=3,'Monthly data'!M419-2*'Monthly data'!M418+'Monthly data'!M417,"")</x:f>
        <x:v>-7.5609</x:v>
      </x:c>
      <x:c r="S419" s="8" t="n">
        <x:f>IF(COUNT('Monthly data'!N417:N419)=3,'Monthly data'!N419-2*'Monthly data'!N418+'Monthly data'!N417,"")</x:f>
        <x:v>-4.4116</x:v>
      </x:c>
      <x:c r="T419" s="8" t="n">
        <x:f>IF(COUNT('Monthly data'!E418:E419)=2,'Monthly data'!E419-'Monthly data'!E418,"")</x:f>
        <x:v>0.014140638300000674</x:v>
      </x:c>
    </x:row>
    <x:row r="420" ht="19" customHeight="1">
      <x:c r="A420" s="7" t="n">
        <x:f>'Monthly data'!A420</x:f>
        <x:v>45597</x:v>
      </x:c>
      <x:c r="B420" s="8" t="n">
        <x:f>IF(ISNUMBER('Monthly data'!F420),LN(1+'Monthly data'!F420),"")</x:f>
        <x:v>4.961024793542921</x:v>
      </x:c>
      <x:c r="C420" s="8" t="n">
        <x:f>IF(ISNUMBER('Monthly data'!G420),LN(1+'Monthly data'!G420),"")</x:f>
        <x:v>4.246832431774869</x:v>
      </x:c>
      <x:c r="D420" s="8" t="n">
        <x:f>IF(ISNUMBER('Monthly data'!H420),LN(1+'Monthly data'!H420),"")</x:f>
        <x:v>3.7103669357553595</x:v>
      </x:c>
      <x:c r="E420" s="8" t="n">
        <x:f>IF(ISNUMBER('Monthly data'!I420),LN(1+'Monthly data'!I420),"")</x:f>
        <x:v>2.1670631491076597</x:v>
      </x:c>
      <x:c r="F420" s="8" t="n">
        <x:f>IF(ISNUMBER('Monthly data'!J420),LN(1+'Monthly data'!J420),"")</x:f>
        <x:v>1.4827856613086519</x:v>
      </x:c>
      <x:c r="G420" s="8" t="n">
        <x:f>IF(ISNUMBER('Monthly data'!K420),LN(1+'Monthly data'!K420),"")</x:f>
        <x:v>1.140457759258004</x:v>
      </x:c>
      <x:c r="H420" s="8" t="n">
        <x:f>IF(ISNUMBER('Monthly data'!L420),LN(1+'Monthly data'!L420),"")</x:f>
        <x:v>0.822814868681982</x:v>
      </x:c>
      <x:c r="I420" s="8" t="n">
        <x:f>IF(ISNUMBER('Monthly data'!M420),LN(1+'Monthly data'!M420),"")</x:f>
        <x:v>1.645866269047652</x:v>
      </x:c>
      <x:c r="J420" s="8" t="n">
        <x:f>IF(ISNUMBER('Monthly data'!N420),LN(1+'Monthly data'!N420),"")</x:f>
        <x:v>2.7251760463975288</x:v>
      </x:c>
      <x:c r="K420" s="8" t="n">
        <x:f>IF(COUNT('Monthly data'!F418:F420)=3,'Monthly data'!F420-2*'Monthly data'!F419+'Monthly data'!F418,"")</x:f>
        <x:v>-22.75999999999999</x:v>
      </x:c>
      <x:c r="L420" s="8" t="n">
        <x:f>IF(COUNT('Monthly data'!G418:G420)=3,'Monthly data'!G420-2*'Monthly data'!G419+'Monthly data'!G418,"")</x:f>
        <x:v>-61.2556</x:v>
      </x:c>
      <x:c r="M420" s="8" t="n">
        <x:f>IF(COUNT('Monthly data'!H418:H420)=3,'Monthly data'!H420-2*'Monthly data'!H419+'Monthly data'!H418,"")</x:f>
        <x:v>17.6019</x:v>
      </x:c>
      <x:c r="N420" s="8" t="n">
        <x:f>IF(COUNT('Monthly data'!I418:I420)=3,'Monthly data'!I420-2*'Monthly data'!I419+'Monthly data'!I418,"")</x:f>
        <x:v>7.770200000000001</x:v>
      </x:c>
      <x:c r="O420" s="8" t="n">
        <x:f>IF(COUNT('Monthly data'!J418:J420)=3,'Monthly data'!J420-2*'Monthly data'!J419+'Monthly data'!J418,"")</x:f>
        <x:v>3.9764999999999993</x:v>
      </x:c>
      <x:c r="P420" s="8" t="n">
        <x:f>IF(COUNT('Monthly data'!K418:K420)=3,'Monthly data'!K420-2*'Monthly data'!K419+'Monthly data'!K418,"")</x:f>
        <x:v>-3.0116</x:v>
      </x:c>
      <x:c r="Q420" s="8" t="n">
        <x:f>IF(COUNT('Monthly data'!L418:L420)=3,'Monthly data'!L420-2*'Monthly data'!L419+'Monthly data'!L418,"")</x:f>
        <x:v>1.0231999999999999</x:v>
      </x:c>
      <x:c r="R420" s="8" t="n">
        <x:f>IF(COUNT('Monthly data'!M418:M420)=3,'Monthly data'!M420-2*'Monthly data'!M419+'Monthly data'!M418,"")</x:f>
        <x:v>5.1961</x:v>
      </x:c>
      <x:c r="S420" s="8" t="n">
        <x:f>IF(COUNT('Monthly data'!N418:N420)=3,'Monthly data'!N420-2*'Monthly data'!N419+'Monthly data'!N418,"")</x:f>
        <x:v>5.939400000000001</x:v>
      </x:c>
      <x:c r="T420" s="8" t="n">
        <x:f>IF(COUNT('Monthly data'!E419:E420)=2,'Monthly data'!E420-'Monthly data'!E419,"")</x:f>
        <x:v>0.0025321343999991086</x:v>
      </x:c>
    </x:row>
    <x:row r="421" ht="19" customHeight="1">
      <x:c r="A421" s="7" t="n">
        <x:f>'Monthly data'!A421</x:f>
        <x:v>45627</x:v>
      </x:c>
      <x:c r="B421" s="8" t="n">
        <x:f>IF(ISNUMBER('Monthly data'!F421),LN(1+'Monthly data'!F421),"")</x:f>
        <x:v>5.1465638113205</x:v>
      </x:c>
      <x:c r="C421" s="8" t="n">
        <x:f>IF(ISNUMBER('Monthly data'!G421),LN(1+'Monthly data'!G421),"")</x:f>
        <x:v>4.10243838535221</x:v>
      </x:c>
      <x:c r="D421" s="8" t="n">
        <x:f>IF(ISNUMBER('Monthly data'!H421),LN(1+'Monthly data'!H421),"")</x:f>
        <x:v>3.664566269531653</x:v>
      </x:c>
      <x:c r="E421" s="8" t="n">
        <x:f>IF(ISNUMBER('Monthly data'!I421),LN(1+'Monthly data'!I421),"")</x:f>
        <x:v>2.731037295081546</x:v>
      </x:c>
      <x:c r="F421" s="8" t="n">
        <x:f>IF(ISNUMBER('Monthly data'!J421),LN(1+'Monthly data'!J421),"")</x:f>
        <x:v>3.2184477332500583</x:v>
      </x:c>
      <x:c r="G421" s="8" t="n">
        <x:f>IF(ISNUMBER('Monthly data'!K421),LN(1+'Monthly data'!K421),"")</x:f>
        <x:v>1.0794634476071265</x:v>
      </x:c>
      <x:c r="H421" s="8" t="n">
        <x:f>IF(ISNUMBER('Monthly data'!L421),LN(1+'Monthly data'!L421),"")</x:f>
        <x:v>2.567407871299744</x:v>
      </x:c>
      <x:c r="I421" s="8" t="n">
        <x:f>IF(ISNUMBER('Monthly data'!M421),LN(1+'Monthly data'!M421),"")</x:f>
        <x:v>1.8990730763604213</x:v>
      </x:c>
      <x:c r="J421" s="8" t="n">
        <x:f>IF(ISNUMBER('Monthly data'!N421),LN(1+'Monthly data'!N421),"")</x:f>
        <x:v>2.7924097317199488</x:v>
      </x:c>
      <x:c r="K421" s="8" t="n">
        <x:f>IF(COUNT('Monthly data'!F419:F421)=3,'Monthly data'!F421-2*'Monthly data'!F420+'Monthly data'!F419,"")</x:f>
        <x:v>51.139999999999986</x:v>
      </x:c>
      <x:c r="L421" s="8" t="n">
        <x:f>IF(COUNT('Monthly data'!G419:G421)=3,'Monthly data'!G421-2*'Monthly data'!G420+'Monthly data'!G419,"")</x:f>
        <x:v>28.264899999999997</x:v>
      </x:c>
      <x:c r="M421" s="8" t="n">
        <x:f>IF(COUNT('Monthly data'!H419:H421)=3,'Monthly data'!H421-2*'Monthly data'!H420+'Monthly data'!H419,"")</x:f>
        <x:v>-14.834299999999999</x:v>
      </x:c>
      <x:c r="N421" s="8" t="n">
        <x:f>IF(COUNT('Monthly data'!I419:I421)=3,'Monthly data'!I421-2*'Monthly data'!I420+'Monthly data'!I419,"")</x:f>
        <x:v>7.931800000000001</x:v>
      </x:c>
      <x:c r="O421" s="8" t="n">
        <x:f>IF(COUNT('Monthly data'!J419:J421)=3,'Monthly data'!J421-2*'Monthly data'!J420+'Monthly data'!J419,"")</x:f>
        <x:v>18.932399999999998</x:v>
      </x:c>
      <x:c r="P421" s="8" t="n">
        <x:f>IF(COUNT('Monthly data'!K419:K421)=3,'Monthly data'!K421-2*'Monthly data'!K420+'Monthly data'!K419,"")</x:f>
        <x:v>1.8952</x:v>
      </x:c>
      <x:c r="Q421" s="8" t="n">
        <x:f>IF(COUNT('Monthly data'!L419:L421)=3,'Monthly data'!L421-2*'Monthly data'!L420+'Monthly data'!L419,"")</x:f>
        <x:v>9.9692</x:v>
      </x:c>
      <x:c r="R421" s="8" t="n">
        <x:f>IF(COUNT('Monthly data'!M419:M421)=3,'Monthly data'!M421-2*'Monthly data'!M420+'Monthly data'!M419,"")</x:f>
        <x:v>0.04420000000000002</x:v>
      </x:c>
      <x:c r="S421" s="8" t="n">
        <x:f>IF(COUNT('Monthly data'!N419:N421)=3,'Monthly data'!N421-2*'Monthly data'!N420+'Monthly data'!N419,"")</x:f>
        <x:v>-1.0635000000000012</x:v>
      </x:c>
      <x:c r="T421" s="8" t="n">
        <x:f>IF(COUNT('Monthly data'!E420:E421)=2,'Monthly data'!E421-'Monthly data'!E420,"")</x:f>
        <x:v>0.005149058200000667</x:v>
      </x:c>
    </x:row>
    <x:row r="422" ht="19" customHeight="1">
      <x:c r="A422" s="7" t="n">
        <x:f>'Monthly data'!A422</x:f>
        <x:v>45658</x:v>
      </x:c>
      <x:c r="B422" s="8" t="n">
        <x:f>IF(ISNUMBER('Monthly data'!F422),LN(1+'Monthly data'!F422),"")</x:f>
        <x:v>5.134503481309822</x:v>
      </x:c>
      <x:c r="C422" s="8" t="n">
        <x:f>IF(ISNUMBER('Monthly data'!G422),LN(1+'Monthly data'!G422),"")</x:f>
        <x:v>4.107346338287776</x:v>
      </x:c>
      <x:c r="D422" s="8" t="n">
        <x:f>IF(ISNUMBER('Monthly data'!H422),LN(1+'Monthly data'!H422),"")</x:f>
        <x:v>3.937470455008601</x:v>
      </x:c>
      <x:c r="E422" s="8" t="n">
        <x:f>IF(ISNUMBER('Monthly data'!I422),LN(1+'Monthly data'!I422),"")</x:f>
        <x:v>2.973563348782929</x:v>
      </x:c>
      <x:c r="F422" s="8" t="n">
        <x:f>IF(ISNUMBER('Monthly data'!J422),LN(1+'Monthly data'!J422),"")</x:f>
        <x:v>2.049330211823018</x:v>
      </x:c>
      <x:c r="G422" s="8" t="n">
        <x:f>IF(ISNUMBER('Monthly data'!K422),LN(1+'Monthly data'!K422),"")</x:f>
        <x:v>1.1725750121785201</x:v>
      </x:c>
      <x:c r="H422" s="8" t="n">
        <x:f>IF(ISNUMBER('Monthly data'!L422),LN(1+'Monthly data'!L422),"")</x:f>
        <x:v>1.2161286220959486</x:v>
      </x:c>
      <x:c r="I422" s="8" t="n">
        <x:f>IF(ISNUMBER('Monthly data'!M422),LN(1+'Monthly data'!M422),"")</x:f>
        <x:v>2.4974361599476795</x:v>
      </x:c>
      <x:c r="J422" s="8" t="n">
        <x:f>IF(ISNUMBER('Monthly data'!N422),LN(1+'Monthly data'!N422),"")</x:f>
        <x:v>2.9245691917203316</x:v>
      </x:c>
      <x:c r="K422" s="8" t="n">
        <x:f>IF(COUNT('Monthly data'!F420:F422)=3,'Monthly data'!F422-2*'Monthly data'!F421+'Monthly data'!F420,"")</x:f>
        <x:v>-31.159999999999997</x:v>
      </x:c>
      <x:c r="L422" s="8" t="n">
        <x:f>IF(COUNT('Monthly data'!G420:G422)=3,'Monthly data'!G422-2*'Monthly data'!G421+'Monthly data'!G420,"")</x:f>
        <x:v>9.693700000000007</x:v>
      </x:c>
      <x:c r="M422" s="8" t="n">
        <x:f>IF(COUNT('Monthly data'!H420:H422)=3,'Monthly data'!H422-2*'Monthly data'!H421+'Monthly data'!H420,"")</x:f>
        <x:v>14.079099999999997</x:v>
      </x:c>
      <x:c r="N422" s="8" t="n">
        <x:f>IF(COUNT('Monthly data'!I420:I422)=3,'Monthly data'!I422-2*'Monthly data'!I421+'Monthly data'!I420,"")</x:f>
        <x:v>-2.403500000000003</x:v>
      </x:c>
      <x:c r="O422" s="8" t="n">
        <x:f>IF(COUNT('Monthly data'!J420:J422)=3,'Monthly data'!J422-2*'Monthly data'!J421+'Monthly data'!J420,"")</x:f>
        <x:v>-37.8107</x:v>
      </x:c>
      <x:c r="P422" s="8" t="n">
        <x:f>IF(COUNT('Monthly data'!K420:K422)=3,'Monthly data'!K422-2*'Monthly data'!K421+'Monthly data'!K420,"")</x:f>
        <x:v>0.47230000000000016</x:v>
      </x:c>
      <x:c r="Q422" s="8" t="n">
        <x:f>IF(COUNT('Monthly data'!L420:L422)=3,'Monthly data'!L422-2*'Monthly data'!L421+'Monthly data'!L420,"")</x:f>
        <x:v>-20.413</x:v>
      </x:c>
      <x:c r="R422" s="8" t="n">
        <x:f>IF(COUNT('Monthly data'!M420:M422)=3,'Monthly data'!M422-2*'Monthly data'!M421+'Monthly data'!M420,"")</x:f>
        <x:v>3.9774000000000003</x:v>
      </x:c>
      <x:c r="S422" s="8" t="n">
        <x:f>IF(COUNT('Monthly data'!N420:N422)=3,'Monthly data'!N422-2*'Monthly data'!N421+'Monthly data'!N420,"")</x:f>
        <x:v>1.2447000000000017</x:v>
      </x:c>
      <x:c r="T422" s="8" t="n">
        <x:f>IF(COUNT('Monthly data'!E421:E422)=2,'Monthly data'!E422-'Monthly data'!E421,"")</x:f>
        <x:v>-0.004948512000000349</x:v>
      </x:c>
    </x:row>
    <x:row r="423" ht="19" customHeight="1">
      <x:c r="A423" s="7" t="n">
        <x:f>'Monthly data'!A423</x:f>
        <x:v>45689</x:v>
      </x:c>
      <x:c r="B423" s="8" t="n">
        <x:f>IF(ISNUMBER('Monthly data'!F423),LN(1+'Monthly data'!F423),"")</x:f>
        <x:v>5.208337952928512</x:v>
      </x:c>
      <x:c r="C423" s="8" t="n">
        <x:f>IF(ISNUMBER('Monthly data'!G423),LN(1+'Monthly data'!G423),"")</x:f>
        <x:v>3.901513978533406</x:v>
      </x:c>
      <x:c r="D423" s="8" t="n">
        <x:f>IF(ISNUMBER('Monthly data'!H423),LN(1+'Monthly data'!H423),"")</x:f>
        <x:v>4.4644852678017735</x:v>
      </x:c>
      <x:c r="E423" s="8" t="n">
        <x:f>IF(ISNUMBER('Monthly data'!I423),LN(1+'Monthly data'!I423),"")</x:f>
        <x:v>2.3808785793639524</x:v>
      </x:c>
      <x:c r="F423" s="8" t="n">
        <x:f>IF(ISNUMBER('Monthly data'!J423),LN(1+'Monthly data'!J423),"")</x:f>
        <x:v>1.19540621565981</x:v>
      </x:c>
      <x:c r="G423" s="8" t="n">
        <x:f>IF(ISNUMBER('Monthly data'!K423),LN(1+'Monthly data'!K423),"")</x:f>
        <x:v>0.9969855345798113</x:v>
      </x:c>
      <x:c r="H423" s="8" t="n">
        <x:f>IF(ISNUMBER('Monthly data'!L423),LN(1+'Monthly data'!L423),"")</x:f>
        <x:v>0.9691488013623337</x:v>
      </x:c>
      <x:c r="I423" s="8" t="n">
        <x:f>IF(ISNUMBER('Monthly data'!M423),LN(1+'Monthly data'!M423),"")</x:f>
        <x:v>2.7691264856095756</x:v>
      </x:c>
      <x:c r="J423" s="8" t="n">
        <x:f>IF(ISNUMBER('Monthly data'!N423),LN(1+'Monthly data'!N423),"")</x:f>
        <x:v>2.891842897461728</x:v>
      </x:c>
      <x:c r="K423" s="8" t="n">
        <x:f>IF(COUNT('Monthly data'!F421:F423)=3,'Monthly data'!F423-2*'Monthly data'!F422+'Monthly data'!F421,"")</x:f>
        <x:v>15.069999999999993</x:v>
      </x:c>
      <x:c r="L423" s="8" t="n">
        <x:f>IF(COUNT('Monthly data'!G421:G423)=3,'Monthly data'!G423-2*'Monthly data'!G422+'Monthly data'!G421,"")</x:f>
        <x:v>-11.605500000000006</x:v>
      </x:c>
      <x:c r="M423" s="8" t="n">
        <x:f>IF(COUNT('Monthly data'!H421:H423)=3,'Monthly data'!H423-2*'Monthly data'!H422+'Monthly data'!H421,"")</x:f>
        <x:v>23.338100000000004</x:v>
      </x:c>
      <x:c r="N423" s="8" t="n">
        <x:f>IF(COUNT('Monthly data'!I421:I423)=3,'Monthly data'!I423-2*'Monthly data'!I422+'Monthly data'!I421,"")</x:f>
        <x:v>-12.959799999999998</x:v>
      </x:c>
      <x:c r="O423" s="8" t="n">
        <x:f>IF(COUNT('Monthly data'!J421:J423)=3,'Monthly data'!J423-2*'Monthly data'!J422+'Monthly data'!J421,"")</x:f>
        <x:v>12.7688</x:v>
      </x:c>
      <x:c r="P423" s="8" t="n">
        <x:f>IF(COUNT('Monthly data'!K421:K423)=3,'Monthly data'!K423-2*'Monthly data'!K422+'Monthly data'!K421,"")</x:f>
        <x:v>-0.8074000000000006</x:v>
      </x:c>
      <x:c r="Q423" s="8" t="n">
        <x:f>IF(COUNT('Monthly data'!L421:L423)=3,'Monthly data'!L423-2*'Monthly data'!L422+'Monthly data'!L421,"")</x:f>
        <x:v>8.9195</x:v>
      </x:c>
      <x:c r="R423" s="8" t="n">
        <x:f>IF(COUNT('Monthly data'!M421:M423)=3,'Monthly data'!M423-2*'Monthly data'!M422+'Monthly data'!M421,"")</x:f>
        <x:v>-1.6782000000000021</x:v>
      </x:c>
      <x:c r="S423" s="8" t="n">
        <x:f>IF(COUNT('Monthly data'!N421:N423)=3,'Monthly data'!N423-2*'Monthly data'!N422+'Monthly data'!N421,"")</x:f>
        <x:v>-2.9056000000000033</x:v>
      </x:c>
      <x:c r="T423" s="8" t="n">
        <x:f>IF(COUNT('Monthly data'!E422:E423)=2,'Monthly data'!E423-'Monthly data'!E422,"")</x:f>
        <x:v>0.003257254600001147</x:v>
      </x:c>
    </x:row>
    <x:row r="424" ht="19" customHeight="1">
      <x:c r="A424" s="7" t="n">
        <x:f>'Monthly data'!A424</x:f>
        <x:v>45717</x:v>
      </x:c>
      <x:c r="B424" s="8" t="n">
        <x:f>IF(ISNUMBER('Monthly data'!F424),LN(1+'Monthly data'!F424),"")</x:f>
        <x:v>5.241323645027916</x:v>
      </x:c>
      <x:c r="C424" s="8" t="n">
        <x:f>IF(ISNUMBER('Monthly data'!G424),LN(1+'Monthly data'!G424),"")</x:f>
        <x:v>4.0764402320193565</x:v>
      </x:c>
      <x:c r="D424" s="8" t="n">
        <x:f>IF(ISNUMBER('Monthly data'!H424),LN(1+'Monthly data'!H424),"")</x:f>
        <x:v>4.341376500384811</x:v>
      </x:c>
      <x:c r="E424" s="8" t="n">
        <x:f>IF(ISNUMBER('Monthly data'!I424),LN(1+'Monthly data'!I424),"")</x:f>
        <x:v>1.441279581952234</x:v>
      </x:c>
      <x:c r="F424" s="8" t="n">
        <x:f>IF(ISNUMBER('Monthly data'!J424),LN(1+'Monthly data'!J424),"")</x:f>
        <x:v>2.349153743809865</x:v>
      </x:c>
      <x:c r="G424" s="8" t="n">
        <x:f>IF(ISNUMBER('Monthly data'!K424),LN(1+'Monthly data'!K424),"")</x:f>
        <x:v>1.2868054626191483</x:v>
      </x:c>
      <x:c r="H424" s="8" t="n">
        <x:f>IF(ISNUMBER('Monthly data'!L424),LN(1+'Monthly data'!L424),"")</x:f>
        <x:v>0.8228587870816026</x:v>
      </x:c>
      <x:c r="I424" s="8" t="n">
        <x:f>IF(ISNUMBER('Monthly data'!M424),LN(1+'Monthly data'!M424),"")</x:f>
        <x:v>3.0896596795853504</x:v>
      </x:c>
      <x:c r="J424" s="8" t="n">
        <x:f>IF(ISNUMBER('Monthly data'!N424),LN(1+'Monthly data'!N424),"")</x:f>
        <x:v>2.8679500371003233</x:v>
      </x:c>
      <x:c r="K424" s="8" t="n">
        <x:f>IF(COUNT('Monthly data'!F422:F424)=3,'Monthly data'!F424-2*'Monthly data'!F423+'Monthly data'!F422,"")</x:f>
        <x:v>-6.8799999999999955</x:v>
      </x:c>
      <x:c r="L424" s="8" t="n">
        <x:f>IF(COUNT('Monthly data'!G422:G424)=3,'Monthly data'!G424-2*'Monthly data'!G423+'Monthly data'!G422,"")</x:f>
        <x:v>20.765900000000002</x:v>
      </x:c>
      <x:c r="M424" s="8" t="n">
        <x:f>IF(COUNT('Monthly data'!H422:H424)=3,'Monthly data'!H424-2*'Monthly data'!H423+'Monthly data'!H422,"")</x:f>
        <x:v>-45.65070000000001</x:v>
      </x:c>
      <x:c r="N424" s="8" t="n">
        <x:f>IF(COUNT('Monthly data'!I422:I424)=3,'Monthly data'!I424-2*'Monthly data'!I423+'Monthly data'!I422,"")</x:f>
        <x:v>2.1587999999999994</x:v>
      </x:c>
      <x:c r="O424" s="8" t="n">
        <x:f>IF(COUNT('Monthly data'!J422:J424)=3,'Monthly data'!J424-2*'Monthly data'!J423+'Monthly data'!J422,"")</x:f>
        <x:v>11.6296</x:v>
      </x:c>
      <x:c r="P424" s="8" t="n">
        <x:f>IF(COUNT('Monthly data'!K422:K424)=3,'Monthly data'!K424-2*'Monthly data'!K423+'Monthly data'!K422,"")</x:f>
        <x:v>1.4313000000000002</x:v>
      </x:c>
      <x:c r="Q424" s="8" t="n">
        <x:f>IF(COUNT('Monthly data'!L422:L424)=3,'Monthly data'!L424-2*'Monthly data'!L423+'Monthly data'!L422,"")</x:f>
        <x:v>0.3796999999999999</x:v>
      </x:c>
      <x:c r="R424" s="8" t="n">
        <x:f>IF(COUNT('Monthly data'!M422:M424)=3,'Monthly data'!M424-2*'Monthly data'!M423+'Monthly data'!M422,"")</x:f>
        <x:v>2.2315000000000023</x:v>
      </x:c>
      <x:c r="S424" s="8" t="n">
        <x:f>IF(COUNT('Monthly data'!N422:N424)=3,'Monthly data'!N424-2*'Monthly data'!N423+'Monthly data'!N422,"")</x:f>
        <x:v>0.1741000000000028</x:v>
      </x:c>
      <x:c r="T424" s="8" t="n">
        <x:f>IF(COUNT('Monthly data'!E423:E424)=2,'Monthly data'!E424-'Monthly data'!E423,"")</x:f>
        <x:v>0.013528997699999934</x:v>
      </x:c>
    </x:row>
    <x:row r="425" ht="19" customHeight="1">
      <x:c r="A425" s="7" t="n">
        <x:f>'Monthly data'!A425</x:f>
        <x:v>45748</x:v>
      </x:c>
      <x:c r="B425" s="8" t="n">
        <x:f>IF(ISNUMBER('Monthly data'!F425),LN(1+'Monthly data'!F425),"")</x:f>
        <x:v>5.196450740144466</x:v>
      </x:c>
      <x:c r="C425" s="8" t="n">
        <x:f>IF(ISNUMBER('Monthly data'!G425),LN(1+'Monthly data'!G425),"")</x:f>
        <x:v>3.88226252285049</x:v>
      </x:c>
      <x:c r="D425" s="8" t="n">
        <x:f>IF(ISNUMBER('Monthly data'!H425),LN(1+'Monthly data'!H425),"")</x:f>
        <x:v>3.9930000457077686</x:v>
      </x:c>
      <x:c r="E425" s="8" t="n">
        <x:f>IF(ISNUMBER('Monthly data'!I425),LN(1+'Monthly data'!I425),"")</x:f>
        <x:v>2.0913207042099136</x:v>
      </x:c>
      <x:c r="F425" s="8" t="n">
        <x:f>IF(ISNUMBER('Monthly data'!J425),LN(1+'Monthly data'!J425),"")</x:f>
        <x:v>1.6622580406174732</x:v>
      </x:c>
      <x:c r="G425" s="8" t="n">
        <x:f>IF(ISNUMBER('Monthly data'!K425),LN(1+'Monthly data'!K425),"")</x:f>
        <x:v>1.4760436532634988</x:v>
      </x:c>
      <x:c r="H425" s="8" t="n">
        <x:f>IF(ISNUMBER('Monthly data'!L425),LN(1+'Monthly data'!L425),"")</x:f>
        <x:v>1.0746269259175985</x:v>
      </x:c>
      <x:c r="I425" s="8" t="n">
        <x:f>IF(ISNUMBER('Monthly data'!M425),LN(1+'Monthly data'!M425),"")</x:f>
        <x:v>3.9005474119531214</x:v>
      </x:c>
      <x:c r="J425" s="8" t="n">
        <x:f>IF(ISNUMBER('Monthly data'!N425),LN(1+'Monthly data'!N425),"")</x:f>
        <x:v>2.693132821528024</x:v>
      </x:c>
      <x:c r="K425" s="8" t="n">
        <x:f>IF(COUNT('Monthly data'!F423:F425)=3,'Monthly data'!F425-2*'Monthly data'!F424+'Monthly data'!F423,"")</x:f>
        <x:v>-14.419999999999987</x:v>
      </x:c>
      <x:c r="L425" s="8" t="n">
        <x:f>IF(COUNT('Monthly data'!G423:G425)=3,'Monthly data'!G425-2*'Monthly data'!G424+'Monthly data'!G423,"")</x:f>
        <x:v>-19.859399999999994</x:v>
      </x:c>
      <x:c r="M425" s="8" t="n">
        <x:f>IF(COUNT('Monthly data'!H423:H425)=3,'Monthly data'!H425-2*'Monthly data'!H424+'Monthly data'!H423,"")</x:f>
        <x:v>-12.532799999999995</x:v>
      </x:c>
      <x:c r="N425" s="8" t="n">
        <x:f>IF(COUNT('Monthly data'!I423:I425)=3,'Monthly data'!I425-2*'Monthly data'!I424+'Monthly data'!I423,"")</x:f>
        <x:v>10.457799999999999</x:v>
      </x:c>
      <x:c r="O425" s="8" t="n">
        <x:f>IF(COUNT('Monthly data'!J423:J425)=3,'Monthly data'!J425-2*'Monthly data'!J424+'Monthly data'!J423,"")</x:f>
        <x:v>-12.377299999999998</x:v>
      </x:c>
      <x:c r="P425" s="8" t="n">
        <x:f>IF(COUNT('Monthly data'!K423:K425)=3,'Monthly data'!K425-2*'Monthly data'!K424+'Monthly data'!K423,"")</x:f>
        <x:v>-0.15670000000000006</x:v>
      </x:c>
      <x:c r="Q425" s="8" t="n">
        <x:f>IF(COUNT('Monthly data'!L423:L425)=3,'Monthly data'!L425-2*'Monthly data'!L424+'Monthly data'!L423,"")</x:f>
        <x:v>1.0106000000000002</x:v>
      </x:c>
      <x:c r="R425" s="8" t="n">
        <x:f>IF(COUNT('Monthly data'!M423:M425)=3,'Monthly data'!M425-2*'Monthly data'!M424+'Monthly data'!M423,"")</x:f>
        <x:v>21.434999999999995</x:v>
      </x:c>
      <x:c r="S425" s="8" t="n">
        <x:f>IF(COUNT('Monthly data'!N423:N425)=3,'Monthly data'!N425-2*'Monthly data'!N424+'Monthly data'!N423,"")</x:f>
        <x:v>-2.3973999999999975</x:v>
      </x:c>
      <x:c r="T425" s="8" t="n">
        <x:f>IF(COUNT('Monthly data'!E424:E425)=2,'Monthly data'!E425-'Monthly data'!E424,"")</x:f>
        <x:v>-0.0067583494000000854</x:v>
      </x:c>
    </x:row>
    <x:row r="426" ht="19" customHeight="1">
      <x:c r="A426" s="7" t="n">
        <x:f>'Monthly data'!A426</x:f>
        <x:v>45778</x:v>
      </x:c>
      <x:c r="B426" s="8" t="n">
        <x:f>IF(ISNUMBER('Monthly data'!F426),LN(1+'Monthly data'!F426),"")</x:f>
        <x:v>5.158940350079394</x:v>
      </x:c>
      <x:c r="C426" s="8" t="n">
        <x:f>IF(ISNUMBER('Monthly data'!G426),LN(1+'Monthly data'!G426),"")</x:f>
        <x:v>4.150759551642434</x:v>
      </x:c>
      <x:c r="D426" s="8" t="n">
        <x:f>IF(ISNUMBER('Monthly data'!H426),LN(1+'Monthly data'!H426),"")</x:f>
        <x:v>4.072931939578673</x:v>
      </x:c>
      <x:c r="E426" s="8" t="n">
        <x:f>IF(ISNUMBER('Monthly data'!I426),LN(1+'Monthly data'!I426),"")</x:f>
        <x:v>2.605485772746385</x:v>
      </x:c>
      <x:c r="F426" s="8" t="n">
        <x:f>IF(ISNUMBER('Monthly data'!J426),LN(1+'Monthly data'!J426),"")</x:f>
        <x:v>1.4760436532634988</x:v>
      </x:c>
      <x:c r="G426" s="8" t="n">
        <x:f>IF(ISNUMBER('Monthly data'!K426),LN(1+'Monthly data'!K426),"")</x:f>
        <x:v>0.8947401778437105</x:v>
      </x:c>
      <x:c r="H426" s="8" t="n">
        <x:f>IF(ISNUMBER('Monthly data'!L426),LN(1+'Monthly data'!L426),"")</x:f>
        <x:v>0.18788936109741813</x:v>
      </x:c>
      <x:c r="I426" s="8" t="n">
        <x:f>IF(ISNUMBER('Monthly data'!M426),LN(1+'Monthly data'!M426),"")</x:f>
        <x:v>2.90641460274849</x:v>
      </x:c>
      <x:c r="J426" s="8" t="n">
        <x:f>IF(ISNUMBER('Monthly data'!N426),LN(1+'Monthly data'!N426),"")</x:f>
        <x:v>2.939749051258816</x:v>
      </x:c>
      <x:c r="K426" s="8" t="n">
        <x:f>IF(COUNT('Monthly data'!F424:F426)=3,'Monthly data'!F426-2*'Monthly data'!F425+'Monthly data'!F424,"")</x:f>
        <x:v>1.6399999999999864</x:v>
      </x:c>
      <x:c r="L426" s="8" t="n">
        <x:f>IF(COUNT('Monthly data'!G424:G426)=3,'Monthly data'!G426-2*'Monthly data'!G425+'Monthly data'!G424,"")</x:f>
        <x:v>25.34969999999999</x:v>
      </x:c>
      <x:c r="M426" s="8" t="n">
        <x:f>IF(COUNT('Monthly data'!H424:H426)=3,'Monthly data'!H426-2*'Monthly data'!H425+'Monthly data'!H424,"")</x:f>
        <x:v>27.107499999999995</x:v>
      </x:c>
      <x:c r="N426" s="8" t="n">
        <x:f>IF(COUNT('Monthly data'!I424:I426)=3,'Monthly data'!I426-2*'Monthly data'!I425+'Monthly data'!I424,"")</x:f>
        <x:v>1.5727000000000007</x:v>
      </x:c>
      <x:c r="O426" s="8" t="n">
        <x:f>IF(COUNT('Monthly data'!J424:J426)=3,'Monthly data'!J426-2*'Monthly data'!J425+'Monthly data'!J424,"")</x:f>
        <x:v>4.309899999999999</x:v>
      </x:c>
      <x:c r="P426" s="8" t="n">
        <x:f>IF(COUNT('Monthly data'!K424:K426)=3,'Monthly data'!K426-2*'Monthly data'!K425+'Monthly data'!K424,"")</x:f>
        <x:v>-2.6833</x:v>
      </x:c>
      <x:c r="Q426" s="8" t="n">
        <x:f>IF(COUNT('Monthly data'!L424:L426)=3,'Monthly data'!L426-2*'Monthly data'!L425+'Monthly data'!L424,"")</x:f>
        <x:v>-2.3741000000000003</x:v>
      </x:c>
      <x:c r="R426" s="8" t="n">
        <x:f>IF(COUNT('Monthly data'!M424:M426)=3,'Monthly data'!M426-2*'Monthly data'!M425+'Monthly data'!M424,"")</x:f>
        <x:v>-58.598299999999995</x:v>
      </x:c>
      <x:c r="S426" s="8" t="n">
        <x:f>IF(COUNT('Monthly data'!N424:N426)=3,'Monthly data'!N426-2*'Monthly data'!N425+'Monthly data'!N424,"")</x:f>
        <x:v>6.956199999999999</x:v>
      </x:c>
      <x:c r="T426" s="8" t="n">
        <x:f>IF(COUNT('Monthly data'!E425:E426)=2,'Monthly data'!E426-'Monthly data'!E425,"")</x:f>
        <x:v>0.0010824483000000384</x:v>
      </x:c>
    </x:row>
    <x:row r="427" ht="19" customHeight="1">
      <x:c r="A427" s="7" t="n">
        <x:f>'Monthly data'!A427</x:f>
        <x:v>45809</x:v>
      </x:c>
      <x:c r="B427" s="8" t="n">
        <x:f>IF(ISNUMBER('Monthly data'!F427),LN(1+'Monthly data'!F427),"")</x:f>
        <x:v>5.364526366658372</x:v>
      </x:c>
      <x:c r="C427" s="8" t="n">
        <x:f>IF(ISNUMBER('Monthly data'!G427),LN(1+'Monthly data'!G427),"")</x:f>
        <x:v>4.78047635908814</x:v>
      </x:c>
      <x:c r="D427" s="8" t="n">
        <x:f>IF(ISNUMBER('Monthly data'!H427),LN(1+'Monthly data'!H427),"")</x:f>
        <x:v>3.7759558289911577</x:v>
      </x:c>
      <x:c r="E427" s="8" t="n">
        <x:f>IF(ISNUMBER('Monthly data'!I427),LN(1+'Monthly data'!I427),"")</x:f>
        <x:v>2.7655389307522547</x:v>
      </x:c>
      <x:c r="F427" s="8" t="n">
        <x:f>IF(ISNUMBER('Monthly data'!J427),LN(1+'Monthly data'!J427),"")</x:f>
        <x:v>1.9861605516766108</x:v>
      </x:c>
      <x:c r="G427" s="8" t="n">
        <x:f>IF(ISNUMBER('Monthly data'!K427),LN(1+'Monthly data'!K427),"")</x:f>
        <x:v>1.8706476645547665</x:v>
      </x:c>
      <x:c r="H427" s="8" t="n">
        <x:f>IF(ISNUMBER('Monthly data'!L427),LN(1+'Monthly data'!L427),"")</x:f>
        <x:v>0.253944300466922</x:v>
      </x:c>
      <x:c r="I427" s="8" t="n">
        <x:f>IF(ISNUMBER('Monthly data'!M427),LN(1+'Monthly data'!M427),"")</x:f>
        <x:v>2.2841053902471753</x:v>
      </x:c>
      <x:c r="J427" s="8" t="n">
        <x:f>IF(ISNUMBER('Monthly data'!N427),LN(1+'Monthly data'!N427),"")</x:f>
        <x:v>2.8400253834594262</x:v>
      </x:c>
      <x:c r="K427" s="8" t="n">
        <x:f>IF(COUNT('Monthly data'!F425:F427)=3,'Monthly data'!F427-2*'Monthly data'!F426+'Monthly data'!F425,"")</x:f>
        <x:v>46.360000000000014</x:v>
      </x:c>
      <x:c r="L427" s="8" t="n">
        <x:f>IF(COUNT('Monthly data'!G425:G427)=3,'Monthly data'!G427-2*'Monthly data'!G426+'Monthly data'!G425,"")</x:f>
        <x:v>40.73060000000001</x:v>
      </x:c>
      <x:c r="M427" s="8" t="n">
        <x:f>IF(COUNT('Monthly data'!H425:H427)=3,'Monthly data'!H427-2*'Monthly data'!H426+'Monthly data'!H425,"")</x:f>
        <x:v>-19.601300000000002</x:v>
      </x:c>
      <x:c r="N427" s="8" t="n">
        <x:f>IF(COUNT('Monthly data'!I425:I427)=3,'Monthly data'!I427-2*'Monthly data'!I426+'Monthly data'!I425,"")</x:f>
        <x:v>-3.0924000000000005</x:v>
      </x:c>
      <x:c r="O427" s="8" t="n">
        <x:f>IF(COUNT('Monthly data'!J425:J427)=3,'Monthly data'!J427-2*'Monthly data'!J426+'Monthly data'!J425,"")</x:f>
        <x:v>3.8075</x:v>
      </x:c>
      <x:c r="P427" s="8" t="n">
        <x:f>IF(COUNT('Monthly data'!K425:K427)=3,'Monthly data'!K427-2*'Monthly data'!K426+'Monthly data'!K425,"")</x:f>
        <x:v>5.9746999999999995</x:v>
      </x:c>
      <x:c r="Q427" s="8" t="n">
        <x:f>IF(COUNT('Monthly data'!L425:L427)=3,'Monthly data'!L427-2*'Monthly data'!L426+'Monthly data'!L425,"")</x:f>
        <x:v>1.8046000000000002</x:v>
      </x:c>
      <x:c r="R427" s="8" t="n">
        <x:f>IF(COUNT('Monthly data'!M425:M427)=3,'Monthly data'!M427-2*'Monthly data'!M426+'Monthly data'!M425,"")</x:f>
        <x:v>22.664199999999997</x:v>
      </x:c>
      <x:c r="S427" s="8" t="n">
        <x:f>IF(COUNT('Monthly data'!N425:N427)=3,'Monthly data'!N427-2*'Monthly data'!N426+'Monthly data'!N425,"")</x:f>
        <x:v>-5.928100000000002</x:v>
      </x:c>
      <x:c r="T427" s="8" t="n">
        <x:f>IF(COUNT('Monthly data'!E426:E427)=2,'Monthly data'!E427-'Monthly data'!E426,"")</x:f>
        <x:v>0.013019287599998819</x:v>
      </x:c>
    </x:row>
    <x:row r="428" ht="19" customHeight="1">
      <x:c r="A428" s="7" t="n">
        <x:f>'Monthly data'!A428</x:f>
        <x:v>45839</x:v>
      </x:c>
      <x:c r="B428" s="8" t="n">
        <x:f>IF(ISNUMBER('Monthly data'!F428),LN(1+'Monthly data'!F428),"")</x:f>
        <x:v>5.0271645960474665</x:v>
      </x:c>
      <x:c r="C428" s="8" t="n">
        <x:f>IF(ISNUMBER('Monthly data'!G428),LN(1+'Monthly data'!G428),"")</x:f>
        <x:v>4.140474047064315</x:v>
      </x:c>
      <x:c r="D428" s="8" t="n">
        <x:f>IF(ISNUMBER('Monthly data'!H428),LN(1+'Monthly data'!H428),"")</x:f>
        <x:v>3.7466694740043383</x:v>
      </x:c>
      <x:c r="E428" s="8" t="n">
        <x:f>IF(ISNUMBER('Monthly data'!I428),LN(1+'Monthly data'!I428),"")</x:f>
        <x:v>2.09323349394822</x:v>
      </x:c>
      <x:c r="F428" s="8" t="n">
        <x:f>IF(ISNUMBER('Monthly data'!J428),LN(1+'Monthly data'!J428),"")</x:f>
        <x:v>1.7237125787313918</x:v>
      </x:c>
      <x:c r="G428" s="8" t="n">
        <x:f>IF(ISNUMBER('Monthly data'!K428),LN(1+'Monthly data'!K428),"")</x:f>
        <x:v>0.9391084171546009</x:v>
      </x:c>
      <x:c r="H428" s="8" t="n">
        <x:f>IF(ISNUMBER('Monthly data'!L428),LN(1+'Monthly data'!L428),"")</x:f>
        <x:v>0</x:v>
      </x:c>
      <x:c r="I428" s="8" t="n">
        <x:f>IF(ISNUMBER('Monthly data'!M428),LN(1+'Monthly data'!M428),"")</x:f>
        <x:v>2.7047982525779353</x:v>
      </x:c>
      <x:c r="J428" s="8" t="n">
        <x:f>IF(ISNUMBER('Monthly data'!N428),LN(1+'Monthly data'!N428),"")</x:f>
        <x:v>3.09387480210534</x:v>
      </x:c>
      <x:c r="K428" s="8" t="n">
        <x:f>IF(COUNT('Monthly data'!F426:F428)=3,'Monthly data'!F428-2*'Monthly data'!F427+'Monthly data'!F426,"")</x:f>
        <x:v>-100.9</x:v>
      </x:c>
      <x:c r="L428" s="8" t="n">
        <x:f>IF(COUNT('Monthly data'!G426:G428)=3,'Monthly data'!G428-2*'Monthly data'!G427+'Monthly data'!G426,"")</x:f>
        <x:v>-112.00739999999999</x:v>
      </x:c>
      <x:c r="M428" s="8" t="n">
        <x:f>IF(COUNT('Monthly data'!H426:H428)=3,'Monthly data'!H428-2*'Monthly data'!H427+'Monthly data'!H426,"")</x:f>
        <x:v>13.830199999999998</x:v>
      </x:c>
      <x:c r="N428" s="8" t="n">
        <x:f>IF(COUNT('Monthly data'!I426:I428)=3,'Monthly data'!I428-2*'Monthly data'!I427+'Monthly data'!I426,"")</x:f>
        <x:v>-10.1263</x:v>
      </x:c>
      <x:c r="O428" s="8" t="n">
        <x:f>IF(COUNT('Monthly data'!J426:J428)=3,'Monthly data'!J428-2*'Monthly data'!J427+'Monthly data'!J426,"")</x:f>
        <x:v>-4.594099999999999</x:v>
      </x:c>
      <x:c r="P428" s="8" t="n">
        <x:f>IF(COUNT('Monthly data'!K426:K428)=3,'Monthly data'!K428-2*'Monthly data'!K427+'Monthly data'!K426,"")</x:f>
        <x:v>-7.980599999999999</x:v>
      </x:c>
      <x:c r="Q428" s="8" t="n">
        <x:f>IF(COUNT('Monthly data'!L426:L428)=3,'Monthly data'!L428-2*'Monthly data'!L427+'Monthly data'!L426,"")</x:f>
        <x:v>-0.37150000000000005</x:v>
      </x:c>
      <x:c r="R428" s="8" t="n">
        <x:f>IF(COUNT('Monthly data'!M426:M428)=3,'Monthly data'!M428-2*'Monthly data'!M427+'Monthly data'!M426,"")</x:f>
        <x:v>13.6086</x:v>
      </x:c>
      <x:c r="S428" s="8" t="n">
        <x:f>IF(COUNT('Monthly data'!N426:N428)=3,'Monthly data'!N428-2*'Monthly data'!N427+'Monthly data'!N426,"")</x:f>
        <x:v>6.741100000000003</x:v>
      </x:c>
      <x:c r="T428" s="8" t="n">
        <x:f>IF(COUNT('Monthly data'!E427:E428)=2,'Monthly data'!E428-'Monthly data'!E427,"")</x:f>
        <x:v>0.004809798000000143</x:v>
      </x:c>
    </x:row>
    <x:row r="429" ht="19" customHeight="1">
      <x:c r="A429" s="7" t="n">
        <x:f>'Monthly data'!A429</x:f>
        <x:v>45870</x:v>
      </x:c>
      <x:c r="B429" s="8" t="n">
        <x:f>IF(ISNUMBER('Monthly data'!F429),LN(1+'Monthly data'!F429),"")</x:f>
        <x:v>5.043941112802728</x:v>
      </x:c>
      <x:c r="C429" s="8" t="n">
        <x:f>IF(ISNUMBER('Monthly data'!G429),LN(1+'Monthly data'!G429),"")</x:f>
        <x:v>4.125198641734587</x:v>
      </x:c>
      <x:c r="D429" s="8" t="n">
        <x:f>IF(ISNUMBER('Monthly data'!H429),LN(1+'Monthly data'!H429),"")</x:f>
        <x:v>3.9046982447470193</x:v>
      </x:c>
      <x:c r="E429" s="8" t="n">
        <x:f>IF(ISNUMBER('Monthly data'!I429),LN(1+'Monthly data'!I429),"")</x:f>
        <x:v>2.0220375094428644</x:v>
      </x:c>
      <x:c r="F429" s="8" t="n">
        <x:f>IF(ISNUMBER('Monthly data'!J429),LN(1+'Monthly data'!J429),"")</x:f>
        <x:v>1.4612394827661739</x:v>
      </x:c>
      <x:c r="G429" s="8" t="n">
        <x:f>IF(ISNUMBER('Monthly data'!K429),LN(1+'Monthly data'!K429),"")</x:f>
        <x:v>1.4612394827661739</x:v>
      </x:c>
      <x:c r="H429" s="8" t="n">
        <x:f>IF(ISNUMBER('Monthly data'!L429),LN(1+'Monthly data'!L429),"")</x:f>
        <x:v>0.6401682557690587</x:v>
      </x:c>
      <x:c r="I429" s="8" t="n">
        <x:f>IF(ISNUMBER('Monthly data'!M429),LN(1+'Monthly data'!M429),"")</x:f>
        <x:v>2.717478943806712</x:v>
      </x:c>
      <x:c r="J429" s="8" t="n">
        <x:f>IF(ISNUMBER('Monthly data'!N429),LN(1+'Monthly data'!N429),"")</x:f>
        <x:v>2.8535752151770937</x:v>
      </x:c>
      <x:c r="K429" s="8" t="n">
        <x:f>IF(COUNT('Monthly data'!F427:F429)=3,'Monthly data'!F429-2*'Monthly data'!F428+'Monthly data'!F427,"")</x:f>
        <x:v>63.77000000000001</x:v>
      </x:c>
      <x:c r="L429" s="8" t="n">
        <x:f>IF(COUNT('Monthly data'!G427:G429)=3,'Monthly data'!G429-2*'Monthly data'!G428+'Monthly data'!G427,"")</x:f>
        <x:v>55.376000000000005</x:v>
      </x:c>
      <x:c r="M429" s="8" t="n">
        <x:f>IF(COUNT('Monthly data'!H427:H429)=3,'Monthly data'!H429-2*'Monthly data'!H428+'Monthly data'!H427,"")</x:f>
        <x:v>8.514900000000004</x:v>
      </x:c>
      <x:c r="N429" s="8" t="n">
        <x:f>IF(COUNT('Monthly data'!I427:I429)=3,'Monthly data'!I429-2*'Monthly data'!I428+'Monthly data'!I427,"")</x:f>
        <x:v>7.2191</x:v>
      </x:c>
      <x:c r="O429" s="8" t="n">
        <x:f>IF(COUNT('Monthly data'!J427:J429)=3,'Monthly data'!J429-2*'Monthly data'!J428+'Monthly data'!J427,"")</x:f>
        <x:v>0.3882000000000003</x:v>
      </x:c>
      <x:c r="P429" s="8" t="n">
        <x:f>IF(COUNT('Monthly data'!K427:K429)=3,'Monthly data'!K429-2*'Monthly data'!K428+'Monthly data'!K427,"")</x:f>
        <x:v>5.6884</x:v>
      </x:c>
      <x:c r="Q429" s="8" t="n">
        <x:f>IF(COUNT('Monthly data'!L427:L429)=3,'Monthly data'!L429-2*'Monthly data'!L428+'Monthly data'!L427,"")</x:f>
        <x:v>1.1859000000000002</x:v>
      </x:c>
      <x:c r="R429" s="8" t="n">
        <x:f>IF(COUNT('Monthly data'!M427:M429)=3,'Monthly data'!M429-2*'Monthly data'!M428+'Monthly data'!M427,"")</x:f>
        <x:v>-4.9436</x:v>
      </x:c>
      <x:c r="S429" s="8" t="n">
        <x:f>IF(COUNT('Monthly data'!N427:N429)=3,'Monthly data'!N429-2*'Monthly data'!N428+'Monthly data'!N427,"")</x:f>
        <x:v>-9.658900000000003</x:v>
      </x:c>
      <x:c r="T429" s="8" t="n">
        <x:f>IF(COUNT('Monthly data'!E428:E429)=2,'Monthly data'!E429-'Monthly data'!E428,"")</x:f>
        <x:v>0.005663917399999718</x:v>
      </x:c>
    </x:row>
    <x:row r="430" ht="19" customHeight="1">
      <x:c r="A430" s="7" t="n">
        <x:f>'Monthly data'!A430</x:f>
        <x:v>45901</x:v>
      </x:c>
      <x:c r="B430" s="8" t="n">
        <x:f>IF(ISNUMBER('Monthly data'!F430),LN(1+'Monthly data'!F430),"")</x:f>
        <x:v>5.10842724025413</x:v>
      </x:c>
      <x:c r="C430" s="8" t="n">
        <x:f>IF(ISNUMBER('Monthly data'!G430),LN(1+'Monthly data'!G430),"")</x:f>
        <x:v>4.174888682628798</x:v>
      </x:c>
      <x:c r="D430" s="8" t="n">
        <x:f>IF(ISNUMBER('Monthly data'!H430),LN(1+'Monthly data'!H430),"")</x:f>
        <x:v>3.930809430290979</x:v>
      </x:c>
      <x:c r="E430" s="8" t="n">
        <x:f>IF(ISNUMBER('Monthly data'!I430),LN(1+'Monthly data'!I430),"")</x:f>
        <x:v>2.951675887357071</x:v>
      </x:c>
      <x:c r="F430" s="8" t="n">
        <x:f>IF(ISNUMBER('Monthly data'!J430),LN(1+'Monthly data'!J430),"")</x:f>
        <x:v>2.00931409823804</x:v>
      </x:c>
      <x:c r="G430" s="8" t="n">
        <x:f>IF(ISNUMBER('Monthly data'!K430),LN(1+'Monthly data'!K430),"")</x:f>
        <x:v>1.1839639557676134</x:v>
      </x:c>
      <x:c r="H430" s="8" t="n">
        <x:f>IF(ISNUMBER('Monthly data'!L430),LN(1+'Monthly data'!L430),"")</x:f>
        <x:v>1.4581032638663236</x:v>
      </x:c>
      <x:c r="I430" s="8" t="n">
        <x:f>IF(ISNUMBER('Monthly data'!M430),LN(1+'Monthly data'!M430),"")</x:f>
        <x:v>2.105840015534367</x:v>
      </x:c>
      <x:c r="J430" s="8" t="n">
        <x:f>IF(ISNUMBER('Monthly data'!N430),LN(1+'Monthly data'!N430),"")</x:f>
        <x:v>2.642899937332709</x:v>
      </x:c>
      <x:c r="K430" s="8" t="n">
        <x:f>IF(COUNT('Monthly data'!F428:F430)=3,'Monthly data'!F430-2*'Monthly data'!F429+'Monthly data'!F428,"")</x:f>
        <x:v>7.749999999999972</x:v>
      </x:c>
      <x:c r="L430" s="8" t="n">
        <x:f>IF(COUNT('Monthly data'!G428:G430)=3,'Monthly data'!G430-2*'Monthly data'!G429+'Monthly data'!G428,"")</x:f>
        <x:v>4.105000000000004</x:v>
      </x:c>
      <x:c r="M430" s="8" t="n">
        <x:f>IF(COUNT('Monthly data'!H428:H430)=3,'Monthly data'!H430-2*'Monthly data'!H429+'Monthly data'!H428,"")</x:f>
        <x:v>-5.942300000000003</x:v>
      </x:c>
      <x:c r="N430" s="8" t="n">
        <x:f>IF(COUNT('Monthly data'!I428:I430)=3,'Monthly data'!I430-2*'Monthly data'!I429+'Monthly data'!I428,"")</x:f>
        <x:v>12.141700000000002</x:v>
      </x:c>
      <x:c r="O430" s="8" t="n">
        <x:f>IF(COUNT('Monthly data'!J428:J430)=3,'Monthly data'!J430-2*'Monthly data'!J429+'Monthly data'!J428,"")</x:f>
        <x:v>4.440899999999999</x:v>
      </x:c>
      <x:c r="P430" s="8" t="n">
        <x:f>IF(COUNT('Monthly data'!K428:K430)=3,'Monthly data'!K430-2*'Monthly data'!K429+'Monthly data'!K428,"")</x:f>
        <x:v>-2.7975999999999996</x:v>
      </x:c>
      <x:c r="Q430" s="8" t="n">
        <x:f>IF(COUNT('Monthly data'!L428:L430)=3,'Monthly data'!L430-2*'Monthly data'!L429+'Monthly data'!L428,"")</x:f>
        <x:v>1.5042</x:v>
      </x:c>
      <x:c r="R430" s="8" t="n">
        <x:f>IF(COUNT('Monthly data'!M428:M430)=3,'Monthly data'!M430-2*'Monthly data'!M429+'Monthly data'!M428,"")</x:f>
        <x:v>-7.1189</x:v>
      </x:c>
      <x:c r="S430" s="8" t="n">
        <x:f>IF(COUNT('Monthly data'!N428:N430)=3,'Monthly data'!N430-2*'Monthly data'!N429+'Monthly data'!N428,"")</x:f>
        <x:v>1.4169000000000018</x:v>
      </x:c>
      <x:c r="T430" s="8" t="n">
        <x:f>IF(COUNT('Monthly data'!E429:E430)=2,'Monthly data'!E430-'Monthly data'!E429,"")</x:f>
        <x:v>0.01310678090000117</x:v>
      </x:c>
    </x:row>
    <x:row r="431" ht="19" customHeight="1">
      <x:c r="A431" s="7" t="n">
        <x:f>'Monthly data'!A431</x:f>
        <x:v>45931</x:v>
      </x:c>
      <x:c r="B431" s="8" t="n">
        <x:f>IF(ISNUMBER('Monthly data'!F431),LN(1+'Monthly data'!F431),"")</x:f>
        <x:v>5.170086188650955</x:v>
      </x:c>
      <x:c r="C431" s="8" t="n">
        <x:f>IF(ISNUMBER('Monthly data'!G431),LN(1+'Monthly data'!G431),"")</x:f>
        <x:v>4.283986481881956</x:v>
      </x:c>
      <x:c r="D431" s="8" t="n">
        <x:f>IF(ISNUMBER('Monthly data'!H431),LN(1+'Monthly data'!H431),"")</x:f>
        <x:v>3.8940097362753945</x:v>
      </x:c>
      <x:c r="E431" s="8" t="n">
        <x:f>IF(ISNUMBER('Monthly data'!I431),LN(1+'Monthly data'!I431),"")</x:f>
        <x:v>2.2941697833926984</x:v>
      </x:c>
      <x:c r="F431" s="8" t="n">
        <x:f>IF(ISNUMBER('Monthly data'!J431),LN(1+'Monthly data'!J431),"")</x:f>
        <x:v>1.767688746557389</x:v>
      </x:c>
      <x:c r="G431" s="8" t="n">
        <x:f>IF(ISNUMBER('Monthly data'!K431),LN(1+'Monthly data'!K431),"")</x:f>
        <x:v>1.6470997188156886</x:v>
      </x:c>
      <x:c r="H431" s="8" t="n">
        <x:f>IF(ISNUMBER('Monthly data'!L431),LN(1+'Monthly data'!L431),"")</x:f>
        <x:v>1.1618374477231512</x:v>
      </x:c>
      <x:c r="I431" s="8" t="n">
        <x:f>IF(ISNUMBER('Monthly data'!M431),LN(1+'Monthly data'!M431),"")</x:f>
        <x:v>2.732567188515285</x:v>
      </x:c>
      <x:c r="J431" s="8" t="n">
        <x:f>IF(ISNUMBER('Monthly data'!N431),LN(1+'Monthly data'!N431),"")</x:f>
        <x:v>3.080073421987742</x:v>
      </x:c>
      <x:c r="K431" s="8" t="n">
        <x:f>IF(COUNT('Monthly data'!F429:F431)=3,'Monthly data'!F431-2*'Monthly data'!F430+'Monthly data'!F429,"")</x:f>
        <x:v>0.19000000000002615</x:v>
      </x:c>
      <x:c r="L431" s="8" t="n">
        <x:f>IF(COUNT('Monthly data'!G429:G431)=3,'Monthly data'!G431-2*'Monthly data'!G430+'Monthly data'!G429,"")</x:f>
        <x:v>4.343899999999991</x:v>
      </x:c>
      <x:c r="M431" s="8" t="n">
        <x:f>IF(COUNT('Monthly data'!H429:H431)=3,'Monthly data'!H431-2*'Monthly data'!H430+'Monthly data'!H429,"")</x:f>
        <x:v>-3.1539</x:v>
      </x:c>
      <x:c r="N431" s="8" t="n">
        <x:f>IF(COUNT('Monthly data'!I429:I431)=3,'Monthly data'!I431-2*'Monthly data'!I430+'Monthly data'!I429,"")</x:f>
        <x:v>-20.806100000000004</x:v>
      </x:c>
      <x:c r="O431" s="8" t="n">
        <x:f>IF(COUNT('Monthly data'!J429:J431)=3,'Monthly data'!J431-2*'Monthly data'!J430+'Monthly data'!J429,"")</x:f>
        <x:v>-4.747799999999999</x:v>
      </x:c>
      <x:c r="P431" s="8" t="n">
        <x:f>IF(COUNT('Monthly data'!K429:K431)=3,'Monthly data'!K431-2*'Monthly data'!K430+'Monthly data'!K429,"")</x:f>
        <x:v>2.9686000000000003</x:v>
      </x:c>
      <x:c r="Q431" s="8" t="n">
        <x:f>IF(COUNT('Monthly data'!L429:L431)=3,'Monthly data'!L431-2*'Monthly data'!L430+'Monthly data'!L429,"")</x:f>
        <x:v>-3.503</x:v>
      </x:c>
      <x:c r="R431" s="8" t="n">
        <x:f>IF(COUNT('Monthly data'!M429:M431)=3,'Monthly data'!M431-2*'Monthly data'!M430+'Monthly data'!M429,"")</x:f>
        <x:v>14.086399999999998</x:v>
      </x:c>
      <x:c r="S431" s="8" t="n">
        <x:f>IF(COUNT('Monthly data'!N429:N431)=3,'Monthly data'!N431-2*'Monthly data'!N430+'Monthly data'!N429,"")</x:f>
        <x:v>11.0019</x:v>
      </x:c>
      <x:c r="T431" s="8" t="n">
        <x:f>IF(COUNT('Monthly data'!E430:E431)=2,'Monthly data'!E431-'Monthly data'!E430,"")</x:f>
        <x:v>-0.0006324404000004336</x:v>
      </x:c>
    </x:row>
    <x:row r="432" ht="19" customHeight="1">
      <x:c r="A432" s="7" t="n">
        <x:f>'Monthly data'!A432</x:f>
        <x:v>45962</x:v>
      </x:c>
      <x:c r="B432" s="8" t="n">
        <x:f>IF(ISNUMBER('Monthly data'!F432),LN(1+'Monthly data'!F432),"")</x:f>
        <x:v>4.892602227184663</x:v>
      </x:c>
      <x:c r="C432" s="8" t="n">
        <x:f>IF(ISNUMBER('Monthly data'!G432),LN(1+'Monthly data'!G432),"")</x:f>
        <x:v>3.6657592296731334</x:v>
      </x:c>
      <x:c r="D432" s="8" t="n">
        <x:f>IF(ISNUMBER('Monthly data'!H432),LN(1+'Monthly data'!H432),"")</x:f>
        <x:v>3.885609212456278</x:v>
      </x:c>
      <x:c r="E432" s="8" t="n">
        <x:f>IF(ISNUMBER('Monthly data'!I432),LN(1+'Monthly data'!I432),"")</x:f>
        <x:v>2.6546001967218023</x:v>
      </x:c>
      <x:c r="F432" s="8" t="n">
        <x:f>IF(ISNUMBER('Monthly data'!J432),LN(1+'Monthly data'!J432),"")</x:f>
        <x:v>2.0974779041659346</x:v>
      </x:c>
      <x:c r="G432" s="8" t="n">
        <x:f>IF(ISNUMBER('Monthly data'!K432),LN(1+'Monthly data'!K432),"")</x:f>
        <x:v>1.7557004194123524</x:v>
      </x:c>
      <x:c r="H432" s="8" t="n">
        <x:f>IF(ISNUMBER('Monthly data'!L432),LN(1+'Monthly data'!L432),"")</x:f>
        <x:v>0.7284177946418646</x:v>
      </x:c>
      <x:c r="I432" s="8" t="n">
        <x:f>IF(ISNUMBER('Monthly data'!M432),LN(1+'Monthly data'!M432),"")</x:f>
        <x:v>1.780091664360373</x:v>
      </x:c>
      <x:c r="J432" s="8" t="n">
        <x:f>IF(ISNUMBER('Monthly data'!N432),LN(1+'Monthly data'!N432),"")</x:f>
        <x:v>2.7950165770793096</x:v>
      </x:c>
      <x:c r="K432" s="8" t="n">
        <x:f>IF(COUNT('Monthly data'!F430:F432)=3,'Monthly data'!F432-2*'Monthly data'!F431+'Monthly data'!F430,"")</x:f>
        <x:v>-53.150000000000006</x:v>
      </x:c>
      <x:c r="L432" s="8" t="n">
        <x:f>IF(COUNT('Monthly data'!G430:G432)=3,'Monthly data'!G432-2*'Monthly data'!G431+'Monthly data'!G430,"")</x:f>
        <x:v>-40.939599999999984</x:v>
      </x:c>
      <x:c r="M432" s="8" t="n">
        <x:f>IF(COUNT('Monthly data'!H430:H432)=3,'Monthly data'!H432-2*'Monthly data'!H431+'Monthly data'!H430,"")</x:f>
        <x:v>1.4299999999999997</x:v>
      </x:c>
      <x:c r="N432" s="8" t="n">
        <x:f>IF(COUNT('Monthly data'!I430:I432)=3,'Monthly data'!I432-2*'Monthly data'!I431+'Monthly data'!I430,"")</x:f>
        <x:v>13.524900000000002</x:v>
      </x:c>
      <x:c r="O432" s="8" t="n">
        <x:f>IF(COUNT('Monthly data'!J430:J432)=3,'Monthly data'!J432-2*'Monthly data'!J431+'Monthly data'!J430,"")</x:f>
        <x:v>3.889199999999999</x:v>
      </x:c>
      <x:c r="P432" s="8" t="n">
        <x:f>IF(COUNT('Monthly data'!K430:K432)=3,'Monthly data'!K432-2*'Monthly data'!K431+'Monthly data'!K430,"")</x:f>
        <x:v>-1.329000000000001</x:v>
      </x:c>
      <x:c r="Q432" s="8" t="n">
        <x:f>IF(COUNT('Monthly data'!L430:L432)=3,'Monthly data'!L432-2*'Monthly data'!L431+'Monthly data'!L430,"")</x:f>
        <x:v>-0.02200000000000024</x:v>
      </x:c>
      <x:c r="R432" s="8" t="n">
        <x:f>IF(COUNT('Monthly data'!M430:M432)=3,'Monthly data'!M432-2*'Monthly data'!M431+'Monthly data'!M430,"")</x:f>
        <x:v>-16.6002</x:v>
      </x:c>
      <x:c r="S432" s="8" t="n">
        <x:f>IF(COUNT('Monthly data'!N430:N432)=3,'Monthly data'!N432-2*'Monthly data'!N431+'Monthly data'!N430,"")</x:f>
        <x:v>-13.103200000000003</x:v>
      </x:c>
      <x:c r="T432" s="8" t="n">
        <x:f>IF(COUNT('Monthly data'!E431:E432)=2,'Monthly data'!E432-'Monthly data'!E431,"")</x:f>
        <x:v>-0.00035312059999981216</x:v>
      </x:c>
    </x:row>
    <x:row r="433" ht="19" customHeight="1">
      <x:c r="A433" s="7" t="n">
        <x:f>'Monthly data'!A433</x:f>
        <x:v>45992</x:v>
      </x:c>
      <x:c r="B433" s="8" t="n">
        <x:f>IF(ISNUMBER('Monthly data'!F433),LN(1+'Monthly data'!F433),"")</x:f>
        <x:v>5.105460507838699</x:v>
      </x:c>
      <x:c r="C433" s="8" t="n">
        <x:f>IF(ISNUMBER('Monthly data'!G433),LN(1+'Monthly data'!G433),"")</x:f>
        <x:v>4.124902864796729</x:v>
      </x:c>
      <x:c r="D433" s="8" t="n">
        <x:f>IF(ISNUMBER('Monthly data'!H433),LN(1+'Monthly data'!H433),"")</x:f>
        <x:v>3.850151857020154</x:v>
      </x:c>
      <x:c r="E433" s="8" t="n">
        <x:f>IF(ISNUMBER('Monthly data'!I433),LN(1+'Monthly data'!I433),"")</x:f>
        <x:v>3.3091442253270054</x:v>
      </x:c>
      <x:c r="F433" s="8" t="n">
        <x:f>IF(ISNUMBER('Monthly data'!J433),LN(1+'Monthly data'!J433),"")</x:f>
        <x:v>1.4728389625200764</x:v>
      </x:c>
      <x:c r="G433" s="8" t="n">
        <x:f>IF(ISNUMBER('Monthly data'!K433),LN(1+'Monthly data'!K433),"")</x:f>
        <x:v>1.050017105488649</x:v>
      </x:c>
      <x:c r="H433" s="8" t="n">
        <x:f>IF(ISNUMBER('Monthly data'!L433),LN(1+'Monthly data'!L433),"")</x:f>
        <x:v>0.5856733222547124</x:v>
      </x:c>
      <x:c r="I433" s="8" t="n">
        <x:f>IF(ISNUMBER('Monthly data'!M433),LN(1+'Monthly data'!M433),"")</x:f>
        <x:v>2.192948782473431</x:v>
      </x:c>
      <x:c r="J433" s="8" t="n">
        <x:f>IF(ISNUMBER('Monthly data'!N433),LN(1+'Monthly data'!N433),"")</x:f>
        <x:v>2.874654441010651</x:v>
      </x:c>
      <x:c r="K433" s="8" t="n">
        <x:f>IF(COUNT('Monthly data'!F431:F433)=3,'Monthly data'!F433-2*'Monthly data'!F432+'Monthly data'!F431,"")</x:f>
        <x:v>74.24999999999997</x:v>
      </x:c>
      <x:c r="L433" s="8" t="n">
        <x:f>IF(COUNT('Monthly data'!G431:G433)=3,'Monthly data'!G433-2*'Monthly data'!G432+'Monthly data'!G431,"")</x:f>
        <x:v>56.2192</x:v>
      </x:c>
      <x:c r="M433" s="8" t="n">
        <x:f>IF(COUNT('Monthly data'!H431:H433)=3,'Monthly data'!H433-2*'Monthly data'!H432+'Monthly data'!H431,"")</x:f>
        <x:v>-1.2855999999999952</x:v>
      </x:c>
      <x:c r="N433" s="8" t="n">
        <x:f>IF(COUNT('Monthly data'!I431:I433)=3,'Monthly data'!I433-2*'Monthly data'!I432+'Monthly data'!I431,"")</x:f>
        <x:v>8.839299999999998</x:v>
      </x:c>
      <x:c r="O433" s="8" t="n">
        <x:f>IF(COUNT('Monthly data'!J431:J433)=3,'Monthly data'!J433-2*'Monthly data'!J432+'Monthly data'!J431,"")</x:f>
        <x:v>-6.0723</x:v>
      </x:c>
      <x:c r="P433" s="8" t="n">
        <x:f>IF(COUNT('Monthly data'!K431:K433)=3,'Monthly data'!K433-2*'Monthly data'!K432+'Monthly data'!K431,"")</x:f>
        <x:v>-3.5253999999999994</x:v>
      </x:c>
      <x:c r="Q433" s="8" t="n">
        <x:f>IF(COUNT('Monthly data'!L431:L433)=3,'Monthly data'!L433-2*'Monthly data'!L432+'Monthly data'!L431,"")</x:f>
        <x:v>0.8484</x:v>
      </x:c>
      <x:c r="R433" s="8" t="n">
        <x:f>IF(COUNT('Monthly data'!M431:M433)=3,'Monthly data'!M433-2*'Monthly data'!M432+'Monthly data'!M431,"")</x:f>
        <x:v>12.473099999999999</x:v>
      </x:c>
      <x:c r="S433" s="8" t="n">
        <x:f>IF(COUNT('Monthly data'!N431:N433)=3,'Monthly data'!N433-2*'Monthly data'!N432+'Monthly data'!N431,"")</x:f>
        <x:v>6.7535000000000025</x:v>
      </x:c>
      <x:c r="T433" s="8" t="n">
        <x:f>IF(COUNT('Monthly data'!E432:E433)=2,'Monthly data'!E433-'Monthly data'!E432,"")</x:f>
        <x:v>-0.00219025170000009</x:v>
      </x:c>
    </x:row>
    <x:row r="434" ht="19" customHeight="1">
      <x:c r="A434" s="7" t="n">
        <x:f>'Monthly data'!A434</x:f>
        <x:v>46023</x:v>
      </x:c>
      <x:c r="B434" s="8" t="n">
        <x:f>IF(ISNUMBER('Monthly data'!F434),LN(1+'Monthly data'!F434),"")</x:f>
        <x:v>5.29641555925844</x:v>
      </x:c>
      <x:c r="C434" s="8" t="n">
        <x:f>IF(ISNUMBER('Monthly data'!G434),LN(1+'Monthly data'!G434),"")</x:f>
        <x:v>4.230915912821934</x:v>
      </x:c>
      <x:c r="D434" s="8" t="n">
        <x:f>IF(ISNUMBER('Monthly data'!H434),LN(1+'Monthly data'!H434),"")</x:f>
        <x:v>4.2268103873311516</x:v>
      </x:c>
      <x:c r="E434" s="8" t="n">
        <x:f>IF(ISNUMBER('Monthly data'!I434),LN(1+'Monthly data'!I434),"")</x:f>
        <x:v>1.8267887181474498</x:v>
      </x:c>
      <x:c r="F434" s="8" t="n">
        <x:f>IF(ISNUMBER('Monthly data'!J434),LN(1+'Monthly data'!J434),"")</x:f>
        <x:v>2.626355574205551</x:v>
      </x:c>
      <x:c r="G434" s="8" t="n">
        <x:f>IF(ISNUMBER('Monthly data'!K434),LN(1+'Monthly data'!K434),"")</x:f>
        <x:v>0.7211999950019804</x:v>
      </x:c>
      <x:c r="H434" s="8" t="n">
        <x:f>IF(ISNUMBER('Monthly data'!L434),LN(1+'Monthly data'!L434),"")</x:f>
        <x:v>2.72342473820841</x:v>
      </x:c>
      <x:c r="I434" s="8" t="n">
        <x:f>IF(ISNUMBER('Monthly data'!M434),LN(1+'Monthly data'!M434),"")</x:f>
        <x:v>2.448294531291268</x:v>
      </x:c>
      <x:c r="J434" s="8" t="n">
        <x:f>IF(ISNUMBER('Monthly data'!N434),LN(1+'Monthly data'!N434),"")</x:f>
        <x:v>3.017801937023813</x:v>
      </x:c>
      <x:c r="K434" s="8" t="n">
        <x:f>IF(COUNT('Monthly data'!F432:F434)=3,'Monthly data'!F434-2*'Monthly data'!F433+'Monthly data'!F432,"")</x:f>
        <x:v>3.080000000000041</x:v>
      </x:c>
      <x:c r="L434" s="8" t="n">
        <x:f>IF(COUNT('Monthly data'!G432:G434)=3,'Monthly data'!G434-2*'Monthly data'!G433+'Monthly data'!G432,"")</x:f>
        <x:v>-15.857600000000012</x:v>
      </x:c>
      <x:c r="M434" s="8" t="n">
        <x:f>IF(COUNT('Monthly data'!H432:H434)=3,'Monthly data'!H434-2*'Monthly data'!H433+'Monthly data'!H432,"")</x:f>
        <x:v>23.1946</x:v>
      </x:c>
      <x:c r="N434" s="8" t="n">
        <x:f>IF(COUNT('Monthly data'!I432:I434)=3,'Monthly data'!I434-2*'Monthly data'!I433+'Monthly data'!I432,"")</x:f>
        <x:v>-34.2902</x:v>
      </x:c>
      <x:c r="O434" s="8" t="n">
        <x:f>IF(COUNT('Monthly data'!J432:J434)=3,'Monthly data'!J434-2*'Monthly data'!J433+'Monthly data'!J432,"")</x:f>
        <x:v>13.2457</x:v>
      </x:c>
      <x:c r="P434" s="8" t="n">
        <x:f>IF(COUNT('Monthly data'!K432:K434)=3,'Monthly data'!K434-2*'Monthly data'!K433+'Monthly data'!K432,"")</x:f>
        <x:v>2.1289999999999996</x:v>
      </x:c>
      <x:c r="Q434" s="8" t="n">
        <x:f>IF(COUNT('Monthly data'!L432:L434)=3,'Monthly data'!L434-2*'Monthly data'!L433+'Monthly data'!L432,"")</x:f>
        <x:v>13.7118</x:v>
      </x:c>
      <x:c r="R434" s="8" t="n">
        <x:f>IF(COUNT('Monthly data'!M432:M434)=3,'Monthly data'!M434-2*'Monthly data'!M433+'Monthly data'!M432,"")</x:f>
        <x:v>-0.4241999999999999</x:v>
      </x:c>
      <x:c r="S434" s="8" t="n">
        <x:f>IF(COUNT('Monthly data'!N432:N434)=3,'Monthly data'!N434-2*'Monthly data'!N433+'Monthly data'!N432,"")</x:f>
        <x:v>1.3705999999999996</x:v>
      </x:c>
      <x:c r="T434" s="8" t="n">
        <x:f>IF(COUNT('Monthly data'!E433:E434)=2,'Monthly data'!E434-'Monthly data'!E433,"")</x:f>
        <x:v>-0.01570008740000084</x:v>
      </x:c>
    </x:row>
    <x:row r="435" ht="19" customHeight="1">
      <x:c r="A435" s="7" t="n">
        <x:f>'Monthly data'!A435</x:f>
        <x:v>46054</x:v>
      </x:c>
      <x:c r="B435" s="8" t="n">
        <x:f>IF(ISNUMBER('Monthly data'!F435),LN(1+'Monthly data'!F435),"")</x:f>
        <x:v>4.989888220951467</x:v>
      </x:c>
      <x:c r="C435" s="8" t="n">
        <x:f>IF(ISNUMBER('Monthly data'!G435),LN(1+'Monthly data'!G435),"")</x:f>
        <x:v>3.9377082958824814</x:v>
      </x:c>
      <x:c r="D435" s="8" t="n">
        <x:f>IF(ISNUMBER('Monthly data'!H435),LN(1+'Monthly data'!H435),"")</x:f>
        <x:v>3.949965979543545</x:v>
      </x:c>
      <x:c r="E435" s="8" t="n">
        <x:f>IF(ISNUMBER('Monthly data'!I435),LN(1+'Monthly data'!I435),"")</x:f>
        <x:v>1.9697661748707351</x:v>
      </x:c>
      <x:c r="F435" s="8" t="n">
        <x:f>IF(ISNUMBER('Monthly data'!J435),LN(1+'Monthly data'!J435),"")</x:f>
        <x:v>1.74839953463849</x:v>
      </x:c>
      <x:c r="G435" s="8" t="n">
        <x:f>IF(ISNUMBER('Monthly data'!K435),LN(1+'Monthly data'!K435),"")</x:f>
        <x:v>2.2721052667400707</x:v>
      </x:c>
      <x:c r="H435" s="8" t="n">
        <x:f>IF(ISNUMBER('Monthly data'!L435),LN(1+'Monthly data'!L435),"")</x:f>
        <x:v>1.0909832615036186</x:v>
      </x:c>
      <x:c r="I435" s="8" t="n">
        <x:f>IF(ISNUMBER('Monthly data'!M435),LN(1+'Monthly data'!M435),"")</x:f>
        <x:v>1.980739365554994</x:v>
      </x:c>
      <x:c r="J435" s="8" t="n">
        <x:f>IF(ISNUMBER('Monthly data'!N435),LN(1+'Monthly data'!N435),"")</x:f>
        <x:v>2.88177939347796</x:v>
      </x:c>
      <x:c r="K435" s="8" t="n">
        <x:f>IF(COUNT('Monthly data'!F433:F435)=3,'Monthly data'!F435-2*'Monthly data'!F434+'Monthly data'!F433,"")</x:f>
        <x:v>-87.40000000000003</x:v>
      </x:c>
      <x:c r="L435" s="8" t="n">
        <x:f>IF(COUNT('Monthly data'!G433:G435)=3,'Monthly data'!G435-2*'Monthly data'!G434+'Monthly data'!G433,"")</x:f>
        <x:v>-24.397699999999986</x:v>
      </x:c>
      <x:c r="M435" s="8" t="n">
        <x:f>IF(COUNT('Monthly data'!H433:H435)=3,'Monthly data'!H435-2*'Monthly data'!H434+'Monthly data'!H433,"")</x:f>
        <x:v>-38.06300000000001</x:v>
      </x:c>
      <x:c r="N435" s="8" t="n">
        <x:f>IF(COUNT('Monthly data'!I433:I435)=3,'Monthly data'!I435-2*'Monthly data'!I434+'Monthly data'!I433,"")</x:f>
        <x:v>22.102899999999998</x:v>
      </x:c>
      <x:c r="O435" s="8" t="n">
        <x:f>IF(COUNT('Monthly data'!J433:J435)=3,'Monthly data'!J435-2*'Monthly data'!J434+'Monthly data'!J433,"")</x:f>
        <x:v>-17.5396</x:v>
      </x:c>
      <x:c r="P435" s="8" t="n">
        <x:f>IF(COUNT('Monthly data'!K433:K435)=3,'Monthly data'!K435-2*'Monthly data'!K434+'Monthly data'!K433,"")</x:f>
        <x:v>8.4437</x:v>
      </x:c>
      <x:c r="Q435" s="8" t="n">
        <x:f>IF(COUNT('Monthly data'!L433:L435)=3,'Monthly data'!L435-2*'Monthly data'!L434+'Monthly data'!L433,"")</x:f>
        <x:v>-25.6914</x:v>
      </x:c>
      <x:c r="R435" s="8" t="n">
        <x:f>IF(COUNT('Monthly data'!M433:M435)=3,'Monthly data'!M435-2*'Monthly data'!M434+'Monthly data'!M433,"")</x:f>
        <x:v>-6.927499999999999</x:v>
      </x:c>
      <x:c r="S435" s="8" t="n">
        <x:f>IF(COUNT('Monthly data'!N433:N435)=3,'Monthly data'!N435-2*'Monthly data'!N434+'Monthly data'!N433,"")</x:f>
        <x:v>-5.327300000000001</x:v>
      </x:c>
      <x:c r="T435" s="8" t="n">
        <x:f>IF(COUNT('Monthly data'!E434:E435)=2,'Monthly data'!E435-'Monthly data'!E434,"")</x:f>
        <x:v>0.024624639800000736</x:v>
      </x:c>
    </x:row>
    <x:row r="436" ht="19" customHeight="1">
      <x:c r="A436" s="7" t="n">
        <x:f>'Monthly data'!A436</x:f>
        <x:v>46082</x:v>
      </x:c>
      <x:c r="B436" s="8" t="n">
        <x:f>IF(ISNUMBER('Monthly data'!F436),LN(1+'Monthly data'!F436),"")</x:f>
        <x:v>5.637393353325012</x:v>
      </x:c>
      <x:c r="C436" s="8" t="n">
        <x:f>IF(ISNUMBER('Monthly data'!G436),LN(1+'Monthly data'!G436),"")</x:f>
        <x:v>5.398379872504563</x:v>
      </x:c>
      <x:c r="D436" s="8" t="n">
        <x:f>IF(ISNUMBER('Monthly data'!H436),LN(1+'Monthly data'!H436),"")</x:f>
        <x:v>3.2175469422947423</x:v>
      </x:c>
      <x:c r="E436" s="8" t="n">
        <x:f>IF(ISNUMBER('Monthly data'!I436),LN(1+'Monthly data'!I436),"")</x:f>
        <x:v>2.6585587911173936</x:v>
      </x:c>
      <x:c r="F436" s="8" t="n">
        <x:f>IF(ISNUMBER('Monthly data'!J436),LN(1+'Monthly data'!J436),"")</x:f>
        <x:v>0.7214430497147926</x:v>
      </x:c>
      <x:c r="G436" s="8" t="n">
        <x:f>IF(ISNUMBER('Monthly data'!K436),LN(1+'Monthly data'!K436),"")</x:f>
        <x:v>1.0576861220554639</x:v>
      </x:c>
      <x:c r="H436" s="8" t="n">
        <x:f>IF(ISNUMBER('Monthly data'!L436),LN(1+'Monthly data'!L436),"")</x:f>
        <x:v>0.6001543137107807</x:v>
      </x:c>
      <x:c r="I436" s="8" t="n">
        <x:f>IF(ISNUMBER('Monthly data'!M436),LN(1+'Monthly data'!M436),"")</x:f>
        <x:v>2.246956097233084</x:v>
      </x:c>
      <x:c r="J436" s="8" t="n">
        <x:f>IF(ISNUMBER('Monthly data'!N436),LN(1+'Monthly data'!N436),"")</x:f>
        <x:v>2.417795934504707</x:v>
      </x:c>
      <x:c r="K436" s="8" t="n">
        <x:f>IF(COUNT('Monthly data'!F434:F436)=3,'Monthly data'!F436-2*'Monthly data'!F435+'Monthly data'!F434,"")</x:f>
        <x:v>186.51000000000005</x:v>
      </x:c>
      <x:c r="L436" s="8" t="n">
        <x:f>IF(COUNT('Monthly data'!G434:G436)=3,'Monthly data'!G436-2*'Monthly data'!G435+'Monthly data'!G434,"")</x:f>
        <x:v>187.2264</x:v>
      </x:c>
      <x:c r="M436" s="8" t="n">
        <x:f>IF(COUNT('Monthly data'!H434:H436)=3,'Monthly data'!H436-2*'Monthly data'!H435+'Monthly data'!H434,"")</x:f>
        <x:v>-10.401999999999987</x:v>
      </x:c>
      <x:c r="N436" s="8" t="n">
        <x:f>IF(COUNT('Monthly data'!I434:I436)=3,'Monthly data'!I436-2*'Monthly data'!I435+'Monthly data'!I434,"")</x:f>
        <x:v>6.151600000000001</x:v>
      </x:c>
      <x:c r="O436" s="8" t="n">
        <x:f>IF(COUNT('Monthly data'!J434:J436)=3,'Monthly data'!J436-2*'Monthly data'!J435+'Monthly data'!J434,"")</x:f>
        <x:v>4.389899999999999</x:v>
      </x:c>
      <x:c r="P436" s="8" t="n">
        <x:f>IF(COUNT('Monthly data'!K434:K436)=3,'Monthly data'!K436-2*'Monthly data'!K435+'Monthly data'!K434,"")</x:f>
        <x:v>-14.463</x:v>
      </x:c>
      <x:c r="Q436" s="8" t="n">
        <x:f>IF(COUNT('Monthly data'!L434:L436)=3,'Monthly data'!L436-2*'Monthly data'!L435+'Monthly data'!L434,"")</x:f>
        <x:v>11.1004</x:v>
      </x:c>
      <x:c r="R436" s="8" t="n">
        <x:f>IF(COUNT('Monthly data'!M434:M436)=3,'Monthly data'!M436-2*'Monthly data'!M435+'Monthly data'!M434,"")</x:f>
        <x:v>6.5313</x:v>
      </x:c>
      <x:c r="S436" s="8" t="n">
        <x:f>IF(COUNT('Monthly data'!N434:N436)=3,'Monthly data'!N436-2*'Monthly data'!N435+'Monthly data'!N434,"")</x:f>
        <x:v>-4.0245999999999995</x:v>
      </x:c>
      <x:c r="T436" s="8" t="str">
        <x:f>IF(COUNT('Monthly data'!E435:E436)=2,'Monthly data'!E436-'Monthly data'!E435,"")</x:f>
      </x:c>
    </x:row>
    <x:row r="437" ht="19" customHeight="1">
      <x:c r="A437" s="7" t="n">
        <x:f>'Monthly data'!A437</x:f>
        <x:v>46113</x:v>
      </x:c>
      <x:c r="B437" s="8" t="n">
        <x:f>IF(ISNUMBER('Monthly data'!F437),LN(1+'Monthly data'!F437),"")</x:f>
        <x:v>5.452582325559466</x:v>
      </x:c>
      <x:c r="C437" s="8" t="n">
        <x:f>IF(ISNUMBER('Monthly data'!G437),LN(1+'Monthly data'!G437),"")</x:f>
        <x:v>4.993571871750362</x:v>
      </x:c>
      <x:c r="D437" s="8" t="n">
        <x:f>IF(ISNUMBER('Monthly data'!H437),LN(1+'Monthly data'!H437),"")</x:f>
        <x:v>3.8269334169830316</x:v>
      </x:c>
      <x:c r="E437" s="8" t="n">
        <x:f>IF(ISNUMBER('Monthly data'!I437),LN(1+'Monthly data'!I437),"")</x:f>
        <x:v>2.524920317700311</x:v>
      </x:c>
      <x:c r="F437" s="8" t="n">
        <x:f>IF(ISNUMBER('Monthly data'!J437),LN(1+'Monthly data'!J437),"")</x:f>
        <x:v>1.2892877431777403</x:v>
      </x:c>
      <x:c r="G437" s="8" t="n">
        <x:f>IF(ISNUMBER('Monthly data'!K437),LN(1+'Monthly data'!K437),"")</x:f>
        <x:v>1.495328122144013</x:v>
      </x:c>
      <x:c r="H437" s="8" t="n">
        <x:f>IF(ISNUMBER('Monthly data'!L437),LN(1+'Monthly data'!L437),"")</x:f>
        <x:v>0.8091063317275399</x:v>
      </x:c>
      <x:c r="I437" s="8" t="n">
        <x:f>IF(ISNUMBER('Monthly data'!M437),LN(1+'Monthly data'!M437),"")</x:f>
        <x:v>2.1123563566909778</x:v>
      </x:c>
      <x:c r="J437" s="8" t="n">
        <x:f>IF(ISNUMBER('Monthly data'!N437),LN(1+'Monthly data'!N437),"")</x:f>
        <x:v>2.7651612064109847</x:v>
      </x:c>
      <x:c r="K437" s="8" t="n">
        <x:f>IF(COUNT('Monthly data'!F435:F437)=3,'Monthly data'!F437-2*'Monthly data'!F436+'Monthly data'!F435,"")</x:f>
        <x:v>-181.18000000000004</x:v>
      </x:c>
      <x:c r="L437" s="8" t="n">
        <x:f>IF(COUNT('Monthly data'!G435:G437)=3,'Monthly data'!G437-2*'Monthly data'!G436+'Monthly data'!G435,"")</x:f>
        <x:v>-243.3329</x:v>
      </x:c>
      <x:c r="M437" s="8" t="n">
        <x:f>IF(COUNT('Monthly data'!H435:H437)=3,'Monthly data'!H437-2*'Monthly data'!H436+'Monthly data'!H435,"")</x:f>
        <x:v>47.9215</x:v>
      </x:c>
      <x:c r="N437" s="8" t="n">
        <x:f>IF(COUNT('Monthly data'!I435:I437)=3,'Monthly data'!I437-2*'Monthly data'!I436+'Monthly data'!I435,"")</x:f>
        <x:v>-8.892500000000002</x:v>
      </x:c>
      <x:c r="O437" s="8" t="n">
        <x:f>IF(COUNT('Monthly data'!J435:J437)=3,'Monthly data'!J437-2*'Monthly data'!J436+'Monthly data'!J435,"")</x:f>
        <x:v>5.2608</x:v>
      </x:c>
      <x:c r="P437" s="8" t="n">
        <x:f>IF(COUNT('Monthly data'!K435:K437)=3,'Monthly data'!K437-2*'Monthly data'!K436+'Monthly data'!K435,"")</x:f>
        <x:v>8.4012</x:v>
      </x:c>
      <x:c r="Q437" s="8" t="n">
        <x:f>IF(COUNT('Monthly data'!L435:L437)=3,'Monthly data'!L437-2*'Monthly data'!L436+'Monthly data'!L435,"")</x:f>
        <x:v>1.5783</x:v>
      </x:c>
      <x:c r="R437" s="8" t="n">
        <x:f>IF(COUNT('Monthly data'!M435:M437)=3,'Monthly data'!M437-2*'Monthly data'!M436+'Monthly data'!M435,"")</x:f>
        <x:v>-3.402</x:v>
      </x:c>
      <x:c r="S437" s="8" t="n">
        <x:f>IF(COUNT('Monthly data'!N435:N437)=3,'Monthly data'!N437-2*'Monthly data'!N436+'Monthly data'!N435,"")</x:f>
        <x:v>11.285400000000001</x:v>
      </x:c>
      <x:c r="T437" s="8" t="str">
        <x:f>IF(COUNT('Monthly data'!E436:E437)=2,'Monthly data'!E437-'Monthly data'!E436,"")</x:f>
      </x:c>
    </x:row>
    <x:row r="438" ht="19" customHeight="1">
      <x:c r="A438" s="7" t="n">
        <x:f>'Monthly data'!A438</x:f>
        <x:v>46143</x:v>
      </x:c>
      <x:c r="B438" s="8" t="n">
        <x:f>IF(ISNUMBER('Monthly data'!F438),LN(1+'Monthly data'!F438),"")</x:f>
        <x:v>5.2663105704129505</x:v>
      </x:c>
      <x:c r="C438" s="8" t="n">
        <x:f>IF(ISNUMBER('Monthly data'!G438),LN(1+'Monthly data'!G438),"")</x:f>
        <x:v>4.649738115724302</x:v>
      </x:c>
      <x:c r="D438" s="8" t="n">
        <x:f>IF(ISNUMBER('Monthly data'!H438),LN(1+'Monthly data'!H438),"")</x:f>
        <x:v>3.8988364436239706</x:v>
      </x:c>
      <x:c r="E438" s="8" t="n">
        <x:f>IF(ISNUMBER('Monthly data'!I438),LN(1+'Monthly data'!I438),"")</x:f>
        <x:v>2.541231846228351</x:v>
      </x:c>
      <x:c r="F438" s="8" t="n">
        <x:f>IF(ISNUMBER('Monthly data'!J438),LN(1+'Monthly data'!J438),"")</x:f>
        <x:v>0.7361587761531929</x:v>
      </x:c>
      <x:c r="G438" s="8" t="n">
        <x:f>IF(ISNUMBER('Monthly data'!K438),LN(1+'Monthly data'!K438),"")</x:f>
        <x:v>0.7992624113486467</x:v>
      </x:c>
      <x:c r="H438" s="8" t="n">
        <x:f>IF(ISNUMBER('Monthly data'!L438),LN(1+'Monthly data'!L438),"")</x:f>
        <x:v>0.7682082697818243</x:v>
      </x:c>
      <x:c r="I438" s="8" t="n">
        <x:f>IF(ISNUMBER('Monthly data'!M438),LN(1+'Monthly data'!M438),"")</x:f>
        <x:v>2.1050605542974554</x:v>
      </x:c>
      <x:c r="J438" s="8" t="n">
        <x:f>IF(ISNUMBER('Monthly data'!N438),LN(1+'Monthly data'!N438),"")</x:f>
        <x:v>2.966658703568232</x:v>
      </x:c>
      <x:c r="K438" s="8" t="n">
        <x:f>IF(COUNT('Monthly data'!F436:F438)=3,'Monthly data'!F438-2*'Monthly data'!F437+'Monthly data'!F436,"")</x:f>
        <x:v>7.7099999999999795</x:v>
      </x:c>
      <x:c r="L438" s="8" t="n">
        <x:f>IF(COUNT('Monthly data'!G436:G438)=3,'Monthly data'!G438-2*'Monthly data'!G437+'Monthly data'!G436,"")</x:f>
        <x:v>30.68119999999999</x:v>
      </x:c>
      <x:c r="M438" s="8" t="n">
        <x:f>IF(COUNT('Monthly data'!H436:H438)=3,'Monthly data'!H438-2*'Monthly data'!H437+'Monthly data'!H436,"")</x:f>
        <x:v>-17.531200000000005</x:v>
      </x:c>
      <x:c r="N438" s="8" t="n">
        <x:f>IF(COUNT('Monthly data'!I436:I438)=3,'Monthly data'!I438-2*'Monthly data'!I437+'Monthly data'!I436,"")</x:f>
        <x:v>1.9911999999999992</x:v>
      </x:c>
      <x:c r="O438" s="8" t="n">
        <x:f>IF(COUNT('Monthly data'!J436:J438)=3,'Monthly data'!J438-2*'Monthly data'!J437+'Monthly data'!J436,"")</x:f>
        <x:v>-3.1150999999999995</x:v>
      </x:c>
      <x:c r="P438" s="8" t="n">
        <x:f>IF(COUNT('Monthly data'!K436:K438)=3,'Monthly data'!K438-2*'Monthly data'!K437+'Monthly data'!K436,"")</x:f>
        <x:v>-3.8179999999999996</x:v>
      </x:c>
      <x:c r="Q438" s="8" t="n">
        <x:f>IF(COUNT('Monthly data'!L436:L438)=3,'Monthly data'!L438-2*'Monthly data'!L437+'Monthly data'!L436,"")</x:f>
        <x:v>-0.5135000000000001</x:v>
      </x:c>
      <x:c r="R438" s="8" t="n">
        <x:f>IF(COUNT('Monthly data'!M436:M438)=3,'Monthly data'!M438-2*'Monthly data'!M437+'Monthly data'!M436,"")</x:f>
        <x:v>1.1311000000000009</x:v>
      </x:c>
      <x:c r="S438" s="8" t="n">
        <x:f>IF(COUNT('Monthly data'!N436:N438)=3,'Monthly data'!N438-2*'Monthly data'!N437+'Monthly data'!N436,"")</x:f>
        <x:v>-1.1152000000000015</x:v>
      </x:c>
      <x:c r="T438" s="8" t="str">
        <x:f>IF(COUNT('Monthly data'!E437:E438)=2,'Monthly data'!E438-'Monthly data'!E437,"")</x:f>
      </x:c>
    </x:row>
    <x:row r="439" ht="19" customHeight="1">
      <x:c r="A439" s="7" t="n">
        <x:f>'Monthly data'!A439</x:f>
        <x:v>46174</x:v>
      </x:c>
      <x:c r="B439" s="8" t="n">
        <x:f>IF(ISNUMBER('Monthly data'!F439),LN(1+'Monthly data'!F439),"")</x:f>
        <x:v>5.182232887527235</x:v>
      </x:c>
      <x:c r="C439" s="8" t="n">
        <x:f>IF(ISNUMBER('Monthly data'!G439),LN(1+'Monthly data'!G439),"")</x:f>
        <x:v>4.611092613739858</x:v>
      </x:c>
      <x:c r="D439" s="8" t="n">
        <x:f>IF(ISNUMBER('Monthly data'!H439),LN(1+'Monthly data'!H439),"")</x:f>
        <x:v>3.892487422472452</x:v>
      </x:c>
      <x:c r="E439" s="8" t="n">
        <x:f>IF(ISNUMBER('Monthly data'!I439),LN(1+'Monthly data'!I439),"")</x:f>
        <x:v>1.6441871047609193</x:v>
      </x:c>
      <x:c r="F439" s="8" t="n">
        <x:f>IF(ISNUMBER('Monthly data'!J439),LN(1+'Monthly data'!J439),"")</x:f>
        <x:v>1.5262084658308173</x:v>
      </x:c>
      <x:c r="G439" s="8" t="n">
        <x:f>IF(ISNUMBER('Monthly data'!K439),LN(1+'Monthly data'!K439),"")</x:f>
        <x:v>0.9211986682267377</x:v>
      </x:c>
      <x:c r="H439" s="8" t="n">
        <x:f>IF(ISNUMBER('Monthly data'!L439),LN(1+'Monthly data'!L439),"")</x:f>
        <x:v>0.35914189850251976</x:v>
      </x:c>
      <x:c r="I439" s="8" t="n">
        <x:f>IF(ISNUMBER('Monthly data'!M439),LN(1+'Monthly data'!M439),"")</x:f>
        <x:v>1.7243367929106208</x:v>
      </x:c>
      <x:c r="J439" s="8" t="n">
        <x:f>IF(ISNUMBER('Monthly data'!N439),LN(1+'Monthly data'!N439),"")</x:f>
        <x:v>2.7802282168494887</x:v>
      </x:c>
      <x:c r="K439" s="8" t="n">
        <x:f>IF(COUNT('Monthly data'!F437:F439)=3,'Monthly data'!F439-2*'Monthly data'!F438+'Monthly data'!F437,"")</x:f>
        <x:v>24.04000000000005</x:v>
      </x:c>
      <x:c r="L439" s="8" t="n">
        <x:f>IF(COUNT('Monthly data'!G437:G439)=3,'Monthly data'!G439-2*'Monthly data'!G438+'Monthly data'!G437,"")</x:f>
        <x:v>38.941</x:v>
      </x:c>
      <x:c r="M439" s="8" t="n">
        <x:f>IF(COUNT('Monthly data'!H437:H439)=3,'Monthly data'!H439-2*'Monthly data'!H438+'Monthly data'!H437,"")</x:f>
        <x:v>-3.7357999999999976</x:v>
      </x:c>
      <x:c r="N439" s="8" t="n">
        <x:f>IF(COUNT('Monthly data'!I437:I439)=3,'Monthly data'!I439-2*'Monthly data'!I438+'Monthly data'!I437,"")</x:f>
        <x:v>-7.723899999999999</x:v>
      </x:c>
      <x:c r="O439" s="8" t="n">
        <x:f>IF(COUNT('Monthly data'!J437:J439)=3,'Monthly data'!J439-2*'Monthly data'!J438+'Monthly data'!J437,"")</x:f>
        <x:v>4.0550999999999995</x:v>
      </x:c>
      <x:c r="P439" s="8" t="n">
        <x:f>IF(COUNT('Monthly data'!K437:K439)=3,'Monthly data'!K439-2*'Monthly data'!K438+'Monthly data'!K437,"")</x:f>
        <x:v>2.5252999999999997</x:v>
      </x:c>
      <x:c r="Q439" s="8" t="n">
        <x:f>IF(COUNT('Monthly data'!L437:L439)=3,'Monthly data'!L439-2*'Monthly data'!L438+'Monthly data'!L437,"")</x:f>
        <x:v>-0.6337999999999999</x:v>
      </x:c>
      <x:c r="R439" s="8" t="n">
        <x:f>IF(COUNT('Monthly data'!M437:M439)=3,'Monthly data'!M439-2*'Monthly data'!M438+'Monthly data'!M437,"")</x:f>
        <x:v>-2.5387000000000004</x:v>
      </x:c>
      <x:c r="S439" s="8" t="n">
        <x:f>IF(COUNT('Monthly data'!N437:N439)=3,'Monthly data'!N439-2*'Monthly data'!N438+'Monthly data'!N437,"")</x:f>
        <x:v>-6.849499999999997</x:v>
      </x:c>
      <x:c r="T439" s="8" t="str">
        <x:f>IF(COUNT('Monthly data'!E438:E439)=2,'Monthly data'!E439-'Monthly data'!E438,"")</x:f>
      </x:c>
    </x:row>
    <x:row r="440" ht="19" customHeight="1">
      <x:c r="A440" s="7" t="n">
        <x:f>'Monthly data'!A440</x:f>
        <x:v>46204</x:v>
      </x:c>
      <x:c r="B440" s="8" t="n">
        <x:f>IF(ISNUMBER('Monthly data'!F440),LN(1+'Monthly data'!F440),"")</x:f>
        <x:v>5.1610074155834305</x:v>
      </x:c>
      <x:c r="C440" s="8" t="n">
        <x:f>IF(ISNUMBER('Monthly data'!G440),LN(1+'Monthly data'!G440),"")</x:f>
        <x:v>4.6776861773268275</x:v>
      </x:c>
      <x:c r="D440" s="8" t="n">
        <x:f>IF(ISNUMBER('Monthly data'!H440),LN(1+'Monthly data'!H440),"")</x:f>
        <x:v>3.5023299722273253</x:v>
      </x:c>
      <x:c r="E440" s="8" t="n">
        <x:f>IF(ISNUMBER('Monthly data'!I440),LN(1+'Monthly data'!I440),"")</x:f>
        <x:v>2.1573743327362584</x:v>
      </x:c>
      <x:c r="F440" s="8" t="n">
        <x:f>IF(ISNUMBER('Monthly data'!J440),LN(1+'Monthly data'!J440),"")</x:f>
        <x:v>1.056852354419878</x:v>
      </x:c>
      <x:c r="G440" s="8" t="n">
        <x:f>IF(ISNUMBER('Monthly data'!K440),LN(1+'Monthly data'!K440),"")</x:f>
        <x:v>1.2536482907676418</x:v>
      </x:c>
      <x:c r="H440" s="8" t="n">
        <x:f>IF(ISNUMBER('Monthly data'!L440),LN(1+'Monthly data'!L440),"")</x:f>
        <x:v>0.9281007186335128</x:v>
      </x:c>
      <x:c r="I440" s="8" t="n">
        <x:f>IF(ISNUMBER('Monthly data'!M440),LN(1+'Monthly data'!M440),"")</x:f>
        <x:v>1.9820767526107144</x:v>
      </x:c>
      <x:c r="J440" s="8" t="n">
        <x:f>IF(ISNUMBER('Monthly data'!N440),LN(1+'Monthly data'!N440),"")</x:f>
        <x:v>2.7606426512213806</x:v>
      </x:c>
      <x:c r="K440" s="8" t="n">
        <x:f>IF(COUNT('Monthly data'!F438:F440)=3,'Monthly data'!F440-2*'Monthly data'!F439+'Monthly data'!F438,"")</x:f>
        <x:v>11.879999999999967</x:v>
      </x:c>
      <x:c r="L440" s="8" t="n">
        <x:f>IF(COUNT('Monthly data'!G438:G440)=3,'Monthly data'!G440-2*'Monthly data'!G439+'Monthly data'!G438,"")</x:f>
        <x:v>10.890600000000006</x:v>
      </x:c>
      <x:c r="M440" s="8" t="n">
        <x:f>IF(COUNT('Monthly data'!H438:H440)=3,'Monthly data'!H440-2*'Monthly data'!H439+'Monthly data'!H438,"")</x:f>
        <x:v>-15.527699999999996</x:v>
      </x:c>
      <x:c r="N440" s="8" t="n">
        <x:f>IF(COUNT('Monthly data'!I438:I440)=3,'Monthly data'!I440-2*'Monthly data'!I439+'Monthly data'!I438,"")</x:f>
        <x:v>10.990099999999998</x:v>
      </x:c>
      <x:c r="O440" s="8" t="n">
        <x:f>IF(COUNT('Monthly data'!J438:J440)=3,'Monthly data'!J440-2*'Monthly data'!J439+'Monthly data'!J438,"")</x:f>
        <x:v>-4.236199999999999</x:v>
      </x:c>
      <x:c r="P440" s="8" t="n">
        <x:f>IF(COUNT('Monthly data'!K438:K440)=3,'Monthly data'!K440-2*'Monthly data'!K439+'Monthly data'!K438,"")</x:f>
        <x:v>0.7023999999999999</x:v>
      </x:c>
      <x:c r="Q440" s="8" t="n">
        <x:f>IF(COUNT('Monthly data'!L438:L440)=3,'Monthly data'!L440-2*'Monthly data'!L439+'Monthly data'!L438,"")</x:f>
        <x:v>1.8214000000000001</x:v>
      </x:c>
      <x:c r="R440" s="8" t="n">
        <x:f>IF(COUNT('Monthly data'!M438:M440)=3,'Monthly data'!M440-2*'Monthly data'!M439+'Monthly data'!M438,"")</x:f>
        <x:v>4.247800000000001</x:v>
      </x:c>
      <x:c r="S440" s="8" t="n">
        <x:f>IF(COUNT('Monthly data'!N438:N440)=3,'Monthly data'!N440-2*'Monthly data'!N439+'Monthly data'!N438,"")</x:f>
        <x:v>2.9915000000000003</x:v>
      </x:c>
      <x:c r="T440" s="8" t="str">
        <x:f>IF(COUNT('Monthly data'!E439:E440)=2,'Monthly data'!E440-'Monthly data'!E439,"")</x:f>
      </x:c>
    </x:row>
    <x:row r="441" ht="19" customHeight="1">
      <x:c r="A441" s="7" t="n">
        <x:f>'Monthly data'!A441</x:f>
        <x:v>46235</x:v>
      </x:c>
      <x:c r="B441" s="8" t="n">
        <x:f>IF(ISNUMBER('Monthly data'!F441),LN(1+'Monthly data'!F441),"")</x:f>
        <x:v>5.030699325131997</x:v>
      </x:c>
      <x:c r="C441" s="8" t="n">
        <x:f>IF(ISNUMBER('Monthly data'!G441),LN(1+'Monthly data'!G441),"")</x:f>
        <x:v>4.26472145357682</x:v>
      </x:c>
      <x:c r="D441" s="8" t="n">
        <x:f>IF(ISNUMBER('Monthly data'!H441),LN(1+'Monthly data'!H441),"")</x:f>
        <x:v>3.643657167492949</x:v>
      </x:c>
      <x:c r="E441" s="8" t="n">
        <x:f>IF(ISNUMBER('Monthly data'!I441),LN(1+'Monthly data'!I441),"")</x:f>
        <x:v>2.0803661141309706</x:v>
      </x:c>
      <x:c r="F441" s="8" t="n">
        <x:f>IF(ISNUMBER('Monthly data'!J441),LN(1+'Monthly data'!J441),"")</x:f>
        <x:v>0.9389129099104347</x:v>
      </x:c>
      <x:c r="G441" s="8" t="n">
        <x:f>IF(ISNUMBER('Monthly data'!K441),LN(1+'Monthly data'!K441),"")</x:f>
        <x:v>0.8215843697352465</x:v>
      </x:c>
      <x:c r="H441" s="8" t="n">
        <x:f>IF(ISNUMBER('Monthly data'!L441),LN(1+'Monthly data'!L441),"")</x:f>
        <x:v>0.302989316518928</x:v>
      </x:c>
      <x:c r="I441" s="8" t="n">
        <x:f>IF(ISNUMBER('Monthly data'!M441),LN(1+'Monthly data'!M441),"")</x:f>
        <x:v>2.8162227592598423</x:v>
      </x:c>
      <x:c r="J441" s="8" t="n">
        <x:f>IF(ISNUMBER('Monthly data'!N441),LN(1+'Monthly data'!N441),"")</x:f>
        <x:v>2.9835230433075575</x:v>
      </x:c>
      <x:c r="K441" s="8" t="n">
        <x:f>IF(COUNT('Monthly data'!F439:F441)=3,'Monthly data'!F441-2*'Monthly data'!F440+'Monthly data'!F439,"")</x:f>
        <x:v>-17.560000000000002</x:v>
      </x:c>
      <x:c r="L441" s="8" t="n">
        <x:f>IF(COUNT('Monthly data'!G439:G441)=3,'Monthly data'!G441-2*'Monthly data'!G440+'Monthly data'!G439,"")</x:f>
        <x:v>-43.30290000000002</x:v>
      </x:c>
      <x:c r="M441" s="8" t="n">
        <x:f>IF(COUNT('Monthly data'!H439:H441)=3,'Monthly data'!H441-2*'Monthly data'!H440+'Monthly data'!H439,"")</x:f>
        <x:v>20.878699999999995</x:v>
      </x:c>
      <x:c r="N441" s="8" t="n">
        <x:f>IF(COUNT('Monthly data'!I439:I441)=3,'Monthly data'!I441-2*'Monthly data'!I440+'Monthly data'!I439,"")</x:f>
        <x:v>-4.1126000000000005</x:v>
      </x:c>
      <x:c r="O441" s="8" t="n">
        <x:f>IF(COUNT('Monthly data'!J439:J441)=3,'Monthly data'!J441-2*'Monthly data'!J440+'Monthly data'!J439,"")</x:f>
        <x:v>1.4032999999999998</x:v>
      </x:c>
      <x:c r="P441" s="8" t="n">
        <x:f>IF(COUNT('Monthly data'!K439:K441)=3,'Monthly data'!K441-2*'Monthly data'!K440+'Monthly data'!K439,"")</x:f>
        <x:v>-2.2198</x:v>
      </x:c>
      <x:c r="Q441" s="8" t="n">
        <x:f>IF(COUNT('Monthly data'!L439:L441)=3,'Monthly data'!L441-2*'Monthly data'!L440+'Monthly data'!L439,"")</x:f>
        <x:v>-2.2734</x:v>
      </x:c>
      <x:c r="R441" s="8" t="n">
        <x:f>IF(COUNT('Monthly data'!M439:M441)=3,'Monthly data'!M441-2*'Monthly data'!M440+'Monthly data'!M439,"")</x:f>
        <x:v>7.8068</x:v>
      </x:c>
      <x:c r="S441" s="8" t="n">
        <x:f>IF(COUNT('Monthly data'!N439:N441)=3,'Monthly data'!N441-2*'Monthly data'!N440+'Monthly data'!N439,"")</x:f>
        <x:v>4.26</x:v>
      </x:c>
      <x:c r="T441" s="8" t="str">
        <x:f>IF(COUNT('Monthly data'!E440:E441)=2,'Monthly data'!E441-'Monthly data'!E440,"")</x:f>
      </x:c>
    </x:row>
  </x:sheetData>
  <x:pageMargins left="0.7" right="0.7" top="0.75" bottom="0.75" header="0.3" footer="0.3"/>
  <x:tableParts count="1">
    <x:tablePart xmlns:r="http://schemas.openxmlformats.org/officeDocument/2006/relationships" r:id="Rcd80d1d5757945db"/>
  </x:tableParts>
</x:worksheet>
</file>

<file path=xl/worksheets/sheet3.xml><?xml version="1.0" encoding="utf-8"?>
<x:worksheet xmlns:x="http://schemas.openxmlformats.org/spreadsheetml/2006/main">
  <x:sheetPr>
    <x:tabColor rgb="FF9E978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5" hidden="0" customWidth="1"/>
    <x:col min="3" max="3" width="43" hidden="0" customWidth="1"/>
    <x:col min="4" max="4" width="86" hidden="0" customWidth="1"/>
  </x:cols>
  <x:sheetData>
    <x:row r="1" ht="40" customHeight="1">
      <x:c r="A1" s="12" t="str">
        <x:v>Variable</x:v>
      </x:c>
      <x:c r="B1" s="12" t="str">
        <x:v>Definition</x:v>
      </x:c>
      <x:c r="C1" s="12" t="str">
        <x:v>Unit or transformation</x:v>
      </x:c>
      <x:c r="D1" s="12" t="str">
        <x:v>Source and provenance</x:v>
      </x:c>
    </x:row>
    <x:row r="2" ht="44" customHeight="1">
      <x:c r="A2" s="13" t="str">
        <x:v>date</x:v>
      </x:c>
      <x:c r="B2" s="13" t="str">
        <x:v>Month of observation</x:v>
      </x:c>
      <x:c r="C2" s="13" t="str">
        <x:v>First calendar day, displayed yyyy-mm</x:v>
      </x:c>
      <x:c r="D2" s="13" t="str">
        <x:v>Frozen monthly snapshot; January 1990–August 2026</x:v>
      </x:c>
    </x:row>
    <x:row r="3" ht="44" customHeight="1">
      <x:c r="A3" s="13" t="str">
        <x:v>lwti</x:v>
      </x:c>
      <x:c r="B3" s="13" t="str">
        <x:v>Real WTI spot price</x:v>
      </x:c>
      <x:c r="C3" s="13" t="str">
        <x:v>ln(WTI USD price / (CPI/100))</x:v>
      </x:c>
      <x:c r="D3" s="13" t="str">
        <x:v>Complete EIA monthly WTI history divided by BLS CUSR0000SA0; through August 2026. October 2025 CPI is log-linearly interpolated; nominal oil prices remain observed.</x:v>
      </x:c>
    </x:row>
    <x:row r="4" ht="44" customHeight="1">
      <x:c r="A4" s="13" t="str">
        <x:v>lbrent</x:v>
      </x:c>
      <x:c r="B4" s="13" t="str">
        <x:v>Real Brent spot price</x:v>
      </x:c>
      <x:c r="C4" s="13" t="str">
        <x:v>ln(Brent USD price / (CPI/100))</x:v>
      </x:c>
      <x:c r="D4" s="13" t="str">
        <x:v>Complete EIA monthly Brent history divided by BLS CUSR0000SA0; through August 2026. October 2025 CPI is log-linearly interpolated; nominal oil prices remain observed.</x:v>
      </x:c>
    </x:row>
    <x:row r="5" ht="44" customHeight="1">
      <x:c r="A5" s="13" t="str">
        <x:v>lwip</x:v>
      </x:c>
      <x:c r="B5" s="13" t="str">
        <x:v>World industrial production</x:v>
      </x:c>
      <x:c r="C5" s="13" t="str">
        <x:v>Natural log index</x:v>
      </x:c>
      <x:c r="D5" s="13" t="str">
        <x:v>Complete current Baumeister–Hamilton OECD plus six nonmember economies history; through June 2026.</x:v>
      </x:c>
    </x:row>
    <x:row r="6" ht="44" customHeight="1">
      <x:c r="A6" s="13" t="str">
        <x:v>lgop</x:v>
      </x:c>
      <x:c r="B6" s="13" t="str">
        <x:v>World crude oil production</x:v>
      </x:c>
      <x:c r="C6" s="13" t="str">
        <x:v>Natural log thousand barrels/day</x:v>
      </x:c>
      <x:c r="D6" s="13" t="str">
        <x:v>Complete current EIA international crude-production history, DBnomics 57-1-WORL-TBPD.M; through February 2026.</x:v>
      </x:c>
    </x:row>
    <x:row r="7" ht="44" customHeight="1">
      <x:c r="A7" s="13" t="str">
        <x:v>gpr_ai</x:v>
      </x:c>
      <x:c r="B7" s="13" t="str">
        <x:v>Aggregate AI-GPR</x:v>
      </x:c>
      <x:c r="C7" s="13" t="str">
        <x:v>Index points; common aggregate scaling</x:v>
      </x:c>
      <x:c r="D7" s="13" t="str">
        <x:v>https://www.matteoiacoviello.com/ai_gpr.html; frozen August 2026 event-type release, not event counts.</x:v>
      </x:c>
    </x:row>
    <x:row r="8" ht="44" customHeight="1">
      <x:c r="A8" s="13" t="str">
        <x:v>military_conflict</x:v>
      </x:c>
      <x:c r="B8" s="13" t="str">
        <x:v>military conflict</x:v>
      </x:c>
      <x:c r="C8" s="13" t="str">
        <x:v>Index points; common aggregate scaling</x:v>
      </x:c>
      <x:c r="D8" s="13" t="str">
        <x:v>https://www.matteoiacoviello.com/ai_gpr.html; frozen August 2026 event-type release, not event counts.</x:v>
      </x:c>
    </x:row>
    <x:row r="9" ht="44" customHeight="1">
      <x:c r="A9" s="13" t="str">
        <x:v>diplomatic_tension</x:v>
      </x:c>
      <x:c r="B9" s="13" t="str">
        <x:v>diplomatic tension</x:v>
      </x:c>
      <x:c r="C9" s="13" t="str">
        <x:v>Index points; common aggregate scaling</x:v>
      </x:c>
      <x:c r="D9" s="13" t="str">
        <x:v>https://www.matteoiacoviello.com/ai_gpr.html; frozen August 2026 event-type release, not event counts.</x:v>
      </x:c>
    </x:row>
    <x:row r="10" ht="44" customHeight="1">
      <x:c r="A10" s="13" t="str">
        <x:v>terrorism</x:v>
      </x:c>
      <x:c r="B10" s="13" t="str">
        <x:v>terrorism</x:v>
      </x:c>
      <x:c r="C10" s="13" t="str">
        <x:v>Index points; common aggregate scaling</x:v>
      </x:c>
      <x:c r="D10" s="13" t="str">
        <x:v>https://www.matteoiacoviello.com/ai_gpr.html; frozen August 2026 event-type release, not event counts.</x:v>
      </x:c>
    </x:row>
    <x:row r="11" ht="44" customHeight="1">
      <x:c r="A11" s="13" t="str">
        <x:v>civil_war</x:v>
      </x:c>
      <x:c r="B11" s="13" t="str">
        <x:v>civil war</x:v>
      </x:c>
      <x:c r="C11" s="13" t="str">
        <x:v>Index points; common aggregate scaling</x:v>
      </x:c>
      <x:c r="D11" s="13" t="str">
        <x:v>https://www.matteoiacoviello.com/ai_gpr.html; frozen August 2026 event-type release, not event counts.</x:v>
      </x:c>
    </x:row>
    <x:row r="12" ht="44" customHeight="1">
      <x:c r="A12" s="13" t="str">
        <x:v>nuclear_threat</x:v>
      </x:c>
      <x:c r="B12" s="13" t="str">
        <x:v>nuclear threat</x:v>
      </x:c>
      <x:c r="C12" s="13" t="str">
        <x:v>Index points; common aggregate scaling</x:v>
      </x:c>
      <x:c r="D12" s="13" t="str">
        <x:v>https://www.matteoiacoviello.com/ai_gpr.html; frozen August 2026 event-type release, not event counts.</x:v>
      </x:c>
    </x:row>
    <x:row r="13" ht="44" customHeight="1">
      <x:c r="A13" s="13" t="str">
        <x:v>coup</x:v>
      </x:c>
      <x:c r="B13" s="13" t="str">
        <x:v>coup</x:v>
      </x:c>
      <x:c r="C13" s="13" t="str">
        <x:v>Index points; common aggregate scaling</x:v>
      </x:c>
      <x:c r="D13" s="13" t="str">
        <x:v>https://www.matteoiacoviello.com/ai_gpr.html; frozen August 2026 event-type release, not event counts.</x:v>
      </x:c>
    </x:row>
    <x:row r="14" ht="44" customHeight="1">
      <x:c r="A14" s="13" t="str">
        <x:v>sanctions</x:v>
      </x:c>
      <x:c r="B14" s="13" t="str">
        <x:v>sanctions</x:v>
      </x:c>
      <x:c r="C14" s="13" t="str">
        <x:v>Index points; common aggregate scaling</x:v>
      </x:c>
      <x:c r="D14" s="13" t="str">
        <x:v>https://www.matteoiacoviello.com/ai_gpr.html; frozen August 2026 event-type release, not event counts.</x:v>
      </x:c>
    </x:row>
    <x:row r="15" ht="44" customHeight="1">
      <x:c r="A15" s="13" t="str">
        <x:v>other</x:v>
      </x:c>
      <x:c r="B15" s="13" t="str">
        <x:v>other</x:v>
      </x:c>
      <x:c r="C15" s="13" t="str">
        <x:v>Index points; common aggregate scaling</x:v>
      </x:c>
      <x:c r="D15" s="13" t="str">
        <x:v>https://www.matteoiacoviello.com/ai_gpr.html; frozen August 2026 event-type release, not event counts.</x:v>
      </x:c>
    </x:row>
    <x:row r="16" ht="44" customHeight="1">
      <x:c r="A16" s="13" t="str">
        <x:v>log1p_gpr_ai</x:v>
      </x:c>
      <x:c r="B16" s="13" t="str">
        <x:v>Transformed geopolitical treatment</x:v>
      </x:c>
      <x:c r="C16" s="13" t="str">
        <x:v>ln(1 + gpr_ai)</x:v>
      </x:c>
      <x:c r="D16" s="13" t="str">
        <x:v>Formula from the same row of Monthly data; nonnegative index.</x:v>
      </x:c>
    </x:row>
    <x:row r="17" ht="44" customHeight="1">
      <x:c r="A17" s="13" t="str">
        <x:v>log1p_military_conflict</x:v>
      </x:c>
      <x:c r="B17" s="13" t="str">
        <x:v>Transformed geopolitical treatment</x:v>
      </x:c>
      <x:c r="C17" s="13" t="str">
        <x:v>ln(1 + military_conflict)</x:v>
      </x:c>
      <x:c r="D17" s="13" t="str">
        <x:v>Formula from the same row of Monthly data; nonnegative index.</x:v>
      </x:c>
    </x:row>
    <x:row r="18" ht="44" customHeight="1">
      <x:c r="A18" s="13" t="str">
        <x:v>log1p_diplomatic_tension</x:v>
      </x:c>
      <x:c r="B18" s="13" t="str">
        <x:v>Transformed geopolitical treatment</x:v>
      </x:c>
      <x:c r="C18" s="13" t="str">
        <x:v>ln(1 + diplomatic_tension)</x:v>
      </x:c>
      <x:c r="D18" s="13" t="str">
        <x:v>Formula from the same row of Monthly data; nonnegative index.</x:v>
      </x:c>
    </x:row>
    <x:row r="19" ht="44" customHeight="1">
      <x:c r="A19" s="13" t="str">
        <x:v>log1p_terrorism</x:v>
      </x:c>
      <x:c r="B19" s="13" t="str">
        <x:v>Transformed geopolitical treatment</x:v>
      </x:c>
      <x:c r="C19" s="13" t="str">
        <x:v>ln(1 + terrorism)</x:v>
      </x:c>
      <x:c r="D19" s="13" t="str">
        <x:v>Formula from the same row of Monthly data; nonnegative index.</x:v>
      </x:c>
    </x:row>
    <x:row r="20" ht="44" customHeight="1">
      <x:c r="A20" s="13" t="str">
        <x:v>log1p_civil_war</x:v>
      </x:c>
      <x:c r="B20" s="13" t="str">
        <x:v>Transformed geopolitical treatment</x:v>
      </x:c>
      <x:c r="C20" s="13" t="str">
        <x:v>ln(1 + civil_war)</x:v>
      </x:c>
      <x:c r="D20" s="13" t="str">
        <x:v>Formula from the same row of Monthly data; nonnegative index.</x:v>
      </x:c>
    </x:row>
    <x:row r="21" ht="44" customHeight="1">
      <x:c r="A21" s="13" t="str">
        <x:v>log1p_nuclear_threat</x:v>
      </x:c>
      <x:c r="B21" s="13" t="str">
        <x:v>Transformed geopolitical treatment</x:v>
      </x:c>
      <x:c r="C21" s="13" t="str">
        <x:v>ln(1 + nuclear_threat)</x:v>
      </x:c>
      <x:c r="D21" s="13" t="str">
        <x:v>Formula from the same row of Monthly data; nonnegative index.</x:v>
      </x:c>
    </x:row>
    <x:row r="22" ht="44" customHeight="1">
      <x:c r="A22" s="13" t="str">
        <x:v>log1p_coup</x:v>
      </x:c>
      <x:c r="B22" s="13" t="str">
        <x:v>Transformed geopolitical treatment</x:v>
      </x:c>
      <x:c r="C22" s="13" t="str">
        <x:v>ln(1 + coup)</x:v>
      </x:c>
      <x:c r="D22" s="13" t="str">
        <x:v>Formula from the same row of Monthly data; nonnegative index.</x:v>
      </x:c>
    </x:row>
    <x:row r="23" ht="44" customHeight="1">
      <x:c r="A23" s="13" t="str">
        <x:v>log1p_sanctions</x:v>
      </x:c>
      <x:c r="B23" s="13" t="str">
        <x:v>Transformed geopolitical treatment</x:v>
      </x:c>
      <x:c r="C23" s="13" t="str">
        <x:v>ln(1 + sanctions)</x:v>
      </x:c>
      <x:c r="D23" s="13" t="str">
        <x:v>Formula from the same row of Monthly data; nonnegative index.</x:v>
      </x:c>
    </x:row>
    <x:row r="24" ht="44" customHeight="1">
      <x:c r="A24" s="13" t="str">
        <x:v>log1p_other</x:v>
      </x:c>
      <x:c r="B24" s="13" t="str">
        <x:v>Transformed geopolitical treatment</x:v>
      </x:c>
      <x:c r="C24" s="13" t="str">
        <x:v>ln(1 + other)</x:v>
      </x:c>
      <x:c r="D24" s="13" t="str">
        <x:v>Formula from the same row of Monthly data; nonnegative index.</x:v>
      </x:c>
    </x:row>
    <x:row r="25" ht="44" customHeight="1">
      <x:c r="A25" s="13" t="str">
        <x:v>d2_gpr_ai</x:v>
      </x:c>
      <x:c r="B25" s="13" t="str">
        <x:v>Turning-point instrument</x:v>
      </x:c>
      <x:c r="C25" s="13" t="str">
        <x:v>gpr_ai[t] − 2 × gpr_ai[t−1] + gpr_ai[t−2]</x:v>
      </x:c>
      <x:c r="D25" s="13" t="str">
        <x:v>Formula on consecutive calendar months; original index units, not a difference of log1p.</x:v>
      </x:c>
    </x:row>
    <x:row r="26" ht="44" customHeight="1">
      <x:c r="A26" s="13" t="str">
        <x:v>d2_military_conflict</x:v>
      </x:c>
      <x:c r="B26" s="13" t="str">
        <x:v>Turning-point instrument</x:v>
      </x:c>
      <x:c r="C26" s="13" t="str">
        <x:v>military_conflict[t] − 2 × military_conflict[t−1] + military_conflict[t−2]</x:v>
      </x:c>
      <x:c r="D26" s="13" t="str">
        <x:v>Formula on consecutive calendar months; original index units, not a difference of log1p.</x:v>
      </x:c>
    </x:row>
    <x:row r="27" ht="44" customHeight="1">
      <x:c r="A27" s="13" t="str">
        <x:v>d2_diplomatic_tension</x:v>
      </x:c>
      <x:c r="B27" s="13" t="str">
        <x:v>Turning-point instrument</x:v>
      </x:c>
      <x:c r="C27" s="13" t="str">
        <x:v>diplomatic_tension[t] − 2 × diplomatic_tension[t−1] + diplomatic_tension[t−2]</x:v>
      </x:c>
      <x:c r="D27" s="13" t="str">
        <x:v>Formula on consecutive calendar months; original index units, not a difference of log1p.</x:v>
      </x:c>
    </x:row>
    <x:row r="28" ht="44" customHeight="1">
      <x:c r="A28" s="13" t="str">
        <x:v>d2_terrorism</x:v>
      </x:c>
      <x:c r="B28" s="13" t="str">
        <x:v>Turning-point instrument</x:v>
      </x:c>
      <x:c r="C28" s="13" t="str">
        <x:v>terrorism[t] − 2 × terrorism[t−1] + terrorism[t−2]</x:v>
      </x:c>
      <x:c r="D28" s="13" t="str">
        <x:v>Formula on consecutive calendar months; original index units, not a difference of log1p.</x:v>
      </x:c>
    </x:row>
    <x:row r="29" ht="44" customHeight="1">
      <x:c r="A29" s="13" t="str">
        <x:v>d2_civil_war</x:v>
      </x:c>
      <x:c r="B29" s="13" t="str">
        <x:v>Turning-point instrument</x:v>
      </x:c>
      <x:c r="C29" s="13" t="str">
        <x:v>civil_war[t] − 2 × civil_war[t−1] + civil_war[t−2]</x:v>
      </x:c>
      <x:c r="D29" s="13" t="str">
        <x:v>Formula on consecutive calendar months; original index units, not a difference of log1p.</x:v>
      </x:c>
    </x:row>
    <x:row r="30" ht="44" customHeight="1">
      <x:c r="A30" s="13" t="str">
        <x:v>d2_nuclear_threat</x:v>
      </x:c>
      <x:c r="B30" s="13" t="str">
        <x:v>Turning-point instrument</x:v>
      </x:c>
      <x:c r="C30" s="13" t="str">
        <x:v>nuclear_threat[t] − 2 × nuclear_threat[t−1] + nuclear_threat[t−2]</x:v>
      </x:c>
      <x:c r="D30" s="13" t="str">
        <x:v>Formula on consecutive calendar months; original index units, not a difference of log1p.</x:v>
      </x:c>
    </x:row>
    <x:row r="31" ht="44" customHeight="1">
      <x:c r="A31" s="13" t="str">
        <x:v>d2_coup</x:v>
      </x:c>
      <x:c r="B31" s="13" t="str">
        <x:v>Turning-point instrument</x:v>
      </x:c>
      <x:c r="C31" s="13" t="str">
        <x:v>coup[t] − 2 × coup[t−1] + coup[t−2]</x:v>
      </x:c>
      <x:c r="D31" s="13" t="str">
        <x:v>Formula on consecutive calendar months; original index units, not a difference of log1p.</x:v>
      </x:c>
    </x:row>
    <x:row r="32" ht="44" customHeight="1">
      <x:c r="A32" s="13" t="str">
        <x:v>d2_sanctions</x:v>
      </x:c>
      <x:c r="B32" s="13" t="str">
        <x:v>Turning-point instrument</x:v>
      </x:c>
      <x:c r="C32" s="13" t="str">
        <x:v>sanctions[t] − 2 × sanctions[t−1] + sanctions[t−2]</x:v>
      </x:c>
      <x:c r="D32" s="13" t="str">
        <x:v>Formula on consecutive calendar months; original index units, not a difference of log1p.</x:v>
      </x:c>
    </x:row>
    <x:row r="33" ht="44" customHeight="1">
      <x:c r="A33" s="13" t="str">
        <x:v>d2_other</x:v>
      </x:c>
      <x:c r="B33" s="13" t="str">
        <x:v>Turning-point instrument</x:v>
      </x:c>
      <x:c r="C33" s="13" t="str">
        <x:v>other[t] − 2 × other[t−1] + other[t−2]</x:v>
      </x:c>
      <x:c r="D33" s="13" t="str">
        <x:v>Formula on consecutive calendar months; original index units, not a difference of log1p.</x:v>
      </x:c>
    </x:row>
    <x:row r="34" ht="44" customHeight="1">
      <x:c r="A34" s="13" t="str">
        <x:v>d_lgop</x:v>
      </x:c>
      <x:c r="B34" s="13" t="str">
        <x:v>Monthly oil production growth</x:v>
      </x:c>
      <x:c r="C34" s="13" t="str">
        <x:v>lgop[t] − lgop[t−1]</x:v>
      </x:c>
      <x:c r="D34" s="13" t="str">
        <x:v>The regressions use lags one and two; contemporaneous growth only in a sensitivity specification.</x:v>
      </x:c>
    </x:row>
    <x:row r="35" ht="44" customHeight="1">
      <x:c r="A35" s="13" t="str">
        <x:v>Missing observations</x:v>
      </x:c>
      <x:c r="B35" s="13" t="str">
        <x:v>Blank cells mean unavailable</x:v>
      </x:c>
      <x:c r="C35" s="13" t="str">
        <x:v>Only October 2025 CPI is interpolated</x:v>
      </x:c>
      <x:c r="D35" s="13" t="str">
        <x:v>Real prices are complete. The unavailable October 2025 CPI is log-linearly interpolated between September and November; WIP ends June 2026 and production ends February 2026.</x:v>
      </x:c>
    </x:row>
    <x:row r="36" ht="44" customHeight="1">
      <x:c r="A36" s="13" t="str">
        <x:v>Source histories</x:v>
      </x:c>
      <x:c r="B36" s="13" t="str">
        <x:v>Bundled provider files</x:v>
      </x:c>
      <x:c r="C36" s="13" t="str">
        <x:v>data/source_csv/</x:v>
      </x:c>
      <x:c r="D36" s="13" t="str">
        <x:v>Complete EIA price, BLS CPI, Baumeister–Hamilton WIP, EIA/DBnomics production and AI-GPR histories. Input SHA256 checksums accompany the package.</x:v>
      </x:c>
    </x:row>
    <x:row r="37" ht="44" customHeight="1">
      <x:c r="A37" s="13" t="str">
        <x:v>Estimation sample</x:v>
      </x:c>
      <x:c r="B37" s="13" t="str">
        <x:v>Horizon-specific complete cases</x:v>
      </x:c>
      <x:c r="C37" s="13" t="str">
        <x:v>Three price lags, two other lags</x:v>
      </x:c>
      <x:c r="D37" s="13" t="str">
        <x:v>Compute transformations before deleting missing rows. A missing current price is not required when a future outcome and all actual regressors are observed.</x:v>
      </x:c>
    </x:row>
    <x:row r="38" ht="44" customHeight="1">
      <x:c r="A38" s="13" t="str">
        <x:v>Sources</x:v>
      </x:c>
      <x:c r="B38" s="13" t="str">
        <x:v>EIA nominal prices</x:v>
      </x:c>
      <x:c r="C38" s="13" t="str">
        <x:v>Monthly averages</x:v>
      </x:c>
      <x:c r="D38" s="13" t="str">
        <x:v>https://www.eia.gov/dnav/pet/hist/RWTCD.htm ; https://www.eia.gov/dnav/pet/hist/RBRTEd.htm</x:v>
      </x:c>
    </x:row>
    <x:row r="39" ht="44" customHeight="1">
      <x:c r="A39" s="13" t="str">
        <x:v>Sources</x:v>
      </x:c>
      <x:c r="B39" s="13" t="str">
        <x:v>US consumer price index</x:v>
      </x:c>
      <x:c r="C39" s="13" t="str">
        <x:v>CUSR0000SA0, seasonally adjusted</x:v>
      </x:c>
      <x:c r="D39" s="13" t="str">
        <x:v>https://download.bls.gov/pub/time.series/cu/cu.data.1.AllItems</x:v>
      </x:c>
    </x:row>
    <x:row r="40" ht="44" customHeight="1">
      <x:c r="A40" s="13" t="str">
        <x:v>Sources</x:v>
      </x:c>
      <x:c r="B40" s="13" t="str">
        <x:v>Global production and world activity</x:v>
      </x:c>
      <x:c r="C40" s="13" t="str">
        <x:v>Production: crude oil; activity: industrial production</x:v>
      </x:c>
      <x:c r="D40" s="13" t="str">
        <x:v>https://db.nomics.world/EIA/57-1-WORL-TBPD.M ; https://sites.google.com/site/cjsbaumeister/datasets</x:v>
      </x:c>
    </x:row>
    <x:row r="41" ht="44" customHeight="1">
      <x:c r="A41" s="13" t="str">
        <x:v>Data vintage</x:v>
      </x:c>
      <x:c r="B41" s="13" t="str">
        <x:v>Provider histories downloaded September 19, 2026</x:v>
      </x:c>
      <x:c r="C41" s="13" t="str">
        <x:v>No splice, rebasing or extrapolation; one documented CPI interpolation</x:v>
      </x:c>
      <x:c r="D41" s="13" t="str">
        <x:v>The package reproduces these recorded complete-source inputs; later provider revisions are not automatically substituted.</x:v>
      </x:c>
    </x:row>
  </x:sheetData>
  <x:pageMargins left="0.7" right="0.7" top="0.75" bottom="0.75" header="0.3" footer="0.3"/>
</x:worksheet>
</file>